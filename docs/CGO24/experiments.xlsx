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keunkim/Library/CloudStorage/GoogleDrive-ksungkeun84@tamu.edu/Shared drives/HW Security/DCCE/CGO24/"/>
    </mc:Choice>
  </mc:AlternateContent>
  <xr:revisionPtr revIDLastSave="0" documentId="13_ncr:1_{D934287F-055A-5A42-BB4D-EA5570E59CC6}" xr6:coauthVersionLast="47" xr6:coauthVersionMax="47" xr10:uidLastSave="{00000000-0000-0000-0000-000000000000}"/>
  <bookViews>
    <workbookView xWindow="-38400" yWindow="-8440" windowWidth="38400" windowHeight="19920" firstSheet="5" activeTab="11" xr2:uid="{E6A628A0-BA48-FD4D-9B0A-CC4CBF8BF1CD}"/>
  </bookViews>
  <sheets>
    <sheet name="baseDr_vs_DrCCTProf" sheetId="1" r:id="rId1"/>
    <sheet name="MaxCCID" sheetId="2" r:id="rId2"/>
    <sheet name="Call Graph Statistics" sheetId="3" r:id="rId3"/>
    <sheet name="Benchmarks selection (before)" sheetId="4" r:id="rId4"/>
    <sheet name="Benchmarks selection (lto)" sheetId="10" r:id="rId5"/>
    <sheet name="Runtime" sheetId="9" r:id="rId6"/>
    <sheet name="Call Graph Stat (lto,-O3,-nog)" sheetId="12" r:id="rId7"/>
    <sheet name="Bench status (lto,-O3, -nog)" sheetId="11" r:id="rId8"/>
    <sheet name="Runtime(desktop)" sheetId="14" r:id="rId9"/>
    <sheet name="Static Dynamic Characteristics" sheetId="13" r:id="rId10"/>
    <sheet name="Static_Overhead_SPEC2017" sheetId="23" r:id="rId11"/>
    <sheet name="Static_Overhead_Splash3" sheetId="22" r:id="rId12"/>
    <sheet name="Dyn_Overhead_SPEC2017" sheetId="19" r:id="rId13"/>
    <sheet name="Dyn_Overhead_Splash3" sheetId="20" r:id="rId14"/>
    <sheet name="Figure" sheetId="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16" i="13" l="1"/>
  <c r="N117" i="13"/>
  <c r="N118" i="13"/>
  <c r="N119" i="13"/>
  <c r="N120" i="13"/>
  <c r="N121" i="13"/>
  <c r="N122" i="13"/>
  <c r="N123" i="13"/>
  <c r="N124" i="13"/>
  <c r="N125" i="13"/>
  <c r="N126" i="13"/>
  <c r="N115" i="13"/>
  <c r="H30" i="5"/>
  <c r="I56" i="5"/>
  <c r="H56" i="5"/>
  <c r="H29" i="5"/>
  <c r="G29" i="5"/>
  <c r="H16" i="5"/>
  <c r="G16" i="5"/>
  <c r="B2" i="5" a="1"/>
  <c r="B2" i="5" s="1"/>
  <c r="K22" i="19"/>
  <c r="L22" i="19"/>
  <c r="M22" i="19"/>
  <c r="N22" i="19"/>
  <c r="K23" i="19"/>
  <c r="L23" i="19"/>
  <c r="M23" i="19"/>
  <c r="M36" i="19" s="1"/>
  <c r="N23" i="19"/>
  <c r="K24" i="19"/>
  <c r="K36" i="19" s="1"/>
  <c r="L24" i="19"/>
  <c r="L36" i="19" s="1"/>
  <c r="M24" i="19"/>
  <c r="N24" i="19"/>
  <c r="K25" i="19"/>
  <c r="L25" i="19"/>
  <c r="M25" i="19"/>
  <c r="N25" i="19"/>
  <c r="K26" i="19"/>
  <c r="L26" i="19"/>
  <c r="M26" i="19"/>
  <c r="N26" i="19"/>
  <c r="N36" i="19" s="1"/>
  <c r="K27" i="19"/>
  <c r="L27" i="19"/>
  <c r="M27" i="19"/>
  <c r="N27" i="19"/>
  <c r="K28" i="19"/>
  <c r="L28" i="19"/>
  <c r="M28" i="19"/>
  <c r="N28" i="19"/>
  <c r="K29" i="19"/>
  <c r="L29" i="19"/>
  <c r="M29" i="19"/>
  <c r="N29" i="19"/>
  <c r="K30" i="19"/>
  <c r="L30" i="19"/>
  <c r="M30" i="19"/>
  <c r="N30" i="19"/>
  <c r="K31" i="19"/>
  <c r="L31" i="19"/>
  <c r="M31" i="19"/>
  <c r="N31" i="19"/>
  <c r="K32" i="19"/>
  <c r="L32" i="19"/>
  <c r="M32" i="19"/>
  <c r="N32" i="19"/>
  <c r="K33" i="19"/>
  <c r="L33" i="19"/>
  <c r="M33" i="19"/>
  <c r="N33" i="19"/>
  <c r="K34" i="19"/>
  <c r="L34" i="19"/>
  <c r="M34" i="19"/>
  <c r="N34" i="19"/>
  <c r="K35" i="19"/>
  <c r="L35" i="19"/>
  <c r="M35" i="19"/>
  <c r="N35" i="19"/>
  <c r="J23" i="19"/>
  <c r="J24" i="19"/>
  <c r="J25" i="19"/>
  <c r="J26" i="19"/>
  <c r="J27" i="19"/>
  <c r="J28" i="19"/>
  <c r="J36" i="19" s="1"/>
  <c r="J29" i="19"/>
  <c r="J30" i="19"/>
  <c r="J31" i="19"/>
  <c r="J32" i="19"/>
  <c r="J33" i="19"/>
  <c r="J34" i="19"/>
  <c r="J35" i="19"/>
  <c r="J22" i="19"/>
  <c r="B142" i="5" a="1"/>
  <c r="B142" i="5" s="1"/>
  <c r="B127" i="5" a="1"/>
  <c r="B127" i="5" s="1"/>
  <c r="B101" i="5" a="1"/>
  <c r="B101" i="5" s="1"/>
  <c r="B86" i="5" a="1"/>
  <c r="B86" i="5" s="1"/>
  <c r="B62" i="23"/>
  <c r="B42" i="5" a="1"/>
  <c r="B42" i="5" s="1"/>
  <c r="F17" i="22"/>
  <c r="F18" i="22"/>
  <c r="F19" i="22"/>
  <c r="F20" i="22"/>
  <c r="F21" i="22"/>
  <c r="F22" i="22"/>
  <c r="F23" i="22"/>
  <c r="F24" i="22"/>
  <c r="F25" i="22"/>
  <c r="F26" i="22"/>
  <c r="F27" i="22"/>
  <c r="F28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01" i="13"/>
  <c r="I45" i="23"/>
  <c r="I46" i="20"/>
  <c r="J46" i="20"/>
  <c r="K46" i="20"/>
  <c r="L46" i="20"/>
  <c r="H46" i="20"/>
  <c r="H44" i="19"/>
  <c r="I44" i="19"/>
  <c r="I57" i="19" s="1"/>
  <c r="K44" i="19"/>
  <c r="J44" i="19"/>
  <c r="L44" i="19"/>
  <c r="M44" i="19" s="1"/>
  <c r="H45" i="19"/>
  <c r="I45" i="19"/>
  <c r="K45" i="19"/>
  <c r="J45" i="19"/>
  <c r="L45" i="19"/>
  <c r="H46" i="19"/>
  <c r="I46" i="19"/>
  <c r="K46" i="19"/>
  <c r="J46" i="19"/>
  <c r="L46" i="19"/>
  <c r="H47" i="19"/>
  <c r="I47" i="19"/>
  <c r="K47" i="19"/>
  <c r="J47" i="19"/>
  <c r="L47" i="19"/>
  <c r="H48" i="19"/>
  <c r="I48" i="19"/>
  <c r="K48" i="19"/>
  <c r="J48" i="19"/>
  <c r="L48" i="19"/>
  <c r="M48" i="19" s="1"/>
  <c r="H49" i="19"/>
  <c r="I49" i="19"/>
  <c r="K49" i="19"/>
  <c r="J49" i="19"/>
  <c r="L49" i="19"/>
  <c r="H50" i="19"/>
  <c r="I50" i="19"/>
  <c r="K50" i="19"/>
  <c r="J50" i="19"/>
  <c r="L50" i="19"/>
  <c r="H51" i="19"/>
  <c r="I51" i="19"/>
  <c r="K51" i="19"/>
  <c r="J51" i="19"/>
  <c r="L51" i="19"/>
  <c r="H52" i="19"/>
  <c r="I52" i="19"/>
  <c r="K52" i="19"/>
  <c r="J52" i="19"/>
  <c r="L52" i="19"/>
  <c r="M52" i="19" s="1"/>
  <c r="H53" i="19"/>
  <c r="I53" i="19"/>
  <c r="K53" i="19"/>
  <c r="J53" i="19"/>
  <c r="L53" i="19"/>
  <c r="M53" i="19" s="1"/>
  <c r="H54" i="19"/>
  <c r="I54" i="19"/>
  <c r="K54" i="19"/>
  <c r="J54" i="19"/>
  <c r="L54" i="19"/>
  <c r="M54" i="19" s="1"/>
  <c r="H55" i="19"/>
  <c r="I55" i="19"/>
  <c r="K55" i="19"/>
  <c r="J55" i="19"/>
  <c r="L55" i="19"/>
  <c r="I56" i="19"/>
  <c r="K56" i="19"/>
  <c r="L56" i="19"/>
  <c r="L43" i="19"/>
  <c r="J43" i="19"/>
  <c r="K43" i="19"/>
  <c r="I43" i="19"/>
  <c r="H43" i="19"/>
  <c r="G39" i="22"/>
  <c r="I39" i="22"/>
  <c r="H39" i="22"/>
  <c r="J39" i="22"/>
  <c r="G40" i="22"/>
  <c r="I40" i="22"/>
  <c r="H40" i="22"/>
  <c r="J40" i="22"/>
  <c r="G41" i="22"/>
  <c r="I41" i="22"/>
  <c r="H41" i="22"/>
  <c r="J41" i="22"/>
  <c r="G42" i="22"/>
  <c r="I42" i="22"/>
  <c r="H42" i="22"/>
  <c r="J42" i="22"/>
  <c r="G43" i="22"/>
  <c r="I43" i="22"/>
  <c r="H43" i="22"/>
  <c r="J43" i="22"/>
  <c r="G44" i="22"/>
  <c r="I44" i="22"/>
  <c r="H44" i="22"/>
  <c r="J44" i="22"/>
  <c r="G45" i="22"/>
  <c r="I45" i="22"/>
  <c r="H45" i="22"/>
  <c r="J45" i="22"/>
  <c r="G46" i="22"/>
  <c r="I46" i="22"/>
  <c r="H46" i="22"/>
  <c r="J46" i="22"/>
  <c r="G47" i="22"/>
  <c r="I47" i="22"/>
  <c r="H47" i="22"/>
  <c r="J47" i="22"/>
  <c r="K47" i="22" s="1"/>
  <c r="G48" i="22"/>
  <c r="I48" i="22"/>
  <c r="H48" i="22"/>
  <c r="J48" i="22"/>
  <c r="G49" i="22"/>
  <c r="I49" i="22"/>
  <c r="H49" i="22"/>
  <c r="J49" i="22"/>
  <c r="J38" i="22"/>
  <c r="H38" i="22"/>
  <c r="I38" i="22"/>
  <c r="G38" i="22"/>
  <c r="D65" i="22"/>
  <c r="E65" i="22"/>
  <c r="C65" i="22"/>
  <c r="B65" i="22"/>
  <c r="D64" i="22"/>
  <c r="E64" i="22"/>
  <c r="C64" i="22"/>
  <c r="B64" i="22"/>
  <c r="D63" i="22"/>
  <c r="E63" i="22"/>
  <c r="C63" i="22"/>
  <c r="B63" i="22"/>
  <c r="D62" i="22"/>
  <c r="E62" i="22"/>
  <c r="C62" i="22"/>
  <c r="B62" i="22"/>
  <c r="D61" i="22"/>
  <c r="E61" i="22"/>
  <c r="C61" i="22"/>
  <c r="B61" i="22"/>
  <c r="D60" i="22"/>
  <c r="E60" i="22"/>
  <c r="C60" i="22"/>
  <c r="B60" i="22"/>
  <c r="D59" i="22"/>
  <c r="E59" i="22"/>
  <c r="C59" i="22"/>
  <c r="B59" i="22"/>
  <c r="D58" i="22"/>
  <c r="E58" i="22"/>
  <c r="C58" i="22"/>
  <c r="B58" i="22"/>
  <c r="D57" i="22"/>
  <c r="E57" i="22"/>
  <c r="C57" i="22"/>
  <c r="B57" i="22"/>
  <c r="D56" i="22"/>
  <c r="E56" i="22"/>
  <c r="C56" i="22"/>
  <c r="B56" i="22"/>
  <c r="D55" i="22"/>
  <c r="E55" i="22"/>
  <c r="C55" i="22"/>
  <c r="B55" i="22"/>
  <c r="D54" i="22"/>
  <c r="E54" i="22"/>
  <c r="C54" i="22"/>
  <c r="B54" i="22"/>
  <c r="G44" i="23"/>
  <c r="I44" i="23"/>
  <c r="I57" i="23" s="1"/>
  <c r="H44" i="23"/>
  <c r="J44" i="23"/>
  <c r="G45" i="23"/>
  <c r="H45" i="23"/>
  <c r="J45" i="23"/>
  <c r="G46" i="23"/>
  <c r="I46" i="23"/>
  <c r="H46" i="23"/>
  <c r="J46" i="23"/>
  <c r="G47" i="23"/>
  <c r="I47" i="23"/>
  <c r="H47" i="23"/>
  <c r="J47" i="23"/>
  <c r="G48" i="23"/>
  <c r="I48" i="23"/>
  <c r="H48" i="23"/>
  <c r="J48" i="23"/>
  <c r="G49" i="23"/>
  <c r="I49" i="23"/>
  <c r="H49" i="23"/>
  <c r="H57" i="23" s="1"/>
  <c r="J49" i="23"/>
  <c r="G50" i="23"/>
  <c r="I50" i="23"/>
  <c r="H50" i="23"/>
  <c r="J50" i="23"/>
  <c r="G51" i="23"/>
  <c r="I51" i="23"/>
  <c r="H51" i="23"/>
  <c r="J51" i="23"/>
  <c r="G52" i="23"/>
  <c r="I52" i="23"/>
  <c r="H52" i="23"/>
  <c r="J52" i="23"/>
  <c r="G53" i="23"/>
  <c r="I53" i="23"/>
  <c r="H53" i="23"/>
  <c r="J53" i="23"/>
  <c r="G54" i="23"/>
  <c r="I54" i="23"/>
  <c r="H54" i="23"/>
  <c r="J54" i="23"/>
  <c r="G55" i="23"/>
  <c r="I55" i="23"/>
  <c r="H55" i="23"/>
  <c r="J55" i="23"/>
  <c r="J43" i="23"/>
  <c r="H43" i="23"/>
  <c r="I43" i="23"/>
  <c r="G43" i="23"/>
  <c r="L35" i="20"/>
  <c r="L36" i="20"/>
  <c r="L37" i="20"/>
  <c r="L38" i="20"/>
  <c r="L39" i="20"/>
  <c r="L40" i="20"/>
  <c r="L41" i="20"/>
  <c r="L42" i="20"/>
  <c r="L43" i="20"/>
  <c r="L44" i="20"/>
  <c r="M44" i="20" s="1"/>
  <c r="L45" i="20"/>
  <c r="L34" i="20"/>
  <c r="K35" i="20"/>
  <c r="K36" i="20"/>
  <c r="K37" i="20"/>
  <c r="K38" i="20"/>
  <c r="K39" i="20"/>
  <c r="K40" i="20"/>
  <c r="K41" i="20"/>
  <c r="K42" i="20"/>
  <c r="K43" i="20"/>
  <c r="K44" i="20"/>
  <c r="K45" i="20"/>
  <c r="K34" i="20"/>
  <c r="J35" i="20"/>
  <c r="J36" i="20"/>
  <c r="J37" i="20"/>
  <c r="J38" i="20"/>
  <c r="M38" i="20" s="1"/>
  <c r="J39" i="20"/>
  <c r="M39" i="20" s="1"/>
  <c r="J40" i="20"/>
  <c r="M40" i="20" s="1"/>
  <c r="J41" i="20"/>
  <c r="J42" i="20"/>
  <c r="J43" i="20"/>
  <c r="J44" i="20"/>
  <c r="J45" i="20"/>
  <c r="J34" i="20"/>
  <c r="I35" i="20"/>
  <c r="I36" i="20"/>
  <c r="I37" i="20"/>
  <c r="I38" i="20"/>
  <c r="I39" i="20"/>
  <c r="I40" i="20"/>
  <c r="I41" i="20"/>
  <c r="I42" i="20"/>
  <c r="I43" i="20"/>
  <c r="I44" i="20"/>
  <c r="I45" i="20"/>
  <c r="I34" i="20"/>
  <c r="H35" i="20"/>
  <c r="H36" i="20"/>
  <c r="H37" i="20"/>
  <c r="H38" i="20"/>
  <c r="H39" i="20"/>
  <c r="H40" i="20"/>
  <c r="H41" i="20"/>
  <c r="H42" i="20"/>
  <c r="H43" i="20"/>
  <c r="H44" i="20"/>
  <c r="H45" i="20"/>
  <c r="H34" i="20"/>
  <c r="M35" i="20"/>
  <c r="M36" i="20"/>
  <c r="M37" i="20"/>
  <c r="M45" i="20"/>
  <c r="M34" i="20"/>
  <c r="D17" i="20"/>
  <c r="E75" i="23"/>
  <c r="C75" i="23"/>
  <c r="F75" i="23"/>
  <c r="D75" i="23"/>
  <c r="B75" i="23"/>
  <c r="E74" i="23"/>
  <c r="C74" i="23"/>
  <c r="F74" i="23"/>
  <c r="D74" i="23"/>
  <c r="B74" i="23"/>
  <c r="E73" i="23"/>
  <c r="C73" i="23"/>
  <c r="F73" i="23"/>
  <c r="D73" i="23"/>
  <c r="B73" i="23"/>
  <c r="E72" i="23"/>
  <c r="C72" i="23"/>
  <c r="F72" i="23"/>
  <c r="D72" i="23"/>
  <c r="B72" i="23"/>
  <c r="E71" i="23"/>
  <c r="C71" i="23"/>
  <c r="F71" i="23"/>
  <c r="D71" i="23"/>
  <c r="B71" i="23"/>
  <c r="E70" i="23"/>
  <c r="C70" i="23"/>
  <c r="F70" i="23"/>
  <c r="D70" i="23"/>
  <c r="B70" i="23"/>
  <c r="E69" i="23"/>
  <c r="C69" i="23"/>
  <c r="F69" i="23"/>
  <c r="D69" i="23"/>
  <c r="B69" i="23"/>
  <c r="E68" i="23"/>
  <c r="C68" i="23"/>
  <c r="F68" i="23"/>
  <c r="D68" i="23"/>
  <c r="B68" i="23"/>
  <c r="E67" i="23"/>
  <c r="C67" i="23"/>
  <c r="F67" i="23"/>
  <c r="D67" i="23"/>
  <c r="B67" i="23"/>
  <c r="E66" i="23"/>
  <c r="C66" i="23"/>
  <c r="F66" i="23"/>
  <c r="D66" i="23"/>
  <c r="B66" i="23"/>
  <c r="E65" i="23"/>
  <c r="C65" i="23"/>
  <c r="F65" i="23"/>
  <c r="D65" i="23"/>
  <c r="B65" i="23"/>
  <c r="E64" i="23"/>
  <c r="C64" i="23"/>
  <c r="F64" i="23"/>
  <c r="D64" i="23"/>
  <c r="B64" i="23"/>
  <c r="E63" i="23"/>
  <c r="C63" i="23"/>
  <c r="F63" i="23"/>
  <c r="D63" i="23"/>
  <c r="B63" i="23"/>
  <c r="E62" i="23"/>
  <c r="C62" i="23"/>
  <c r="F62" i="23"/>
  <c r="D62" i="23"/>
  <c r="E35" i="23"/>
  <c r="C35" i="23"/>
  <c r="F35" i="23"/>
  <c r="D35" i="23"/>
  <c r="B35" i="23"/>
  <c r="E34" i="23"/>
  <c r="C34" i="23"/>
  <c r="F34" i="23"/>
  <c r="D34" i="23"/>
  <c r="B34" i="23"/>
  <c r="E33" i="23"/>
  <c r="C33" i="23"/>
  <c r="F33" i="23"/>
  <c r="D33" i="23"/>
  <c r="B33" i="23"/>
  <c r="E32" i="23"/>
  <c r="C32" i="23"/>
  <c r="F32" i="23"/>
  <c r="D32" i="23"/>
  <c r="B32" i="23"/>
  <c r="E31" i="23"/>
  <c r="C31" i="23"/>
  <c r="F31" i="23"/>
  <c r="D31" i="23"/>
  <c r="B31" i="23"/>
  <c r="E30" i="23"/>
  <c r="C30" i="23"/>
  <c r="F30" i="23"/>
  <c r="D30" i="23"/>
  <c r="B30" i="23"/>
  <c r="E29" i="23"/>
  <c r="C29" i="23"/>
  <c r="F29" i="23"/>
  <c r="D29" i="23"/>
  <c r="B29" i="23"/>
  <c r="E28" i="23"/>
  <c r="C28" i="23"/>
  <c r="F28" i="23"/>
  <c r="D28" i="23"/>
  <c r="B28" i="23"/>
  <c r="E27" i="23"/>
  <c r="C27" i="23"/>
  <c r="F27" i="23"/>
  <c r="D27" i="23"/>
  <c r="B27" i="23"/>
  <c r="E26" i="23"/>
  <c r="C26" i="23"/>
  <c r="F26" i="23"/>
  <c r="D26" i="23"/>
  <c r="B26" i="23"/>
  <c r="E25" i="23"/>
  <c r="C25" i="23"/>
  <c r="F25" i="23"/>
  <c r="D25" i="23"/>
  <c r="B25" i="23"/>
  <c r="E24" i="23"/>
  <c r="C24" i="23"/>
  <c r="F24" i="23"/>
  <c r="D24" i="23"/>
  <c r="B24" i="23"/>
  <c r="E23" i="23"/>
  <c r="C23" i="23"/>
  <c r="F23" i="23"/>
  <c r="D23" i="23"/>
  <c r="B23" i="23"/>
  <c r="E22" i="23"/>
  <c r="C22" i="23"/>
  <c r="F22" i="23"/>
  <c r="D22" i="23"/>
  <c r="B22" i="23"/>
  <c r="E28" i="22"/>
  <c r="C28" i="22"/>
  <c r="D28" i="22"/>
  <c r="B28" i="22"/>
  <c r="E27" i="22"/>
  <c r="C27" i="22"/>
  <c r="D27" i="22"/>
  <c r="B27" i="22"/>
  <c r="E26" i="22"/>
  <c r="C26" i="22"/>
  <c r="D26" i="22"/>
  <c r="B26" i="22"/>
  <c r="E25" i="22"/>
  <c r="C25" i="22"/>
  <c r="D25" i="22"/>
  <c r="B25" i="22"/>
  <c r="E24" i="22"/>
  <c r="C24" i="22"/>
  <c r="D24" i="22"/>
  <c r="B24" i="22"/>
  <c r="E23" i="22"/>
  <c r="C23" i="22"/>
  <c r="D23" i="22"/>
  <c r="B23" i="22"/>
  <c r="E22" i="22"/>
  <c r="C22" i="22"/>
  <c r="D22" i="22"/>
  <c r="B22" i="22"/>
  <c r="E21" i="22"/>
  <c r="C21" i="22"/>
  <c r="D21" i="22"/>
  <c r="B21" i="22"/>
  <c r="E20" i="22"/>
  <c r="C20" i="22"/>
  <c r="D20" i="22"/>
  <c r="B20" i="22"/>
  <c r="E19" i="22"/>
  <c r="C19" i="22"/>
  <c r="D19" i="22"/>
  <c r="B19" i="22"/>
  <c r="E18" i="22"/>
  <c r="C18" i="22"/>
  <c r="D18" i="22"/>
  <c r="B18" i="22"/>
  <c r="E17" i="22"/>
  <c r="C17" i="22"/>
  <c r="D17" i="22"/>
  <c r="B17" i="22"/>
  <c r="E60" i="20"/>
  <c r="D60" i="20"/>
  <c r="G60" i="20"/>
  <c r="F60" i="20"/>
  <c r="C60" i="20"/>
  <c r="B60" i="20"/>
  <c r="E59" i="20"/>
  <c r="D59" i="20"/>
  <c r="G59" i="20"/>
  <c r="F59" i="20"/>
  <c r="C59" i="20"/>
  <c r="B59" i="20"/>
  <c r="E58" i="20"/>
  <c r="D58" i="20"/>
  <c r="G58" i="20"/>
  <c r="F58" i="20"/>
  <c r="C58" i="20"/>
  <c r="B58" i="20"/>
  <c r="E57" i="20"/>
  <c r="D57" i="20"/>
  <c r="G57" i="20"/>
  <c r="F57" i="20"/>
  <c r="C57" i="20"/>
  <c r="B57" i="20"/>
  <c r="E56" i="20"/>
  <c r="D56" i="20"/>
  <c r="G56" i="20"/>
  <c r="F56" i="20"/>
  <c r="C56" i="20"/>
  <c r="B56" i="20"/>
  <c r="E55" i="20"/>
  <c r="D55" i="20"/>
  <c r="G55" i="20"/>
  <c r="F55" i="20"/>
  <c r="C55" i="20"/>
  <c r="B55" i="20"/>
  <c r="E54" i="20"/>
  <c r="D54" i="20"/>
  <c r="G54" i="20"/>
  <c r="F54" i="20"/>
  <c r="C54" i="20"/>
  <c r="B54" i="20"/>
  <c r="E53" i="20"/>
  <c r="D53" i="20"/>
  <c r="G53" i="20"/>
  <c r="F53" i="20"/>
  <c r="C53" i="20"/>
  <c r="B53" i="20"/>
  <c r="E52" i="20"/>
  <c r="D52" i="20"/>
  <c r="G52" i="20"/>
  <c r="F52" i="20"/>
  <c r="C52" i="20"/>
  <c r="B52" i="20"/>
  <c r="E51" i="20"/>
  <c r="D51" i="20"/>
  <c r="G51" i="20"/>
  <c r="F51" i="20"/>
  <c r="C51" i="20"/>
  <c r="B51" i="20"/>
  <c r="E50" i="20"/>
  <c r="D50" i="20"/>
  <c r="G50" i="20"/>
  <c r="F50" i="20"/>
  <c r="C50" i="20"/>
  <c r="B50" i="20"/>
  <c r="E49" i="20"/>
  <c r="D49" i="20"/>
  <c r="G49" i="20"/>
  <c r="F49" i="20"/>
  <c r="C49" i="20"/>
  <c r="B49" i="20"/>
  <c r="E28" i="20"/>
  <c r="D28" i="20"/>
  <c r="G28" i="20"/>
  <c r="F28" i="20"/>
  <c r="C28" i="20"/>
  <c r="B28" i="20"/>
  <c r="E27" i="20"/>
  <c r="D27" i="20"/>
  <c r="G27" i="20"/>
  <c r="F27" i="20"/>
  <c r="C27" i="20"/>
  <c r="B27" i="20"/>
  <c r="E26" i="20"/>
  <c r="D26" i="20"/>
  <c r="G26" i="20"/>
  <c r="F26" i="20"/>
  <c r="C26" i="20"/>
  <c r="B26" i="20"/>
  <c r="E25" i="20"/>
  <c r="D25" i="20"/>
  <c r="G25" i="20"/>
  <c r="F25" i="20"/>
  <c r="C25" i="20"/>
  <c r="B25" i="20"/>
  <c r="E24" i="20"/>
  <c r="D24" i="20"/>
  <c r="G24" i="20"/>
  <c r="F24" i="20"/>
  <c r="C24" i="20"/>
  <c r="B24" i="20"/>
  <c r="E23" i="20"/>
  <c r="D23" i="20"/>
  <c r="G23" i="20"/>
  <c r="F23" i="20"/>
  <c r="C23" i="20"/>
  <c r="B23" i="20"/>
  <c r="E22" i="20"/>
  <c r="D22" i="20"/>
  <c r="G22" i="20"/>
  <c r="F22" i="20"/>
  <c r="C22" i="20"/>
  <c r="B22" i="20"/>
  <c r="E21" i="20"/>
  <c r="D21" i="20"/>
  <c r="G21" i="20"/>
  <c r="F21" i="20"/>
  <c r="C21" i="20"/>
  <c r="B21" i="20"/>
  <c r="E20" i="20"/>
  <c r="D20" i="20"/>
  <c r="G20" i="20"/>
  <c r="F20" i="20"/>
  <c r="C20" i="20"/>
  <c r="B20" i="20"/>
  <c r="E19" i="20"/>
  <c r="D19" i="20"/>
  <c r="G19" i="20"/>
  <c r="F19" i="20"/>
  <c r="C19" i="20"/>
  <c r="B19" i="20"/>
  <c r="E18" i="20"/>
  <c r="D18" i="20"/>
  <c r="G18" i="20"/>
  <c r="F18" i="20"/>
  <c r="C18" i="20"/>
  <c r="B18" i="20"/>
  <c r="E17" i="20"/>
  <c r="G17" i="20"/>
  <c r="F17" i="20"/>
  <c r="C17" i="20"/>
  <c r="B17" i="20"/>
  <c r="C62" i="19"/>
  <c r="E62" i="19"/>
  <c r="G62" i="19"/>
  <c r="D62" i="19"/>
  <c r="F62" i="19"/>
  <c r="C63" i="19"/>
  <c r="E63" i="19"/>
  <c r="G63" i="19"/>
  <c r="D63" i="19"/>
  <c r="F63" i="19"/>
  <c r="C64" i="19"/>
  <c r="E64" i="19"/>
  <c r="G64" i="19"/>
  <c r="D64" i="19"/>
  <c r="F64" i="19"/>
  <c r="C65" i="19"/>
  <c r="E65" i="19"/>
  <c r="G65" i="19"/>
  <c r="D65" i="19"/>
  <c r="F65" i="19"/>
  <c r="C66" i="19"/>
  <c r="E66" i="19"/>
  <c r="G66" i="19"/>
  <c r="D66" i="19"/>
  <c r="F66" i="19"/>
  <c r="C67" i="19"/>
  <c r="E67" i="19"/>
  <c r="G67" i="19"/>
  <c r="D67" i="19"/>
  <c r="F67" i="19"/>
  <c r="C68" i="19"/>
  <c r="E68" i="19"/>
  <c r="G68" i="19"/>
  <c r="D68" i="19"/>
  <c r="F68" i="19"/>
  <c r="C69" i="19"/>
  <c r="E69" i="19"/>
  <c r="G69" i="19"/>
  <c r="D69" i="19"/>
  <c r="F69" i="19"/>
  <c r="C70" i="19"/>
  <c r="E70" i="19"/>
  <c r="G70" i="19"/>
  <c r="D70" i="19"/>
  <c r="F70" i="19"/>
  <c r="C71" i="19"/>
  <c r="E71" i="19"/>
  <c r="G71" i="19"/>
  <c r="D71" i="19"/>
  <c r="F71" i="19"/>
  <c r="C72" i="19"/>
  <c r="E72" i="19"/>
  <c r="G72" i="19"/>
  <c r="D72" i="19"/>
  <c r="F72" i="19"/>
  <c r="C73" i="19"/>
  <c r="E73" i="19"/>
  <c r="G73" i="19"/>
  <c r="D73" i="19"/>
  <c r="F73" i="19"/>
  <c r="C74" i="19"/>
  <c r="E74" i="19"/>
  <c r="G74" i="19"/>
  <c r="D74" i="19"/>
  <c r="F74" i="19"/>
  <c r="C75" i="19"/>
  <c r="E75" i="19"/>
  <c r="G75" i="19"/>
  <c r="D75" i="19"/>
  <c r="F75" i="19"/>
  <c r="B73" i="19"/>
  <c r="B74" i="19"/>
  <c r="B75" i="19"/>
  <c r="B33" i="19"/>
  <c r="C33" i="19"/>
  <c r="E33" i="19"/>
  <c r="G33" i="19"/>
  <c r="D33" i="19"/>
  <c r="F33" i="19"/>
  <c r="B34" i="19"/>
  <c r="C34" i="19"/>
  <c r="E34" i="19"/>
  <c r="G34" i="19"/>
  <c r="D34" i="19"/>
  <c r="F34" i="19"/>
  <c r="B35" i="19"/>
  <c r="C35" i="19"/>
  <c r="E35" i="19"/>
  <c r="G35" i="19"/>
  <c r="D35" i="19"/>
  <c r="F35" i="19"/>
  <c r="B72" i="19"/>
  <c r="B71" i="19"/>
  <c r="B70" i="19"/>
  <c r="B69" i="19"/>
  <c r="B68" i="19"/>
  <c r="B67" i="19"/>
  <c r="B66" i="19"/>
  <c r="B65" i="19"/>
  <c r="B64" i="19"/>
  <c r="B63" i="19"/>
  <c r="B62" i="19"/>
  <c r="F32" i="19"/>
  <c r="D32" i="19"/>
  <c r="G32" i="19"/>
  <c r="E32" i="19"/>
  <c r="C32" i="19"/>
  <c r="B32" i="19"/>
  <c r="F31" i="19"/>
  <c r="D31" i="19"/>
  <c r="G31" i="19"/>
  <c r="E31" i="19"/>
  <c r="C31" i="19"/>
  <c r="B31" i="19"/>
  <c r="F30" i="19"/>
  <c r="D30" i="19"/>
  <c r="G30" i="19"/>
  <c r="E30" i="19"/>
  <c r="C30" i="19"/>
  <c r="B30" i="19"/>
  <c r="F29" i="19"/>
  <c r="D29" i="19"/>
  <c r="G29" i="19"/>
  <c r="E29" i="19"/>
  <c r="C29" i="19"/>
  <c r="B29" i="19"/>
  <c r="F28" i="19"/>
  <c r="D28" i="19"/>
  <c r="G28" i="19"/>
  <c r="E28" i="19"/>
  <c r="C28" i="19"/>
  <c r="B28" i="19"/>
  <c r="F27" i="19"/>
  <c r="D27" i="19"/>
  <c r="G27" i="19"/>
  <c r="E27" i="19"/>
  <c r="C27" i="19"/>
  <c r="B27" i="19"/>
  <c r="F26" i="19"/>
  <c r="D26" i="19"/>
  <c r="G26" i="19"/>
  <c r="E26" i="19"/>
  <c r="C26" i="19"/>
  <c r="B26" i="19"/>
  <c r="F25" i="19"/>
  <c r="D25" i="19"/>
  <c r="G25" i="19"/>
  <c r="E25" i="19"/>
  <c r="C25" i="19"/>
  <c r="B25" i="19"/>
  <c r="F24" i="19"/>
  <c r="D24" i="19"/>
  <c r="G24" i="19"/>
  <c r="E24" i="19"/>
  <c r="C24" i="19"/>
  <c r="B24" i="19"/>
  <c r="F23" i="19"/>
  <c r="D23" i="19"/>
  <c r="G23" i="19"/>
  <c r="E23" i="19"/>
  <c r="C23" i="19"/>
  <c r="B23" i="19"/>
  <c r="F22" i="19"/>
  <c r="D22" i="19"/>
  <c r="G22" i="19"/>
  <c r="E22" i="19"/>
  <c r="C22" i="19"/>
  <c r="B22" i="19"/>
  <c r="E94" i="13"/>
  <c r="E93" i="13"/>
  <c r="E92" i="13"/>
  <c r="F90" i="14"/>
  <c r="G88" i="14"/>
  <c r="G77" i="14"/>
  <c r="G78" i="14"/>
  <c r="G79" i="14"/>
  <c r="G80" i="14"/>
  <c r="G81" i="14"/>
  <c r="G82" i="14"/>
  <c r="G83" i="14"/>
  <c r="G84" i="14"/>
  <c r="G85" i="14"/>
  <c r="G86" i="14"/>
  <c r="G87" i="14"/>
  <c r="G76" i="14"/>
  <c r="C76" i="14"/>
  <c r="D76" i="14"/>
  <c r="E76" i="14"/>
  <c r="F76" i="14"/>
  <c r="F88" i="14" s="1"/>
  <c r="C77" i="14"/>
  <c r="D77" i="14"/>
  <c r="E77" i="14"/>
  <c r="E88" i="14" s="1"/>
  <c r="F77" i="14"/>
  <c r="C78" i="14"/>
  <c r="C88" i="14" s="1"/>
  <c r="D78" i="14"/>
  <c r="E78" i="14"/>
  <c r="F78" i="14"/>
  <c r="C79" i="14"/>
  <c r="D79" i="14"/>
  <c r="E79" i="14"/>
  <c r="F79" i="14"/>
  <c r="C80" i="14"/>
  <c r="D80" i="14"/>
  <c r="E80" i="14"/>
  <c r="F80" i="14"/>
  <c r="C81" i="14"/>
  <c r="D81" i="14"/>
  <c r="E81" i="14"/>
  <c r="F81" i="14"/>
  <c r="C82" i="14"/>
  <c r="D82" i="14"/>
  <c r="E82" i="14"/>
  <c r="F82" i="14"/>
  <c r="C83" i="14"/>
  <c r="D83" i="14"/>
  <c r="E83" i="14"/>
  <c r="F83" i="14"/>
  <c r="C84" i="14"/>
  <c r="D84" i="14"/>
  <c r="E84" i="14"/>
  <c r="F84" i="14"/>
  <c r="C85" i="14"/>
  <c r="D85" i="14"/>
  <c r="E85" i="14"/>
  <c r="F85" i="14"/>
  <c r="C86" i="14"/>
  <c r="D86" i="14"/>
  <c r="E86" i="14"/>
  <c r="F86" i="14"/>
  <c r="C87" i="14"/>
  <c r="D87" i="14"/>
  <c r="E87" i="14"/>
  <c r="F87" i="14"/>
  <c r="D88" i="14"/>
  <c r="B77" i="14"/>
  <c r="B78" i="14"/>
  <c r="B79" i="14"/>
  <c r="B80" i="14"/>
  <c r="B81" i="14"/>
  <c r="B82" i="14"/>
  <c r="B83" i="14"/>
  <c r="B84" i="14"/>
  <c r="B85" i="14"/>
  <c r="B86" i="14"/>
  <c r="B87" i="14"/>
  <c r="B76" i="14"/>
  <c r="Q11" i="13"/>
  <c r="E24" i="13"/>
  <c r="E25" i="13"/>
  <c r="E26" i="13"/>
  <c r="E27" i="13"/>
  <c r="E28" i="13"/>
  <c r="E29" i="13"/>
  <c r="E30" i="13"/>
  <c r="E31" i="13"/>
  <c r="E33" i="13"/>
  <c r="E34" i="13"/>
  <c r="E35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C41" i="14"/>
  <c r="D41" i="14"/>
  <c r="E41" i="14" s="1"/>
  <c r="C42" i="14"/>
  <c r="D42" i="14"/>
  <c r="E42" i="14" s="1"/>
  <c r="C43" i="14"/>
  <c r="D43" i="14"/>
  <c r="E43" i="14" s="1"/>
  <c r="C44" i="14"/>
  <c r="D44" i="14"/>
  <c r="E44" i="14" s="1"/>
  <c r="C45" i="14"/>
  <c r="D45" i="14"/>
  <c r="C46" i="14"/>
  <c r="D46" i="14"/>
  <c r="E46" i="14" s="1"/>
  <c r="C47" i="14"/>
  <c r="D47" i="14"/>
  <c r="E47" i="14" s="1"/>
  <c r="C48" i="14"/>
  <c r="D48" i="14"/>
  <c r="E48" i="14" s="1"/>
  <c r="C49" i="14"/>
  <c r="D49" i="14"/>
  <c r="C50" i="14"/>
  <c r="D50" i="14"/>
  <c r="E50" i="14" s="1"/>
  <c r="C51" i="14"/>
  <c r="D51" i="14"/>
  <c r="E51" i="14" s="1"/>
  <c r="C52" i="14"/>
  <c r="D52" i="14"/>
  <c r="C53" i="14"/>
  <c r="D53" i="14"/>
  <c r="E53" i="14" s="1"/>
  <c r="C54" i="14"/>
  <c r="D54" i="14"/>
  <c r="E54" i="14" s="1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41" i="14"/>
  <c r="I56" i="9"/>
  <c r="J56" i="9"/>
  <c r="K56" i="9"/>
  <c r="L56" i="9"/>
  <c r="M56" i="9"/>
  <c r="I64" i="9"/>
  <c r="J64" i="9"/>
  <c r="K64" i="9"/>
  <c r="L64" i="9"/>
  <c r="M64" i="9"/>
  <c r="M53" i="9"/>
  <c r="L68" i="11"/>
  <c r="M81" i="11"/>
  <c r="M80" i="11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G66" i="9"/>
  <c r="G67" i="9"/>
  <c r="G68" i="9"/>
  <c r="G69" i="9"/>
  <c r="G70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132" i="9"/>
  <c r="G132" i="9" s="1"/>
  <c r="B131" i="9"/>
  <c r="H131" i="9" s="1"/>
  <c r="B130" i="9"/>
  <c r="H130" i="9" s="1"/>
  <c r="B129" i="9"/>
  <c r="I129" i="9" s="1"/>
  <c r="B126" i="9"/>
  <c r="G126" i="9" s="1"/>
  <c r="B125" i="9"/>
  <c r="G125" i="9" s="1"/>
  <c r="B124" i="9"/>
  <c r="H124" i="9" s="1"/>
  <c r="B123" i="9"/>
  <c r="I123" i="9" s="1"/>
  <c r="B122" i="9"/>
  <c r="I122" i="9" s="1"/>
  <c r="B121" i="9"/>
  <c r="G121" i="9" s="1"/>
  <c r="B118" i="9"/>
  <c r="H118" i="9" s="1"/>
  <c r="B116" i="9"/>
  <c r="H116" i="9" s="1"/>
  <c r="B115" i="9"/>
  <c r="H115" i="9" s="1"/>
  <c r="M54" i="9"/>
  <c r="M55" i="9"/>
  <c r="M57" i="9"/>
  <c r="M58" i="9"/>
  <c r="M59" i="9"/>
  <c r="M60" i="9"/>
  <c r="M61" i="9"/>
  <c r="M62" i="9"/>
  <c r="M63" i="9"/>
  <c r="M65" i="9"/>
  <c r="M66" i="9"/>
  <c r="M67" i="9"/>
  <c r="M68" i="9"/>
  <c r="M69" i="9"/>
  <c r="M70" i="9"/>
  <c r="J53" i="9"/>
  <c r="K53" i="9"/>
  <c r="L53" i="9"/>
  <c r="J54" i="9"/>
  <c r="K54" i="9"/>
  <c r="L54" i="9"/>
  <c r="J55" i="9"/>
  <c r="K55" i="9"/>
  <c r="L55" i="9"/>
  <c r="J57" i="9"/>
  <c r="K57" i="9"/>
  <c r="L57" i="9"/>
  <c r="J58" i="9"/>
  <c r="K58" i="9"/>
  <c r="L58" i="9"/>
  <c r="J59" i="9"/>
  <c r="K59" i="9"/>
  <c r="L59" i="9"/>
  <c r="J60" i="9"/>
  <c r="K60" i="9"/>
  <c r="L60" i="9"/>
  <c r="J61" i="9"/>
  <c r="K61" i="9"/>
  <c r="L61" i="9"/>
  <c r="J62" i="9"/>
  <c r="K62" i="9"/>
  <c r="L62" i="9"/>
  <c r="J63" i="9"/>
  <c r="K63" i="9"/>
  <c r="L63" i="9"/>
  <c r="J65" i="9"/>
  <c r="K65" i="9"/>
  <c r="L65" i="9"/>
  <c r="J66" i="9"/>
  <c r="K66" i="9"/>
  <c r="L66" i="9"/>
  <c r="J67" i="9"/>
  <c r="K67" i="9"/>
  <c r="L67" i="9"/>
  <c r="J68" i="9"/>
  <c r="K68" i="9"/>
  <c r="L68" i="9"/>
  <c r="J69" i="9"/>
  <c r="K69" i="9"/>
  <c r="L69" i="9"/>
  <c r="J70" i="9"/>
  <c r="K70" i="9"/>
  <c r="L70" i="9"/>
  <c r="I54" i="9"/>
  <c r="I55" i="9"/>
  <c r="I57" i="9"/>
  <c r="I58" i="9"/>
  <c r="I59" i="9"/>
  <c r="I60" i="9"/>
  <c r="I61" i="9"/>
  <c r="I62" i="9"/>
  <c r="I63" i="9"/>
  <c r="I65" i="9"/>
  <c r="I66" i="9"/>
  <c r="I67" i="9"/>
  <c r="I68" i="9"/>
  <c r="I69" i="9"/>
  <c r="I70" i="9"/>
  <c r="I53" i="9"/>
  <c r="I2" i="9"/>
  <c r="I3" i="9"/>
  <c r="I4" i="9"/>
  <c r="I5" i="9"/>
  <c r="I6" i="9"/>
  <c r="I7" i="9"/>
  <c r="I8" i="9"/>
  <c r="I9" i="9"/>
  <c r="I10" i="9"/>
  <c r="I11" i="9"/>
  <c r="I12" i="9"/>
  <c r="I13" i="9"/>
  <c r="I15" i="9"/>
  <c r="I18" i="9"/>
  <c r="I19" i="9"/>
  <c r="I20" i="9"/>
  <c r="I21" i="9"/>
  <c r="I24" i="9"/>
  <c r="I25" i="9"/>
  <c r="B23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27" i="12"/>
  <c r="D28" i="12"/>
  <c r="D29" i="12"/>
  <c r="D30" i="12"/>
  <c r="D26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19" i="12"/>
  <c r="D18" i="12"/>
  <c r="D17" i="12"/>
  <c r="D16" i="12"/>
  <c r="D15" i="12"/>
  <c r="D14" i="12"/>
  <c r="D13" i="12"/>
  <c r="D11" i="12"/>
  <c r="D9" i="12"/>
  <c r="D7" i="12"/>
  <c r="D4" i="12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M43" i="19" l="1"/>
  <c r="M50" i="19"/>
  <c r="J57" i="19"/>
  <c r="H57" i="19"/>
  <c r="M51" i="19"/>
  <c r="M49" i="19"/>
  <c r="M45" i="19"/>
  <c r="L57" i="19"/>
  <c r="M47" i="19"/>
  <c r="C76" i="19"/>
  <c r="M55" i="19"/>
  <c r="K57" i="19"/>
  <c r="M46" i="19"/>
  <c r="M56" i="19"/>
  <c r="F66" i="22"/>
  <c r="F29" i="22"/>
  <c r="K42" i="22"/>
  <c r="K41" i="22"/>
  <c r="K46" i="22"/>
  <c r="E76" i="23"/>
  <c r="D36" i="23"/>
  <c r="B36" i="23"/>
  <c r="J57" i="23"/>
  <c r="C76" i="23"/>
  <c r="G57" i="23"/>
  <c r="J50" i="22"/>
  <c r="K40" i="22"/>
  <c r="K45" i="22"/>
  <c r="H50" i="22"/>
  <c r="G50" i="22"/>
  <c r="K39" i="22"/>
  <c r="K44" i="22"/>
  <c r="K49" i="22"/>
  <c r="B29" i="22"/>
  <c r="I50" i="22"/>
  <c r="E66" i="22"/>
  <c r="C66" i="22"/>
  <c r="K38" i="22"/>
  <c r="K43" i="22"/>
  <c r="K48" i="22"/>
  <c r="D66" i="22"/>
  <c r="D29" i="22"/>
  <c r="B66" i="22"/>
  <c r="M43" i="20"/>
  <c r="M42" i="20"/>
  <c r="M41" i="20"/>
  <c r="B76" i="23"/>
  <c r="C29" i="22"/>
  <c r="E76" i="19"/>
  <c r="G76" i="19"/>
  <c r="D76" i="19"/>
  <c r="B36" i="19"/>
  <c r="B61" i="20"/>
  <c r="D61" i="20"/>
  <c r="D29" i="20"/>
  <c r="B57" i="5" s="1" a="1"/>
  <c r="B29" i="20"/>
  <c r="G29" i="20"/>
  <c r="G61" i="20"/>
  <c r="C61" i="20"/>
  <c r="F61" i="20"/>
  <c r="C29" i="20"/>
  <c r="E29" i="20"/>
  <c r="F29" i="20"/>
  <c r="E61" i="20"/>
  <c r="D76" i="23"/>
  <c r="E36" i="23"/>
  <c r="C36" i="23"/>
  <c r="F76" i="23"/>
  <c r="F36" i="23"/>
  <c r="E29" i="22"/>
  <c r="F76" i="19"/>
  <c r="D36" i="19"/>
  <c r="B76" i="19"/>
  <c r="C36" i="19"/>
  <c r="E36" i="19"/>
  <c r="G36" i="19"/>
  <c r="F36" i="19"/>
  <c r="B88" i="14"/>
  <c r="B55" i="14"/>
  <c r="E49" i="14"/>
  <c r="C55" i="14"/>
  <c r="E52" i="14"/>
  <c r="D55" i="14"/>
  <c r="E55" i="14" s="1"/>
  <c r="E45" i="14"/>
  <c r="H129" i="9"/>
  <c r="H125" i="9"/>
  <c r="H122" i="9"/>
  <c r="G116" i="9"/>
  <c r="G131" i="9"/>
  <c r="G130" i="9"/>
  <c r="G118" i="9"/>
  <c r="I132" i="9"/>
  <c r="I126" i="9"/>
  <c r="I118" i="9"/>
  <c r="G129" i="9"/>
  <c r="H126" i="9"/>
  <c r="I125" i="9"/>
  <c r="H132" i="9"/>
  <c r="G115" i="9"/>
  <c r="I131" i="9"/>
  <c r="I116" i="9"/>
  <c r="I121" i="9"/>
  <c r="H121" i="9"/>
  <c r="I71" i="9"/>
  <c r="G124" i="9"/>
  <c r="I130" i="9"/>
  <c r="I115" i="9"/>
  <c r="G123" i="9"/>
  <c r="H123" i="9"/>
  <c r="I124" i="9"/>
  <c r="M71" i="9"/>
  <c r="G122" i="9"/>
  <c r="K71" i="9"/>
  <c r="L71" i="9"/>
  <c r="J71" i="9"/>
  <c r="I26" i="9"/>
  <c r="C23" i="3"/>
  <c r="N48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26" i="3"/>
  <c r="E9" i="3"/>
  <c r="E15" i="3"/>
  <c r="E17" i="3"/>
  <c r="E18" i="3"/>
  <c r="E7" i="3"/>
  <c r="E11" i="3"/>
  <c r="E13" i="3"/>
  <c r="E14" i="3"/>
  <c r="E16" i="3"/>
  <c r="E19" i="3"/>
  <c r="E4" i="3"/>
  <c r="G15" i="1"/>
  <c r="G14" i="1"/>
  <c r="G13" i="1"/>
  <c r="G12" i="1"/>
  <c r="G11" i="1"/>
  <c r="G10" i="1"/>
  <c r="G9" i="1"/>
  <c r="G8" i="1"/>
  <c r="G7" i="1"/>
  <c r="G6" i="1"/>
  <c r="G5" i="1"/>
  <c r="G4" i="1"/>
  <c r="G3" i="1"/>
  <c r="D15" i="1"/>
  <c r="D4" i="1"/>
  <c r="D5" i="1"/>
  <c r="D6" i="1"/>
  <c r="D7" i="1"/>
  <c r="D8" i="1"/>
  <c r="D9" i="1"/>
  <c r="D10" i="1"/>
  <c r="D11" i="1"/>
  <c r="D12" i="1"/>
  <c r="D13" i="1"/>
  <c r="D14" i="1"/>
  <c r="D3" i="1"/>
  <c r="B57" i="5" l="1"/>
  <c r="I69" i="5"/>
  <c r="I70" i="5" s="1"/>
  <c r="H69" i="5"/>
  <c r="H29" i="20"/>
  <c r="B17" i="5" a="1"/>
  <c r="B17" i="5" s="1"/>
  <c r="G33" i="22"/>
  <c r="G29" i="22"/>
  <c r="H36" i="19"/>
  <c r="G37" i="23"/>
  <c r="G36" i="23"/>
  <c r="H133" i="9"/>
  <c r="I133" i="9"/>
  <c r="I134" i="9"/>
  <c r="G133" i="9"/>
  <c r="G134" i="9" s="1"/>
  <c r="H13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Sungkeun</author>
  </authors>
  <commentList>
    <comment ref="B27" authorId="0" shapeId="0" xr:uid="{55ED6191-8BA6-0645-94EE-DF7CED0374C5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Symbol multiply defined!
</t>
        </r>
      </text>
    </comment>
    <comment ref="B29" authorId="0" shapeId="0" xr:uid="{154E986B-4033-E941-B8E9-2BC68F5AC83A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Assert(i &lt; NumArgs) in Function::getARgs(unsigned i)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31" authorId="0" shapeId="0" xr:uid="{1698DD2D-C3FA-014B-8085-5C83E01BD452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Symbol multiply defined!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37" authorId="0" shapeId="0" xr:uid="{4CF91460-131A-FB45-AA8E-45C570AD4632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Assert(i &lt; NumArgs) in Function::getARgs(unsigned i)</t>
        </r>
      </text>
    </comment>
    <comment ref="B39" authorId="0" shapeId="0" xr:uid="{CC081967-49EC-CE4F-9AA0-45A0429E52AD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Killed due to OOM
</t>
        </r>
      </text>
    </comment>
    <comment ref="B43" authorId="0" shapeId="0" xr:uid="{9D8C16D1-2854-F44A-92AE-51E617C6EE17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Symbol multiply defined!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B45" authorId="0" shapeId="0" xr:uid="{FDD83A3F-353D-5B48-A5D5-E18325AFE7CB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Assert(i &lt; NumArgs) in Function::getARgs(unsigned i)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  <comment ref="B47" authorId="0" shapeId="0" xr:uid="{24993A4C-048D-724D-82EA-2D6FCFDDB8DE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>Symbol multiply defined!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Sungkeun</author>
  </authors>
  <commentList>
    <comment ref="B1" authorId="0" shapeId="0" xr:uid="{3F0B510B-A188-A04E-ADD6-91A58367AA58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C1" authorId="0" shapeId="0" xr:uid="{A7B00C6B-E516-DF4E-B5BE-B403D3CC540E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D1" authorId="0" shapeId="0" xr:uid="{77547CE3-C3EC-DD49-819E-90339306625C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H1" authorId="0" shapeId="0" xr:uid="{31AEA5DB-A4DC-4140-B0FD-663D0AE10B91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B32" authorId="0" shapeId="0" xr:uid="{0BC82C1D-E408-6A4D-8B81-51D6E9B586FE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C32" authorId="0" shapeId="0" xr:uid="{A69691B1-93B5-5548-ABFC-B1EA69941877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D32" authorId="0" shapeId="0" xr:uid="{D8FAC19C-1094-8142-BFB0-B12982892E13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F32" authorId="0" shapeId="0" xr:uid="{1B7072F1-613C-814C-9DB9-F02A577C08FE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B52" authorId="0" shapeId="0" xr:uid="{BD36F013-6625-0643-86B4-A9BB74FF7F83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C52" authorId="0" shapeId="0" xr:uid="{4E51CF4F-D7BA-3E40-8AED-830F09EC4144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D52" authorId="0" shapeId="0" xr:uid="{BD2B0767-AF48-4D47-89B5-7B8230339D2C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F52" authorId="0" shapeId="0" xr:uid="{6511D4F5-B2B6-D74F-8233-5CCE27AF123A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I52" authorId="0" shapeId="0" xr:uid="{CE53D344-A078-CF41-8FFD-F6A771ACE6D8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J52" authorId="0" shapeId="0" xr:uid="{511154EA-5114-AD42-B927-362F083BC217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L52" authorId="0" shapeId="0" xr:uid="{551A3116-C397-BC41-BF01-86B75E5C972E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B74" authorId="0" shapeId="0" xr:uid="{751084E5-2E1A-C74C-9D0D-9677837B504B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C74" authorId="0" shapeId="0" xr:uid="{4E88AEF4-6DA2-4E4D-B787-5C62E6D3F6F4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D74" authorId="0" shapeId="0" xr:uid="{D549790F-6DE3-8946-8EA6-DB23EBD821F4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F74" authorId="0" shapeId="0" xr:uid="{1B0C0211-A91C-F54E-86DC-FC635471D9FA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Sungkeun</author>
  </authors>
  <commentList>
    <comment ref="D66" authorId="0" shapeId="0" xr:uid="{9D383BFB-5891-1449-BC46-3C74403DF28E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It takes too short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Sungkeun</author>
  </authors>
  <commentList>
    <comment ref="B1" authorId="0" shapeId="0" xr:uid="{A5FA2820-2C1C-F149-8E67-FF7617A40318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C1" authorId="0" shapeId="0" xr:uid="{F013A3B4-84B0-644D-A0F5-FAE9431627F6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D1" authorId="0" shapeId="0" xr:uid="{5C44A8CE-6B9F-6A45-A5A0-3258D33425A0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F1" authorId="0" shapeId="0" xr:uid="{F88B6648-2AD0-5E4A-B6A9-396453C638BA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B21" authorId="0" shapeId="0" xr:uid="{539D3414-605E-344E-A9D2-5F5F775A5E27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D21" authorId="0" shapeId="0" xr:uid="{E309A703-7E18-3C42-96BE-EB5AAEE989A5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B40" authorId="0" shapeId="0" xr:uid="{F807C93F-C304-C64B-A04A-AA4A5031EC94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D40" authorId="0" shapeId="0" xr:uid="{041A17C0-732F-CB40-9C35-A66B52CD0E06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B60" authorId="0" shapeId="0" xr:uid="{E6EFABC6-95B9-B848-9063-794AC65B45C5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E60" authorId="0" shapeId="0" xr:uid="{F974701C-2DA7-FE47-9173-54354EBD9E10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F60" authorId="0" shapeId="0" xr:uid="{5B71D47F-3444-7745-A8AB-7673F76775F0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B75" authorId="0" shapeId="0" xr:uid="{C13D67F6-0FFA-3F49-AEBD-C2CB9CCA0E32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E75" authorId="0" shapeId="0" xr:uid="{052C9854-27BF-2141-8AAC-5FC15D8047F7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  <comment ref="F75" authorId="0" shapeId="0" xr:uid="{C5FB6E09-EDC3-CC4C-A333-A64AEF0B0E22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1. Register callbacks at call/call_ind/return
</t>
        </r>
        <r>
          <rPr>
            <sz val="10"/>
            <color rgb="FF000000"/>
            <rFont val="Tahoma"/>
            <family val="2"/>
          </rPr>
          <t xml:space="preserve">2. Do nothing at each callback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Kim, Sungkeun</author>
  </authors>
  <commentList>
    <comment ref="B32" authorId="0" shapeId="0" xr:uid="{9C84954A-B119-664A-BDCB-F31B2896BF0D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Link Time error
</t>
        </r>
      </text>
    </comment>
    <comment ref="B91" authorId="0" shapeId="0" xr:uid="{9C4822DC-97FE-9544-A22A-4C922E78BDED}">
      <text>
        <r>
          <rPr>
            <b/>
            <sz val="10"/>
            <color rgb="FF000000"/>
            <rFont val="Tahoma"/>
            <family val="2"/>
          </rPr>
          <t>Kim, Sungkeun: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Link Time error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<sst xmlns="http://schemas.openxmlformats.org/spreadsheetml/2006/main" count="2377" uniqueCount="309">
  <si>
    <t>For_SPEC_TEST is not defined</t>
  </si>
  <si>
    <t>For_SPEC_TEST is defined</t>
  </si>
  <si>
    <t>BaseDr (ms)</t>
  </si>
  <si>
    <t>DrCCTProf (ms)</t>
  </si>
  <si>
    <t>Slowdown (DrCCTProf/Base)</t>
  </si>
  <si>
    <t>perlbench_s</t>
  </si>
  <si>
    <t>gcc_s</t>
  </si>
  <si>
    <t>mcf_s</t>
  </si>
  <si>
    <t>cactuBSSN_s</t>
  </si>
  <si>
    <t>lbm_s</t>
  </si>
  <si>
    <t>omnetpp_s</t>
  </si>
  <si>
    <t>xalancbmk_s</t>
  </si>
  <si>
    <t>x264_s</t>
  </si>
  <si>
    <t>deepsjeng</t>
  </si>
  <si>
    <t>imagick_s</t>
  </si>
  <si>
    <t>leela_s</t>
  </si>
  <si>
    <t>nab_s</t>
  </si>
  <si>
    <t>xz_s</t>
  </si>
  <si>
    <t>[drcctlib[fwk](hpcserver.cse.tamu.edu5493) msg]====Preallocated IPNodes exhausted. CCTLib couldn't fit your application in its memory. Try a smaller program.</t>
  </si>
  <si>
    <t>For_SPEC_TEST is not defiened</t>
  </si>
  <si>
    <t>For_SPEC_TEST is  defiened</t>
  </si>
  <si>
    <t>Max Context Handle</t>
  </si>
  <si>
    <t>DrCCTLibProf</t>
  </si>
  <si>
    <t>DCCE (MaxID)</t>
  </si>
  <si>
    <t>PCCE (Recursive) - Sum of numCCs</t>
  </si>
  <si>
    <t>no. Back edges</t>
  </si>
  <si>
    <t>wpa: /home/sungkeun/git/DCCE/SVF/llvm-12.0.0.obj/include/llvm/IR/Function.h:781: llvm::Argument* llvm::Function::getArg(unsigned int) const: Assertion `i &lt; NumArgs &amp;&amp; "getArg() out of range!"' failed.</t>
  </si>
  <si>
    <t>508.namd_r</t>
  </si>
  <si>
    <t>510.parest_r</t>
  </si>
  <si>
    <t>511.povray_r</t>
  </si>
  <si>
    <t>600.perlbench_s</t>
  </si>
  <si>
    <t>602.gcc_s</t>
  </si>
  <si>
    <t>605.mcf_s</t>
  </si>
  <si>
    <t>607.cactuBSSN_s</t>
  </si>
  <si>
    <t>619.lbm_s</t>
  </si>
  <si>
    <t>620.omnetpp_s</t>
  </si>
  <si>
    <t>623.xalancbmk_s</t>
  </si>
  <si>
    <t>625.x264_s</t>
  </si>
  <si>
    <t>631.deepsjeng_s</t>
  </si>
  <si>
    <t>638.imagick_s</t>
  </si>
  <si>
    <t>641.leela_s</t>
  </si>
  <si>
    <t>644.nab_s</t>
  </si>
  <si>
    <t>657.xz_s</t>
  </si>
  <si>
    <t>SVF</t>
  </si>
  <si>
    <t>DCCE</t>
  </si>
  <si>
    <t>PCCE</t>
  </si>
  <si>
    <t>Valence</t>
  </si>
  <si>
    <t>Nodes</t>
  </si>
  <si>
    <t>Cyclic Edges</t>
  </si>
  <si>
    <t>MaxID</t>
  </si>
  <si>
    <t>Sum(numCC)</t>
  </si>
  <si>
    <t>Edges</t>
  </si>
  <si>
    <t>Cyclick Edges</t>
  </si>
  <si>
    <t>Language</t>
  </si>
  <si>
    <t>KLOC</t>
  </si>
  <si>
    <t>Reachable nodes</t>
  </si>
  <si>
    <t>Not Reachable</t>
  </si>
  <si>
    <t>Total</t>
  </si>
  <si>
    <t>Indirect Calls</t>
  </si>
  <si>
    <t>Reachable Edge</t>
  </si>
  <si>
    <t>max_num_callees</t>
  </si>
  <si>
    <t>C++</t>
  </si>
  <si>
    <t>C++,C</t>
  </si>
  <si>
    <t>C</t>
  </si>
  <si>
    <t>C++,C,Fortran</t>
  </si>
  <si>
    <t>MAX_NUM_64BIT</t>
  </si>
  <si>
    <t>Bench marks (C/C++ only)</t>
  </si>
  <si>
    <t>total</t>
  </si>
  <si>
    <t>Not Reachable nodes</t>
  </si>
  <si>
    <t>Indirect Call</t>
  </si>
  <si>
    <t>Back Edges</t>
  </si>
  <si>
    <t>Sumof(NumCC)</t>
  </si>
  <si>
    <t>Rate Integer</t>
  </si>
  <si>
    <t>500.perlbench_r</t>
  </si>
  <si>
    <t>502.gcc_r</t>
  </si>
  <si>
    <t>505.mcf_r</t>
  </si>
  <si>
    <t>520.omnetpp_r</t>
  </si>
  <si>
    <t>523.xalancbmk_r</t>
  </si>
  <si>
    <t>519.lbm_r</t>
  </si>
  <si>
    <t>525.x264_r</t>
  </si>
  <si>
    <t>531.deepsjeng_r</t>
  </si>
  <si>
    <t>541.leela_r</t>
  </si>
  <si>
    <t>538.imagick_r</t>
  </si>
  <si>
    <t>557.xz_r</t>
  </si>
  <si>
    <t>Rate Float</t>
  </si>
  <si>
    <t>544.nab_r</t>
  </si>
  <si>
    <t>526.blender_r</t>
  </si>
  <si>
    <t>Speed Integer</t>
  </si>
  <si>
    <t>Speed Float</t>
  </si>
  <si>
    <t>CCW Weight greater than MAX_NUM_64BIT, it will be 0 and not added to ccweight attribute</t>
  </si>
  <si>
    <t>Benchmarks</t>
  </si>
  <si>
    <t>build bitcode embedded excutable</t>
  </si>
  <si>
    <t>2. Callgraph Gen.</t>
  </si>
  <si>
    <t>3. Encoding CCW</t>
  </si>
  <si>
    <t>4. Embedding CCW to bc</t>
  </si>
  <si>
    <t>5. CCW Gen.</t>
  </si>
  <si>
    <t>6. CCW Test</t>
  </si>
  <si>
    <t>Exceeded 64bit range</t>
  </si>
  <si>
    <t>Out of memory. Program aborted</t>
  </si>
  <si>
    <t>takes hours to finish</t>
  </si>
  <si>
    <t>548.exchange2_r</t>
  </si>
  <si>
    <t>Fortran</t>
  </si>
  <si>
    <t>503.bwaves_r</t>
  </si>
  <si>
    <t>507.cactuBSSN_r</t>
  </si>
  <si>
    <t>C++, C, Fortran</t>
  </si>
  <si>
    <t>Killed due to OOM</t>
  </si>
  <si>
    <t>C++, C</t>
  </si>
  <si>
    <t>521.wrf_r</t>
  </si>
  <si>
    <t>Fortran, C</t>
  </si>
  <si>
    <t>527.cam4_r</t>
  </si>
  <si>
    <t>549.fotonik3d_r</t>
  </si>
  <si>
    <t>554.roms_r</t>
  </si>
  <si>
    <t>Symbol multiply defined!</t>
  </si>
  <si>
    <t>Failed (internal crash), Completed w/o DrCCTLib</t>
  </si>
  <si>
    <t>Assert(i &lt; NumArgs) in Function::getARgs(unsigned i)</t>
  </si>
  <si>
    <t>648.exchange2_s</t>
  </si>
  <si>
    <t>603.bwaves_s</t>
  </si>
  <si>
    <t>621.wrf_s</t>
  </si>
  <si>
    <t>627.cam4_s</t>
  </si>
  <si>
    <t>628.pop2_s</t>
  </si>
  <si>
    <t>649.fotonik3d_s</t>
  </si>
  <si>
    <t>654.roms_s</t>
  </si>
  <si>
    <t>O3</t>
  </si>
  <si>
    <t>bc</t>
  </si>
  <si>
    <t>callgraph</t>
  </si>
  <si>
    <t>ccenc</t>
  </si>
  <si>
    <t>ccweight (bc + ccw)</t>
  </si>
  <si>
    <t>CCW Test</t>
  </si>
  <si>
    <t>O</t>
  </si>
  <si>
    <t>O2</t>
  </si>
  <si>
    <t>1. Build bitcode embedded excutable extract bitcode (flto)</t>
  </si>
  <si>
    <t>Function.h:781: llvm::Argument* llvm::Function::getArg(unsigned int) const: Assertion `i &lt; NumArgs &amp;&amp; "getArg() out of range!"' failed.</t>
  </si>
  <si>
    <t>on real machine (HPCServer)</t>
  </si>
  <si>
    <t>drclient_empty</t>
  </si>
  <si>
    <t>drcctlib_callret_overhead_test</t>
  </si>
  <si>
    <t>101.test-pcce-fig-5a</t>
  </si>
  <si>
    <t>102.test-indirect-call</t>
  </si>
  <si>
    <t>103.test-libc-nostatic-nodebug</t>
  </si>
  <si>
    <t>103.test-libc-static-nodebug</t>
  </si>
  <si>
    <t>103.test-libc-static-debug</t>
  </si>
  <si>
    <t>104.test-backedge</t>
  </si>
  <si>
    <t>105.test-functionname</t>
  </si>
  <si>
    <t>106.test-machinecode</t>
  </si>
  <si>
    <t>108.test-mleak</t>
  </si>
  <si>
    <t>Out of memory</t>
  </si>
  <si>
    <t>109.test-matadd</t>
  </si>
  <si>
    <t>takes more than one day</t>
  </si>
  <si>
    <t>Preallocated IPNodes exhauste</t>
  </si>
  <si>
    <t>5. Rebuild exe with bc</t>
  </si>
  <si>
    <t>6. CCW Gen.</t>
  </si>
  <si>
    <t>Many undefined reference</t>
  </si>
  <si>
    <t>Running</t>
  </si>
  <si>
    <t>SPEED UP (drcctlib/DCCE)</t>
  </si>
  <si>
    <t>7. CCW Test (w/ CCID update)</t>
  </si>
  <si>
    <t>&lt;-- only SPEC</t>
  </si>
  <si>
    <t>wpa: /home/sungkeun/git/DCCE/SVF/llvm-12.0.0/llvm/include/llvm/IR/Function.h:781: llvm::Argument* llvm::Function::getArg(unsigned int) const: Assertion `i &lt; NumArgs &amp;&amp; "getArg() out of range!"' failed.</t>
  </si>
  <si>
    <t>Assertion in Function::getArg</t>
  </si>
  <si>
    <t>Done</t>
  </si>
  <si>
    <t>OOM</t>
  </si>
  <si>
    <t>before lto, -O3, -nog</t>
  </si>
  <si>
    <t>MAX_ID</t>
  </si>
  <si>
    <t>MAXID Overflow</t>
  </si>
  <si>
    <t xml:space="preserve">drclient_callret_overhead_test </t>
  </si>
  <si>
    <t xml:space="preserve">drclient_ccw_test(ver1) </t>
  </si>
  <si>
    <t xml:space="preserve">drclient_ccw_test (free res after use) </t>
  </si>
  <si>
    <t xml:space="preserve">drclient_ccw_test(ver2) </t>
  </si>
  <si>
    <t>100.test-pcce-fig-4</t>
  </si>
  <si>
    <t>bitcode before lto</t>
  </si>
  <si>
    <t>bitcode after lto</t>
  </si>
  <si>
    <t xml:space="preserve">drclient_ccw_test </t>
  </si>
  <si>
    <t>geomean</t>
  </si>
  <si>
    <t>Speedup (DCCE vs DrCCTLib)</t>
  </si>
  <si>
    <t>Old binary</t>
  </si>
  <si>
    <t>New Binary (-flto) - run1</t>
  </si>
  <si>
    <t>New Binary (-flto) - run2</t>
  </si>
  <si>
    <t>geomean without 631</t>
  </si>
  <si>
    <t>drcctlib_callret_overhead( Old binary, -O3)</t>
  </si>
  <si>
    <t>drcctlib_callret_overhead (New Binary, -flto, -O3)</t>
  </si>
  <si>
    <t>Speedup (Old/New)</t>
  </si>
  <si>
    <t>0. build binary</t>
  </si>
  <si>
    <t>wpa: /home/ksungkeun84/git/DCCE/SVF/include/Graphs/GenericGraph.h:394: SVF::GenericGraph&lt;NodeTy, EdgeTy&gt;::NodeType* SVF::GenericGraph&lt;NodeTy, EdgeTy&gt;::getGNode(SVF::NodeID) const [with NodeTy = SVF::PAGNode; EdgeTy = SVF::PAGEdge; SVF::GenericGraph&lt;NodeTy, EdgeTy&gt;::NodeType = SVF::PAGNode; SVF::NodeID = unsigned int]: Assertion `it != IDToNodeMap.end() &amp;&amp; "Node not found!"' failed.</t>
  </si>
  <si>
    <t>Overflow MAXID</t>
  </si>
  <si>
    <t>Never finish</t>
  </si>
  <si>
    <t>No instrument</t>
  </si>
  <si>
    <t>DrCCTLib</t>
  </si>
  <si>
    <t>505.mcf_r.out:process_start_time:</t>
  </si>
  <si>
    <t>508.namd_r.out:process_start_time:</t>
  </si>
  <si>
    <t>510.parest_r.out:process_start_time:</t>
  </si>
  <si>
    <t>519.lbm_r.out:process_start_time:</t>
  </si>
  <si>
    <t>523.xalancbmk_r.out:process_start_time:</t>
  </si>
  <si>
    <t>525.x264_r.out:process_start_time:</t>
  </si>
  <si>
    <t>541.leela_r.out:process_start_time:</t>
  </si>
  <si>
    <t>557.xz_r.out:process_start_time:</t>
  </si>
  <si>
    <t>605.mcf_s.out:process_start_time:</t>
  </si>
  <si>
    <t>619.lbm_s.out:process_start_time:</t>
  </si>
  <si>
    <t>623.xalancbmk_s.out:process_start_time:</t>
  </si>
  <si>
    <t>625.x264_s.out:process_start_time:</t>
  </si>
  <si>
    <t>641.leela_s.out:process_start_time:</t>
  </si>
  <si>
    <t>657.xz_s.out:process_start_time:</t>
  </si>
  <si>
    <t>Max CCID</t>
  </si>
  <si>
    <t>Stack Depth</t>
  </si>
  <si>
    <t>Static</t>
  </si>
  <si>
    <t>Dynamic Max CCID</t>
  </si>
  <si>
    <t>Take too long time</t>
  </si>
  <si>
    <t>CCID Overflow</t>
  </si>
  <si>
    <t>DCCE vs. DrCCTLib</t>
  </si>
  <si>
    <t>Not 
Reachable nodes</t>
  </si>
  <si>
    <t>701.BARNES</t>
  </si>
  <si>
    <t>702.CHOLESKY</t>
  </si>
  <si>
    <t>703.FFT</t>
  </si>
  <si>
    <t>704.FMM</t>
  </si>
  <si>
    <t>705.LU-CB</t>
  </si>
  <si>
    <t>706.LU-NCB</t>
  </si>
  <si>
    <t>707.OCEAN-CP</t>
  </si>
  <si>
    <t>708.OCEAN-NCP</t>
  </si>
  <si>
    <t>709.RADIOSITY</t>
  </si>
  <si>
    <t>710.RADIX</t>
  </si>
  <si>
    <t>713.WATER-NSQUARED</t>
  </si>
  <si>
    <t>714.WATER-SPATIAL</t>
  </si>
  <si>
    <t>SPEC 2017</t>
  </si>
  <si>
    <t>Splash-3</t>
  </si>
  <si>
    <t>Static barriers</t>
  </si>
  <si>
    <t>Dynamic barriers</t>
  </si>
  <si>
    <t>8 threads</t>
  </si>
  <si>
    <t>16 threads</t>
  </si>
  <si>
    <t>Overhead of CCID update</t>
  </si>
  <si>
    <t>goemean</t>
  </si>
  <si>
    <t>DCCE (CCUpdate)</t>
  </si>
  <si>
    <t>DCCE (CCUpdate + GetCC)</t>
  </si>
  <si>
    <t>DrCCTLib (CCUpdate)</t>
  </si>
  <si>
    <t>DrCCTLib (CCUpdate + GetCC)</t>
  </si>
  <si>
    <t>Base (empty client)</t>
  </si>
  <si>
    <t>DCCE Vs. DrCCTLib (CCUpdate + GetCC)</t>
  </si>
  <si>
    <t>Native</t>
  </si>
  <si>
    <t>#total calls</t>
  </si>
  <si>
    <t>Runtime Overhead</t>
  </si>
  <si>
    <t>Memory Overhead (kbytes)</t>
  </si>
  <si>
    <t>Indrect Calls</t>
  </si>
  <si>
    <t>MAX CCID</t>
  </si>
  <si>
    <t xml:space="preserve">Runtime </t>
  </si>
  <si>
    <t>CCID Update (DCCE)</t>
  </si>
  <si>
    <t>CCID Update + GetCC (DCCE)</t>
  </si>
  <si>
    <t>CCID Update (DrCCTProf)</t>
  </si>
  <si>
    <t>CCID Update + GetCC (DrCCTProf)</t>
  </si>
  <si>
    <t>BARNES</t>
  </si>
  <si>
    <t>CHOLESKY</t>
  </si>
  <si>
    <t>FFT</t>
  </si>
  <si>
    <t>FMM</t>
  </si>
  <si>
    <t>LU-CB</t>
  </si>
  <si>
    <t>LU-NCB</t>
  </si>
  <si>
    <t>OCEAN-CP</t>
  </si>
  <si>
    <t>OCEAN-NCP</t>
  </si>
  <si>
    <t>RADIOSITY</t>
  </si>
  <si>
    <t>RADIX</t>
  </si>
  <si>
    <t>WATER-NSQUARED</t>
  </si>
  <si>
    <t>WATER-SPATIAL</t>
  </si>
  <si>
    <t>Runtime overhead (ms)</t>
  </si>
  <si>
    <t>Empty client</t>
  </si>
  <si>
    <t>CCW File Size
(bytes)</t>
  </si>
  <si>
    <t>segfault at push_back function???</t>
  </si>
  <si>
    <t>looks okay, so need to collect # of getCCID at runtime</t>
  </si>
  <si>
    <t>701.BARNES: malloc.c:2379: sysmalloc: Assertion `(old_top == initial_top (av) &amp;&amp; old_size == 0) || ((unsigned long) (old_size) &gt;= MINSIZE &amp;&amp; prev_inuse (old_top) &amp;&amp; ((unsigned long) old_end &amp; (pagesize - 1)) == 0)' failed.</t>
  </si>
  <si>
    <t>Command terminated by signal 11</t>
  </si>
  <si>
    <t>DCCE (CCID Update)</t>
  </si>
  <si>
    <t>DCCE (CCID Update + getCCID)</t>
  </si>
  <si>
    <t>PCCE (CCID Update)</t>
  </si>
  <si>
    <t>PCCE (CCID Update + getCCID)</t>
  </si>
  <si>
    <t>DrCCTProf (CCID Update)</t>
  </si>
  <si>
    <t>DrCCTProf (CCID Update + getCCID)</t>
  </si>
  <si>
    <t>mcf_r</t>
  </si>
  <si>
    <t>namd_r</t>
  </si>
  <si>
    <t>parest_r</t>
  </si>
  <si>
    <t>lbm_r</t>
  </si>
  <si>
    <t>xalancbmk_r</t>
  </si>
  <si>
    <t>x264_r</t>
  </si>
  <si>
    <t>leela_r</t>
  </si>
  <si>
    <t>xz_r</t>
  </si>
  <si>
    <t>DrCCTProf (CCID Update+getCCID)</t>
  </si>
  <si>
    <t>DCCE (CCID Update+getCCID)</t>
  </si>
  <si>
    <t xml:space="preserve">cd </t>
  </si>
  <si>
    <t>2.6K</t>
  </si>
  <si>
    <t>36K</t>
  </si>
  <si>
    <t>179K</t>
  </si>
  <si>
    <t>1.1K</t>
  </si>
  <si>
    <t>70K</t>
  </si>
  <si>
    <t>310K</t>
  </si>
  <si>
    <t>11K</t>
  </si>
  <si>
    <t>31K</t>
  </si>
  <si>
    <t>1.2K</t>
  </si>
  <si>
    <t>#function calls</t>
  </si>
  <si>
    <t>Stack Depts</t>
  </si>
  <si>
    <t>CCW File Size
(KB)</t>
  </si>
  <si>
    <t>MB</t>
  </si>
  <si>
    <t>Edges with non zero weight (PCCE)</t>
  </si>
  <si>
    <t xml:space="preserve">Edges </t>
  </si>
  <si>
    <t>Percentage of Non-zero edge weight (PCCE)</t>
  </si>
  <si>
    <t>CCW lookup (ms/call)</t>
  </si>
  <si>
    <t>CCW loading overhead (ms)</t>
  </si>
  <si>
    <t>memory size of indirect call (KB)</t>
  </si>
  <si>
    <t>memory size of direct call (KB)</t>
  </si>
  <si>
    <t>geomean - Splash-3</t>
  </si>
  <si>
    <t>goemean - SPEC</t>
  </si>
  <si>
    <t>Goemean - SPEC</t>
  </si>
  <si>
    <t>Memory Overhead</t>
  </si>
  <si>
    <t>Gomean - SPEC</t>
  </si>
  <si>
    <t>Geomean - Splash-3</t>
  </si>
  <si>
    <t># CCID updates</t>
  </si>
  <si>
    <t># GetCCID</t>
  </si>
  <si>
    <t>PCCE/DCCE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</si>
</sst>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?_);_(@_)"/>
    <numFmt numFmtId="167" formatCode="0.0"/>
    <numFmt numFmtId="168" formatCode="_(* #,##0.000000_);_(* \(#,##0.000000\);_(* &quot;-&quot;??_);_(@_)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w Cen MT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Tw Cen MT"/>
      <family val="2"/>
    </font>
    <font>
      <sz val="14"/>
      <color rgb="FFFF0000"/>
      <name val="Tw Cen MT"/>
      <family val="2"/>
    </font>
    <font>
      <sz val="14"/>
      <name val="Tw Cen MT"/>
      <family val="2"/>
    </font>
    <font>
      <sz val="14"/>
      <color theme="1"/>
      <name val="Calibri"/>
      <family val="2"/>
      <scheme val="minor"/>
    </font>
    <font>
      <sz val="12"/>
      <color theme="1"/>
      <name val="Tw Cen MT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0" fontId="2" fillId="2" borderId="1" xfId="0" applyFont="1" applyFill="1" applyBorder="1"/>
    <xf numFmtId="164" fontId="2" fillId="2" borderId="1" xfId="1" applyNumberFormat="1" applyFont="1" applyFill="1" applyBorder="1"/>
    <xf numFmtId="0" fontId="0" fillId="0" borderId="1" xfId="0" applyBorder="1" applyAlignment="1">
      <alignment vertical="center"/>
    </xf>
    <xf numFmtId="164" fontId="2" fillId="0" borderId="1" xfId="1" applyNumberFormat="1" applyFont="1" applyFill="1" applyBorder="1"/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/>
    <xf numFmtId="164" fontId="2" fillId="4" borderId="1" xfId="1" applyNumberFormat="1" applyFont="1" applyFill="1" applyBorder="1"/>
    <xf numFmtId="0" fontId="2" fillId="0" borderId="8" xfId="0" applyFont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164" fontId="2" fillId="5" borderId="1" xfId="1" applyNumberFormat="1" applyFont="1" applyFill="1" applyBorder="1"/>
    <xf numFmtId="0" fontId="2" fillId="6" borderId="4" xfId="0" applyFont="1" applyFill="1" applyBorder="1" applyAlignment="1">
      <alignment horizontal="center" vertical="center"/>
    </xf>
    <xf numFmtId="164" fontId="2" fillId="6" borderId="1" xfId="1" applyNumberFormat="1" applyFont="1" applyFill="1" applyBorder="1"/>
    <xf numFmtId="0" fontId="2" fillId="3" borderId="7" xfId="0" applyFont="1" applyFill="1" applyBorder="1" applyAlignment="1">
      <alignment vertical="center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6" fillId="0" borderId="0" xfId="0" applyFont="1"/>
    <xf numFmtId="0" fontId="7" fillId="0" borderId="5" xfId="0" applyFont="1" applyBorder="1"/>
    <xf numFmtId="0" fontId="7" fillId="0" borderId="14" xfId="0" applyFont="1" applyBorder="1"/>
    <xf numFmtId="0" fontId="7" fillId="0" borderId="8" xfId="0" applyFont="1" applyBorder="1"/>
    <xf numFmtId="0" fontId="7" fillId="0" borderId="1" xfId="0" applyFont="1" applyBorder="1"/>
    <xf numFmtId="0" fontId="7" fillId="7" borderId="14" xfId="0" applyFont="1" applyFill="1" applyBorder="1"/>
    <xf numFmtId="0" fontId="7" fillId="7" borderId="1" xfId="0" applyFont="1" applyFill="1" applyBorder="1"/>
    <xf numFmtId="0" fontId="7" fillId="7" borderId="5" xfId="0" applyFont="1" applyFill="1" applyBorder="1"/>
    <xf numFmtId="0" fontId="0" fillId="0" borderId="12" xfId="0" applyBorder="1"/>
    <xf numFmtId="0" fontId="7" fillId="2" borderId="14" xfId="0" applyFont="1" applyFill="1" applyBorder="1"/>
    <xf numFmtId="0" fontId="7" fillId="2" borderId="8" xfId="0" applyFont="1" applyFill="1" applyBorder="1"/>
    <xf numFmtId="0" fontId="7" fillId="2" borderId="1" xfId="0" applyFont="1" applyFill="1" applyBorder="1"/>
    <xf numFmtId="0" fontId="7" fillId="5" borderId="14" xfId="0" applyFont="1" applyFill="1" applyBorder="1"/>
    <xf numFmtId="0" fontId="7" fillId="8" borderId="5" xfId="0" applyFont="1" applyFill="1" applyBorder="1"/>
    <xf numFmtId="43" fontId="0" fillId="0" borderId="0" xfId="0" applyNumberFormat="1"/>
    <xf numFmtId="0" fontId="9" fillId="7" borderId="14" xfId="0" applyFont="1" applyFill="1" applyBorder="1"/>
    <xf numFmtId="0" fontId="7" fillId="4" borderId="14" xfId="0" applyFont="1" applyFill="1" applyBorder="1"/>
    <xf numFmtId="0" fontId="7" fillId="4" borderId="5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7" fillId="0" borderId="4" xfId="0" applyFont="1" applyBorder="1"/>
    <xf numFmtId="0" fontId="7" fillId="7" borderId="2" xfId="0" applyFont="1" applyFill="1" applyBorder="1"/>
    <xf numFmtId="0" fontId="7" fillId="0" borderId="0" xfId="0" applyFont="1"/>
    <xf numFmtId="0" fontId="7" fillId="7" borderId="3" xfId="0" applyFont="1" applyFill="1" applyBorder="1"/>
    <xf numFmtId="0" fontId="2" fillId="0" borderId="0" xfId="0" applyFont="1" applyAlignment="1">
      <alignment vertical="center" textRotation="90"/>
    </xf>
    <xf numFmtId="0" fontId="10" fillId="0" borderId="1" xfId="0" applyFont="1" applyBorder="1"/>
    <xf numFmtId="0" fontId="10" fillId="0" borderId="0" xfId="0" applyFont="1"/>
    <xf numFmtId="0" fontId="10" fillId="0" borderId="1" xfId="0" applyFont="1" applyBorder="1" applyAlignment="1">
      <alignment vertical="center"/>
    </xf>
    <xf numFmtId="164" fontId="10" fillId="0" borderId="0" xfId="0" applyNumberFormat="1" applyFont="1"/>
    <xf numFmtId="0" fontId="7" fillId="7" borderId="4" xfId="0" applyFont="1" applyFill="1" applyBorder="1"/>
    <xf numFmtId="164" fontId="2" fillId="0" borderId="1" xfId="0" applyNumberFormat="1" applyFont="1" applyBorder="1"/>
    <xf numFmtId="165" fontId="2" fillId="0" borderId="1" xfId="1" applyNumberFormat="1" applyFont="1" applyFill="1" applyBorder="1"/>
    <xf numFmtId="164" fontId="8" fillId="0" borderId="1" xfId="1" applyNumberFormat="1" applyFont="1" applyFill="1" applyBorder="1"/>
    <xf numFmtId="165" fontId="8" fillId="0" borderId="1" xfId="1" applyNumberFormat="1" applyFont="1" applyFill="1" applyBorder="1"/>
    <xf numFmtId="0" fontId="2" fillId="0" borderId="14" xfId="0" applyFont="1" applyBorder="1"/>
    <xf numFmtId="164" fontId="7" fillId="0" borderId="0" xfId="1" applyNumberFormat="1" applyFont="1" applyFill="1" applyBorder="1"/>
    <xf numFmtId="0" fontId="1" fillId="0" borderId="1" xfId="0" applyFont="1" applyBorder="1"/>
    <xf numFmtId="165" fontId="2" fillId="0" borderId="0" xfId="1" applyNumberFormat="1" applyFont="1" applyFill="1" applyBorder="1"/>
    <xf numFmtId="0" fontId="7" fillId="9" borderId="5" xfId="0" applyFont="1" applyFill="1" applyBorder="1"/>
    <xf numFmtId="164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/>
    <xf numFmtId="43" fontId="11" fillId="0" borderId="1" xfId="1" applyFont="1" applyBorder="1"/>
    <xf numFmtId="164" fontId="11" fillId="0" borderId="1" xfId="1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43" fontId="2" fillId="0" borderId="1" xfId="1" applyFont="1" applyBorder="1"/>
    <xf numFmtId="43" fontId="2" fillId="0" borderId="0" xfId="1" applyFont="1" applyBorder="1"/>
    <xf numFmtId="164" fontId="2" fillId="0" borderId="0" xfId="1" applyNumberFormat="1" applyFont="1" applyBorder="1"/>
    <xf numFmtId="0" fontId="2" fillId="6" borderId="1" xfId="0" applyFont="1" applyFill="1" applyBorder="1"/>
    <xf numFmtId="0" fontId="2" fillId="0" borderId="17" xfId="0" applyFont="1" applyBorder="1" applyAlignment="1">
      <alignment vertical="center" wrapText="1"/>
    </xf>
    <xf numFmtId="164" fontId="2" fillId="9" borderId="1" xfId="1" applyNumberFormat="1" applyFont="1" applyFill="1" applyBorder="1"/>
    <xf numFmtId="164" fontId="2" fillId="0" borderId="0" xfId="0" applyNumberFormat="1" applyFont="1"/>
    <xf numFmtId="166" fontId="2" fillId="0" borderId="1" xfId="1" applyNumberFormat="1" applyFont="1" applyBorder="1"/>
    <xf numFmtId="167" fontId="2" fillId="0" borderId="1" xfId="0" applyNumberFormat="1" applyFont="1" applyBorder="1"/>
    <xf numFmtId="167" fontId="2" fillId="0" borderId="0" xfId="0" applyNumberFormat="1" applyFont="1"/>
    <xf numFmtId="164" fontId="7" fillId="0" borderId="5" xfId="0" applyNumberFormat="1" applyFont="1" applyBorder="1"/>
    <xf numFmtId="0" fontId="2" fillId="0" borderId="1" xfId="0" applyFont="1" applyBorder="1" applyAlignment="1">
      <alignment vertical="center" wrapText="1"/>
    </xf>
    <xf numFmtId="43" fontId="2" fillId="0" borderId="0" xfId="0" applyNumberFormat="1" applyFont="1"/>
    <xf numFmtId="165" fontId="2" fillId="0" borderId="1" xfId="1" applyNumberFormat="1" applyFont="1" applyBorder="1"/>
    <xf numFmtId="168" fontId="2" fillId="0" borderId="1" xfId="1" applyNumberFormat="1" applyFont="1" applyBorder="1"/>
    <xf numFmtId="43" fontId="2" fillId="2" borderId="1" xfId="1" applyFont="1" applyFill="1" applyBorder="1"/>
    <xf numFmtId="165" fontId="2" fillId="2" borderId="1" xfId="1" applyNumberFormat="1" applyFont="1" applyFill="1" applyBorder="1"/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6" xfId="0" applyFont="1" applyBorder="1" applyAlignment="1">
      <alignment horizontal="center" vertical="center" textRotation="90"/>
    </xf>
    <xf numFmtId="0" fontId="2" fillId="0" borderId="12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textRotation="90"/>
    </xf>
    <xf numFmtId="0" fontId="7" fillId="0" borderId="12" xfId="0" applyFont="1" applyBorder="1" applyAlignment="1">
      <alignment horizontal="center" vertical="center" textRotation="90"/>
    </xf>
    <xf numFmtId="0" fontId="7" fillId="0" borderId="13" xfId="0" applyFont="1" applyBorder="1" applyAlignment="1">
      <alignment horizontal="center" vertical="center" textRotation="90"/>
    </xf>
    <xf numFmtId="0" fontId="7" fillId="0" borderId="15" xfId="0" applyFont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textRotation="90"/>
    </xf>
    <xf numFmtId="0" fontId="2" fillId="3" borderId="1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2" xfId="0" applyFont="1" applyFill="1" applyBorder="1" applyAlignment="1">
      <alignment vertical="center"/>
    </xf>
    <xf numFmtId="164" fontId="0" fillId="0" borderId="0" xfId="1" applyNumberFormat="1" applyFont="1"/>
    <xf numFmtId="0" fontId="0" fillId="0" borderId="0" xfId="0" applyAlignment="1"/>
    <xf numFmtId="9" fontId="0" fillId="0" borderId="0" xfId="2" applyFont="1"/>
    <xf numFmtId="164" fontId="2" fillId="0" borderId="12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baseDr_vs_DrCCTProf!$D$2</c:f>
              <c:strCache>
                <c:ptCount val="1"/>
                <c:pt idx="0">
                  <c:v>Slowdown (DrCCTProf/Base)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baseDr_vs_DrCCTProf!$A$3:$A$15</c:f>
              <c:strCache>
                <c:ptCount val="13"/>
                <c:pt idx="0">
                  <c:v>perlbench_s</c:v>
                </c:pt>
                <c:pt idx="1">
                  <c:v>gcc_s</c:v>
                </c:pt>
                <c:pt idx="2">
                  <c:v>mcf_s</c:v>
                </c:pt>
                <c:pt idx="3">
                  <c:v>cactuBSSN_s</c:v>
                </c:pt>
                <c:pt idx="4">
                  <c:v>lbm_s</c:v>
                </c:pt>
                <c:pt idx="5">
                  <c:v>omnetpp_s</c:v>
                </c:pt>
                <c:pt idx="6">
                  <c:v>xalancbmk_s</c:v>
                </c:pt>
                <c:pt idx="7">
                  <c:v>x264_s</c:v>
                </c:pt>
                <c:pt idx="8">
                  <c:v>deepsjeng</c:v>
                </c:pt>
                <c:pt idx="9">
                  <c:v>imagick_s</c:v>
                </c:pt>
                <c:pt idx="10">
                  <c:v>leela_s</c:v>
                </c:pt>
                <c:pt idx="11">
                  <c:v>nab_s</c:v>
                </c:pt>
                <c:pt idx="12">
                  <c:v>xz_s</c:v>
                </c:pt>
              </c:strCache>
            </c:strRef>
          </c:cat>
          <c:val>
            <c:numRef>
              <c:f>baseDr_vs_DrCCTProf!$D$3:$D$15</c:f>
              <c:numCache>
                <c:formatCode>General</c:formatCode>
                <c:ptCount val="13"/>
                <c:pt idx="0">
                  <c:v>8.0338126814721811</c:v>
                </c:pt>
                <c:pt idx="1">
                  <c:v>3.0781106684497597E-2</c:v>
                </c:pt>
                <c:pt idx="2">
                  <c:v>10.466396657387177</c:v>
                </c:pt>
                <c:pt idx="3">
                  <c:v>2.0217885502891635</c:v>
                </c:pt>
                <c:pt idx="4">
                  <c:v>1.0457054082271873</c:v>
                </c:pt>
                <c:pt idx="5">
                  <c:v>9.5190655930737016</c:v>
                </c:pt>
                <c:pt idx="6">
                  <c:v>7.2522495543335754</c:v>
                </c:pt>
                <c:pt idx="7">
                  <c:v>3.6304922369258743</c:v>
                </c:pt>
                <c:pt idx="8">
                  <c:v>3.1360531944709814E-2</c:v>
                </c:pt>
                <c:pt idx="9">
                  <c:v>1.2789792645959992</c:v>
                </c:pt>
                <c:pt idx="10">
                  <c:v>23.362403397850059</c:v>
                </c:pt>
                <c:pt idx="11">
                  <c:v>4.4216827095110549</c:v>
                </c:pt>
                <c:pt idx="12">
                  <c:v>1.6131209634341768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6-BA40-BC30-2AEE49459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4410655"/>
        <c:axId val="1214644623"/>
      </c:barChart>
      <c:catAx>
        <c:axId val="1214410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14644623"/>
        <c:crosses val="autoZero"/>
        <c:auto val="1"/>
        <c:lblAlgn val="ctr"/>
        <c:lblOffset val="100"/>
        <c:noMultiLvlLbl val="0"/>
      </c:catAx>
      <c:valAx>
        <c:axId val="121464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14410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baseDr_vs_DrCCTProf!$G$2</c:f>
              <c:strCache>
                <c:ptCount val="1"/>
                <c:pt idx="0">
                  <c:v>Slowdown (DrCCTProf/Base)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baseDr_vs_DrCCTProf!$A$3:$A$15</c:f>
              <c:strCache>
                <c:ptCount val="13"/>
                <c:pt idx="0">
                  <c:v>perlbench_s</c:v>
                </c:pt>
                <c:pt idx="1">
                  <c:v>gcc_s</c:v>
                </c:pt>
                <c:pt idx="2">
                  <c:v>mcf_s</c:v>
                </c:pt>
                <c:pt idx="3">
                  <c:v>cactuBSSN_s</c:v>
                </c:pt>
                <c:pt idx="4">
                  <c:v>lbm_s</c:v>
                </c:pt>
                <c:pt idx="5">
                  <c:v>omnetpp_s</c:v>
                </c:pt>
                <c:pt idx="6">
                  <c:v>xalancbmk_s</c:v>
                </c:pt>
                <c:pt idx="7">
                  <c:v>x264_s</c:v>
                </c:pt>
                <c:pt idx="8">
                  <c:v>deepsjeng</c:v>
                </c:pt>
                <c:pt idx="9">
                  <c:v>imagick_s</c:v>
                </c:pt>
                <c:pt idx="10">
                  <c:v>leela_s</c:v>
                </c:pt>
                <c:pt idx="11">
                  <c:v>nab_s</c:v>
                </c:pt>
                <c:pt idx="12">
                  <c:v>xz_s</c:v>
                </c:pt>
              </c:strCache>
            </c:strRef>
          </c:cat>
          <c:val>
            <c:numRef>
              <c:f>baseDr_vs_DrCCTProf!$G$3:$G$15</c:f>
              <c:numCache>
                <c:formatCode>General</c:formatCode>
                <c:ptCount val="13"/>
                <c:pt idx="0">
                  <c:v>8.2227997685302689</c:v>
                </c:pt>
                <c:pt idx="1">
                  <c:v>3.8309652807785044</c:v>
                </c:pt>
                <c:pt idx="2">
                  <c:v>9.9789866220980645</c:v>
                </c:pt>
                <c:pt idx="3">
                  <c:v>1.9594173051833821</c:v>
                </c:pt>
                <c:pt idx="4">
                  <c:v>0.99091063785955957</c:v>
                </c:pt>
                <c:pt idx="5">
                  <c:v>9.2526913633542893</c:v>
                </c:pt>
                <c:pt idx="6">
                  <c:v>7.5112919057779841</c:v>
                </c:pt>
                <c:pt idx="7">
                  <c:v>3.8023079025999875</c:v>
                </c:pt>
                <c:pt idx="8">
                  <c:v>4.564104545812012</c:v>
                </c:pt>
                <c:pt idx="9">
                  <c:v>1.2619935976226715</c:v>
                </c:pt>
                <c:pt idx="10">
                  <c:v>22.743702749561123</c:v>
                </c:pt>
                <c:pt idx="11">
                  <c:v>4.3888154330357292</c:v>
                </c:pt>
                <c:pt idx="12">
                  <c:v>1.3899781075164193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E-BD4D-98C0-A371E78C1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0429647"/>
        <c:axId val="1420660511"/>
      </c:barChart>
      <c:catAx>
        <c:axId val="142042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0660511"/>
        <c:crosses val="autoZero"/>
        <c:auto val="1"/>
        <c:lblAlgn val="ctr"/>
        <c:lblOffset val="100"/>
        <c:noMultiLvlLbl val="0"/>
      </c:catAx>
      <c:valAx>
        <c:axId val="142066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2042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r>
              <a:rPr lang="en-US"/>
              <a:t>Runtime</a:t>
            </a:r>
            <a:r>
              <a:rPr lang="en-US" baseline="0"/>
              <a:t> (normalized to drclient_empty)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Runtime!$I$52</c:f>
              <c:strCache>
                <c:ptCount val="1"/>
                <c:pt idx="0">
                  <c:v>drclient_empty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Runtime!$H$53:$H$71</c:f>
              <c:strCache>
                <c:ptCount val="19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531.deepsjeng_r</c:v>
                </c:pt>
                <c:pt idx="7">
                  <c:v>541.leela_r</c:v>
                </c:pt>
                <c:pt idx="8">
                  <c:v>544.nab_r</c:v>
                </c:pt>
                <c:pt idx="9">
                  <c:v>557.xz_r</c:v>
                </c:pt>
                <c:pt idx="10">
                  <c:v>605.mcf_s</c:v>
                </c:pt>
                <c:pt idx="11">
                  <c:v>619.lbm_s</c:v>
                </c:pt>
                <c:pt idx="12">
                  <c:v>623.xalancbmk_s</c:v>
                </c:pt>
                <c:pt idx="13">
                  <c:v>625.x264_s</c:v>
                </c:pt>
                <c:pt idx="14">
                  <c:v>631.deepsjeng_s</c:v>
                </c:pt>
                <c:pt idx="15">
                  <c:v>641.leela_s</c:v>
                </c:pt>
                <c:pt idx="16">
                  <c:v>644.nab_s</c:v>
                </c:pt>
                <c:pt idx="17">
                  <c:v>657.xz_s</c:v>
                </c:pt>
                <c:pt idx="18">
                  <c:v>geomean</c:v>
                </c:pt>
              </c:strCache>
            </c:strRef>
          </c:cat>
          <c:val>
            <c:numRef>
              <c:f>Runtime!$I$53:$I$71</c:f>
              <c:numCache>
                <c:formatCode>_(* #,##0.000_);_(* \(#,##0.000\);_(* "-"??_);_(@_)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A-F344-8B05-53E1EE1B384F}"/>
            </c:ext>
          </c:extLst>
        </c:ser>
        <c:ser>
          <c:idx val="1"/>
          <c:order val="1"/>
          <c:tx>
            <c:strRef>
              <c:f>Runtime!$J$52</c:f>
              <c:strCache>
                <c:ptCount val="1"/>
                <c:pt idx="0">
                  <c:v>drclient_callret_overhead_test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Runtime!$H$53:$H$71</c:f>
              <c:strCache>
                <c:ptCount val="19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531.deepsjeng_r</c:v>
                </c:pt>
                <c:pt idx="7">
                  <c:v>541.leela_r</c:v>
                </c:pt>
                <c:pt idx="8">
                  <c:v>544.nab_r</c:v>
                </c:pt>
                <c:pt idx="9">
                  <c:v>557.xz_r</c:v>
                </c:pt>
                <c:pt idx="10">
                  <c:v>605.mcf_s</c:v>
                </c:pt>
                <c:pt idx="11">
                  <c:v>619.lbm_s</c:v>
                </c:pt>
                <c:pt idx="12">
                  <c:v>623.xalancbmk_s</c:v>
                </c:pt>
                <c:pt idx="13">
                  <c:v>625.x264_s</c:v>
                </c:pt>
                <c:pt idx="14">
                  <c:v>631.deepsjeng_s</c:v>
                </c:pt>
                <c:pt idx="15">
                  <c:v>641.leela_s</c:v>
                </c:pt>
                <c:pt idx="16">
                  <c:v>644.nab_s</c:v>
                </c:pt>
                <c:pt idx="17">
                  <c:v>657.xz_s</c:v>
                </c:pt>
                <c:pt idx="18">
                  <c:v>geomean</c:v>
                </c:pt>
              </c:strCache>
            </c:strRef>
          </c:cat>
          <c:val>
            <c:numRef>
              <c:f>Runtime!$J$53:$J$71</c:f>
              <c:numCache>
                <c:formatCode>_(* #,##0.000_);_(* \(#,##0.000\);_(* "-"??_);_(@_)</c:formatCode>
                <c:ptCount val="19"/>
                <c:pt idx="0">
                  <c:v>1.7403959511055285</c:v>
                </c:pt>
                <c:pt idx="1">
                  <c:v>1.0238863375296239</c:v>
                </c:pt>
                <c:pt idx="2">
                  <c:v>1.1034767085712605</c:v>
                </c:pt>
                <c:pt idx="3">
                  <c:v>1.0032774394621324</c:v>
                </c:pt>
                <c:pt idx="4">
                  <c:v>1.539115464604133</c:v>
                </c:pt>
                <c:pt idx="5">
                  <c:v>1.3083440787738476</c:v>
                </c:pt>
                <c:pt idx="6">
                  <c:v>1.2868257243363801</c:v>
                </c:pt>
                <c:pt idx="7">
                  <c:v>1.2792601410127278</c:v>
                </c:pt>
                <c:pt idx="8">
                  <c:v>1.1432071104698616</c:v>
                </c:pt>
                <c:pt idx="9">
                  <c:v>1.0527528254920453</c:v>
                </c:pt>
                <c:pt idx="10">
                  <c:v>1.5410095899124929</c:v>
                </c:pt>
                <c:pt idx="11">
                  <c:v>1.002911702043715</c:v>
                </c:pt>
                <c:pt idx="12">
                  <c:v>1.4925631816832272</c:v>
                </c:pt>
                <c:pt idx="13">
                  <c:v>1.3496416670126086</c:v>
                </c:pt>
                <c:pt idx="14">
                  <c:v>1.1553848186905407</c:v>
                </c:pt>
                <c:pt idx="15">
                  <c:v>1.2014715356643206</c:v>
                </c:pt>
                <c:pt idx="16">
                  <c:v>1.216996736709429</c:v>
                </c:pt>
                <c:pt idx="17">
                  <c:v>1.0298667627499667</c:v>
                </c:pt>
                <c:pt idx="18">
                  <c:v>1.2318021091619606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A-F344-8B05-53E1EE1B384F}"/>
            </c:ext>
          </c:extLst>
        </c:ser>
        <c:ser>
          <c:idx val="2"/>
          <c:order val="2"/>
          <c:tx>
            <c:strRef>
              <c:f>Runtime!$K$52</c:f>
              <c:strCache>
                <c:ptCount val="1"/>
                <c:pt idx="0">
                  <c:v>drclient_ccw_test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Runtime!$H$53:$H$71</c:f>
              <c:strCache>
                <c:ptCount val="19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531.deepsjeng_r</c:v>
                </c:pt>
                <c:pt idx="7">
                  <c:v>541.leela_r</c:v>
                </c:pt>
                <c:pt idx="8">
                  <c:v>544.nab_r</c:v>
                </c:pt>
                <c:pt idx="9">
                  <c:v>557.xz_r</c:v>
                </c:pt>
                <c:pt idx="10">
                  <c:v>605.mcf_s</c:v>
                </c:pt>
                <c:pt idx="11">
                  <c:v>619.lbm_s</c:v>
                </c:pt>
                <c:pt idx="12">
                  <c:v>623.xalancbmk_s</c:v>
                </c:pt>
                <c:pt idx="13">
                  <c:v>625.x264_s</c:v>
                </c:pt>
                <c:pt idx="14">
                  <c:v>631.deepsjeng_s</c:v>
                </c:pt>
                <c:pt idx="15">
                  <c:v>641.leela_s</c:v>
                </c:pt>
                <c:pt idx="16">
                  <c:v>644.nab_s</c:v>
                </c:pt>
                <c:pt idx="17">
                  <c:v>657.xz_s</c:v>
                </c:pt>
                <c:pt idx="18">
                  <c:v>geomean</c:v>
                </c:pt>
              </c:strCache>
            </c:strRef>
          </c:cat>
          <c:val>
            <c:numRef>
              <c:f>Runtime!$K$53:$K$71</c:f>
              <c:numCache>
                <c:formatCode>_(* #,##0.000_);_(* \(#,##0.000\);_(* "-"??_);_(@_)</c:formatCode>
                <c:ptCount val="19"/>
                <c:pt idx="0">
                  <c:v>8.2274608760819685</c:v>
                </c:pt>
                <c:pt idx="1">
                  <c:v>1.3909989916737047</c:v>
                </c:pt>
                <c:pt idx="2">
                  <c:v>2.1550785573249698</c:v>
                </c:pt>
                <c:pt idx="3">
                  <c:v>1.0052511778298068</c:v>
                </c:pt>
                <c:pt idx="4">
                  <c:v>5.3935579333613974</c:v>
                </c:pt>
                <c:pt idx="5">
                  <c:v>4.3225646924361865</c:v>
                </c:pt>
                <c:pt idx="6">
                  <c:v>4.8479737370433647</c:v>
                </c:pt>
                <c:pt idx="7">
                  <c:v>5.408014199883076</c:v>
                </c:pt>
                <c:pt idx="8">
                  <c:v>4.2710219219448353</c:v>
                </c:pt>
                <c:pt idx="9">
                  <c:v>1.4916948829346981</c:v>
                </c:pt>
                <c:pt idx="10">
                  <c:v>7.1947186945947719</c:v>
                </c:pt>
                <c:pt idx="11">
                  <c:v>0.95070096530682024</c:v>
                </c:pt>
                <c:pt idx="12">
                  <c:v>5.1070091014177352</c:v>
                </c:pt>
                <c:pt idx="13">
                  <c:v>4.4504428686263333</c:v>
                </c:pt>
                <c:pt idx="14">
                  <c:v>4.1995497058761782</c:v>
                </c:pt>
                <c:pt idx="15">
                  <c:v>5.207570362263561</c:v>
                </c:pt>
                <c:pt idx="16">
                  <c:v>5.0518673273822881</c:v>
                </c:pt>
                <c:pt idx="17">
                  <c:v>1.5056240062036392</c:v>
                </c:pt>
                <c:pt idx="18">
                  <c:v>3.3271875258602188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A-F344-8B05-53E1EE1B384F}"/>
            </c:ext>
          </c:extLst>
        </c:ser>
        <c:ser>
          <c:idx val="3"/>
          <c:order val="3"/>
          <c:tx>
            <c:strRef>
              <c:f>Runtime!$L$52</c:f>
              <c:strCache>
                <c:ptCount val="1"/>
                <c:pt idx="0">
                  <c:v>drcctlib_callret_overhead_test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Runtime!$H$53:$H$71</c:f>
              <c:strCache>
                <c:ptCount val="19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531.deepsjeng_r</c:v>
                </c:pt>
                <c:pt idx="7">
                  <c:v>541.leela_r</c:v>
                </c:pt>
                <c:pt idx="8">
                  <c:v>544.nab_r</c:v>
                </c:pt>
                <c:pt idx="9">
                  <c:v>557.xz_r</c:v>
                </c:pt>
                <c:pt idx="10">
                  <c:v>605.mcf_s</c:v>
                </c:pt>
                <c:pt idx="11">
                  <c:v>619.lbm_s</c:v>
                </c:pt>
                <c:pt idx="12">
                  <c:v>623.xalancbmk_s</c:v>
                </c:pt>
                <c:pt idx="13">
                  <c:v>625.x264_s</c:v>
                </c:pt>
                <c:pt idx="14">
                  <c:v>631.deepsjeng_s</c:v>
                </c:pt>
                <c:pt idx="15">
                  <c:v>641.leela_s</c:v>
                </c:pt>
                <c:pt idx="16">
                  <c:v>644.nab_s</c:v>
                </c:pt>
                <c:pt idx="17">
                  <c:v>657.xz_s</c:v>
                </c:pt>
                <c:pt idx="18">
                  <c:v>geomean</c:v>
                </c:pt>
              </c:strCache>
            </c:strRef>
          </c:cat>
          <c:val>
            <c:numRef>
              <c:f>Runtime!$L$53:$L$71</c:f>
              <c:numCache>
                <c:formatCode>_(* #,##0.000_);_(* \(#,##0.000\);_(* "-"??_);_(@_)</c:formatCode>
                <c:ptCount val="19"/>
                <c:pt idx="0">
                  <c:v>8.836382287144847</c:v>
                </c:pt>
                <c:pt idx="1">
                  <c:v>1.4532508580131527</c:v>
                </c:pt>
                <c:pt idx="2">
                  <c:v>2.2488178712858544</c:v>
                </c:pt>
                <c:pt idx="3">
                  <c:v>1.0043590710603245</c:v>
                </c:pt>
                <c:pt idx="4">
                  <c:v>6.3335322982966504</c:v>
                </c:pt>
                <c:pt idx="5">
                  <c:v>4.9528067579052255</c:v>
                </c:pt>
                <c:pt idx="6">
                  <c:v>6.0951979986151752</c:v>
                </c:pt>
                <c:pt idx="7">
                  <c:v>6.545836180118755</c:v>
                </c:pt>
                <c:pt idx="8">
                  <c:v>4.6962986341849158</c:v>
                </c:pt>
                <c:pt idx="9">
                  <c:v>1.5317027164922155</c:v>
                </c:pt>
                <c:pt idx="10">
                  <c:v>7.6922024685031154</c:v>
                </c:pt>
                <c:pt idx="11">
                  <c:v>0.83381204134774722</c:v>
                </c:pt>
                <c:pt idx="12">
                  <c:v>5.7489582124508116</c:v>
                </c:pt>
                <c:pt idx="13">
                  <c:v>5.130735875189167</c:v>
                </c:pt>
                <c:pt idx="14">
                  <c:v>5.2830084982826824</c:v>
                </c:pt>
                <c:pt idx="15">
                  <c:v>6.3141899814811318</c:v>
                </c:pt>
                <c:pt idx="16">
                  <c:v>5.6813267261771152</c:v>
                </c:pt>
                <c:pt idx="17">
                  <c:v>1.6762984953041897</c:v>
                </c:pt>
                <c:pt idx="18">
                  <c:v>3.6849301318511754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9A-F344-8B05-53E1EE1B3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731711"/>
        <c:axId val="1282741871"/>
      </c:barChart>
      <c:catAx>
        <c:axId val="129173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82741871"/>
        <c:crosses val="autoZero"/>
        <c:auto val="1"/>
        <c:lblAlgn val="ctr"/>
        <c:lblOffset val="100"/>
        <c:noMultiLvlLbl val="0"/>
      </c:catAx>
      <c:valAx>
        <c:axId val="12827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9173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r>
              <a:rPr lang="en-US"/>
              <a:t>Speedup (DrCCTLib</a:t>
            </a:r>
            <a:r>
              <a:rPr lang="en-US" baseline="0"/>
              <a:t> / DCCE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Runtime!$I$75</c:f>
              <c:strCache>
                <c:ptCount val="1"/>
                <c:pt idx="0">
                  <c:v>Speedup (DCCE vs DrCCTLib)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Runtime!$H$76:$H$92</c:f>
              <c:strCache>
                <c:ptCount val="17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523.xalancbmk_r</c:v>
                </c:pt>
                <c:pt idx="4">
                  <c:v>525.x264_r</c:v>
                </c:pt>
                <c:pt idx="5">
                  <c:v>531.deepsjeng_r</c:v>
                </c:pt>
                <c:pt idx="6">
                  <c:v>541.leela_r</c:v>
                </c:pt>
                <c:pt idx="7">
                  <c:v>544.nab_r</c:v>
                </c:pt>
                <c:pt idx="8">
                  <c:v>557.xz_r</c:v>
                </c:pt>
                <c:pt idx="9">
                  <c:v>605.mcf_s</c:v>
                </c:pt>
                <c:pt idx="10">
                  <c:v>623.xalancbmk_s</c:v>
                </c:pt>
                <c:pt idx="11">
                  <c:v>625.x264_s</c:v>
                </c:pt>
                <c:pt idx="12">
                  <c:v>631.deepsjeng_s</c:v>
                </c:pt>
                <c:pt idx="13">
                  <c:v>641.leela_s</c:v>
                </c:pt>
                <c:pt idx="14">
                  <c:v>644.nab_s</c:v>
                </c:pt>
                <c:pt idx="15">
                  <c:v>657.xz_s</c:v>
                </c:pt>
                <c:pt idx="16">
                  <c:v>geomean</c:v>
                </c:pt>
              </c:strCache>
            </c:strRef>
          </c:cat>
          <c:val>
            <c:numRef>
              <c:f>Runtime!$I$76:$I$92</c:f>
              <c:numCache>
                <c:formatCode>General</c:formatCode>
                <c:ptCount val="17"/>
                <c:pt idx="0">
                  <c:v>1.0740108546529916</c:v>
                </c:pt>
                <c:pt idx="1">
                  <c:v>1.0447533511613436</c:v>
                </c:pt>
                <c:pt idx="2">
                  <c:v>1.0434969359433657</c:v>
                </c:pt>
                <c:pt idx="3">
                  <c:v>1.1742772352775004</c:v>
                </c:pt>
                <c:pt idx="4">
                  <c:v>1.1458028069705617</c:v>
                </c:pt>
                <c:pt idx="5">
                  <c:v>1.2572671242093931</c:v>
                </c:pt>
                <c:pt idx="6">
                  <c:v>1.2103955237876924</c:v>
                </c:pt>
                <c:pt idx="7">
                  <c:v>1.099572589420573</c:v>
                </c:pt>
                <c:pt idx="8">
                  <c:v>1.0268203866723788</c:v>
                </c:pt>
                <c:pt idx="9">
                  <c:v>1.0691456879727754</c:v>
                </c:pt>
                <c:pt idx="10">
                  <c:v>1.1256996214976134</c:v>
                </c:pt>
                <c:pt idx="11">
                  <c:v>1.1528596201871504</c:v>
                </c:pt>
                <c:pt idx="12">
                  <c:v>1.257994039430105</c:v>
                </c:pt>
                <c:pt idx="13">
                  <c:v>1.2125020964165254</c:v>
                </c:pt>
                <c:pt idx="14">
                  <c:v>1.1245993526755962</c:v>
                </c:pt>
                <c:pt idx="15">
                  <c:v>1.1133579754290039</c:v>
                </c:pt>
                <c:pt idx="16">
                  <c:v>1.1075210228490096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8-5646-BADC-3E48B4E45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0437007"/>
        <c:axId val="1234609359"/>
      </c:barChart>
      <c:catAx>
        <c:axId val="97043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34609359"/>
        <c:crosses val="autoZero"/>
        <c:auto val="1"/>
        <c:lblAlgn val="ctr"/>
        <c:lblOffset val="100"/>
        <c:noMultiLvlLbl val="0"/>
      </c:catAx>
      <c:valAx>
        <c:axId val="1234609359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97043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r>
              <a:rPr lang="en-US"/>
              <a:t>Execution time (without clients)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Runtime!$G$114</c:f>
              <c:strCache>
                <c:ptCount val="1"/>
                <c:pt idx="0">
                  <c:v>Old binary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Runtime!$F$115:$F$134</c:f>
              <c:strCache>
                <c:ptCount val="20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531.deepsjeng_r</c:v>
                </c:pt>
                <c:pt idx="7">
                  <c:v>541.leela_r</c:v>
                </c:pt>
                <c:pt idx="8">
                  <c:v>544.nab_r</c:v>
                </c:pt>
                <c:pt idx="9">
                  <c:v>557.xz_r</c:v>
                </c:pt>
                <c:pt idx="10">
                  <c:v>605.mcf_s</c:v>
                </c:pt>
                <c:pt idx="11">
                  <c:v>619.lbm_s</c:v>
                </c:pt>
                <c:pt idx="12">
                  <c:v>623.xalancbmk_s</c:v>
                </c:pt>
                <c:pt idx="13">
                  <c:v>625.x264_s</c:v>
                </c:pt>
                <c:pt idx="14">
                  <c:v>631.deepsjeng_s</c:v>
                </c:pt>
                <c:pt idx="15">
                  <c:v>641.leela_s</c:v>
                </c:pt>
                <c:pt idx="16">
                  <c:v>644.nab_s</c:v>
                </c:pt>
                <c:pt idx="17">
                  <c:v>657.xz_s</c:v>
                </c:pt>
                <c:pt idx="18">
                  <c:v>geomean</c:v>
                </c:pt>
                <c:pt idx="19">
                  <c:v>geomean without 631</c:v>
                </c:pt>
              </c:strCache>
            </c:strRef>
          </c:cat>
          <c:val>
            <c:numRef>
              <c:f>Runtime!$G$115:$G$134</c:f>
              <c:numCache>
                <c:formatCode>_(* #,##0.000_);_(* \(#,##0.000\);_(* "-"??_);_(@_)</c:formatCode>
                <c:ptCount val="20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8-3540-BB9A-9501D903216D}"/>
            </c:ext>
          </c:extLst>
        </c:ser>
        <c:ser>
          <c:idx val="1"/>
          <c:order val="1"/>
          <c:tx>
            <c:strRef>
              <c:f>Runtime!$H$114</c:f>
              <c:strCache>
                <c:ptCount val="1"/>
                <c:pt idx="0">
                  <c:v>New Binary (-flto) - run1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Runtime!$F$115:$F$134</c:f>
              <c:strCache>
                <c:ptCount val="20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531.deepsjeng_r</c:v>
                </c:pt>
                <c:pt idx="7">
                  <c:v>541.leela_r</c:v>
                </c:pt>
                <c:pt idx="8">
                  <c:v>544.nab_r</c:v>
                </c:pt>
                <c:pt idx="9">
                  <c:v>557.xz_r</c:v>
                </c:pt>
                <c:pt idx="10">
                  <c:v>605.mcf_s</c:v>
                </c:pt>
                <c:pt idx="11">
                  <c:v>619.lbm_s</c:v>
                </c:pt>
                <c:pt idx="12">
                  <c:v>623.xalancbmk_s</c:v>
                </c:pt>
                <c:pt idx="13">
                  <c:v>625.x264_s</c:v>
                </c:pt>
                <c:pt idx="14">
                  <c:v>631.deepsjeng_s</c:v>
                </c:pt>
                <c:pt idx="15">
                  <c:v>641.leela_s</c:v>
                </c:pt>
                <c:pt idx="16">
                  <c:v>644.nab_s</c:v>
                </c:pt>
                <c:pt idx="17">
                  <c:v>657.xz_s</c:v>
                </c:pt>
                <c:pt idx="18">
                  <c:v>geomean</c:v>
                </c:pt>
                <c:pt idx="19">
                  <c:v>geomean without 631</c:v>
                </c:pt>
              </c:strCache>
            </c:strRef>
          </c:cat>
          <c:val>
            <c:numRef>
              <c:f>Runtime!$H$115:$H$134</c:f>
              <c:numCache>
                <c:formatCode>_(* #,##0.000_);_(* \(#,##0.000\);_(* "-"??_);_(@_)</c:formatCode>
                <c:ptCount val="20"/>
                <c:pt idx="0">
                  <c:v>0.9587659025586569</c:v>
                </c:pt>
                <c:pt idx="1">
                  <c:v>1.0044582235919739</c:v>
                </c:pt>
                <c:pt idx="3">
                  <c:v>1.1244419513671857</c:v>
                </c:pt>
                <c:pt idx="6">
                  <c:v>0.92609031663855834</c:v>
                </c:pt>
                <c:pt idx="7">
                  <c:v>0.9214487944925146</c:v>
                </c:pt>
                <c:pt idx="8">
                  <c:v>0.86281717152767756</c:v>
                </c:pt>
                <c:pt idx="9">
                  <c:v>1.0928970354492031</c:v>
                </c:pt>
                <c:pt idx="10">
                  <c:v>0.97646483563276731</c:v>
                </c:pt>
                <c:pt idx="11">
                  <c:v>0.95642540348552607</c:v>
                </c:pt>
                <c:pt idx="14">
                  <c:v>10.510539758576471</c:v>
                </c:pt>
                <c:pt idx="15">
                  <c:v>0.91596246281524907</c:v>
                </c:pt>
                <c:pt idx="16">
                  <c:v>0.55360411298151946</c:v>
                </c:pt>
                <c:pt idx="17">
                  <c:v>0.97321104866278729</c:v>
                </c:pt>
                <c:pt idx="18">
                  <c:v>1.1171443514593931</c:v>
                </c:pt>
                <c:pt idx="19">
                  <c:v>0.92679350913783087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A8-3540-BB9A-9501D903216D}"/>
            </c:ext>
          </c:extLst>
        </c:ser>
        <c:ser>
          <c:idx val="2"/>
          <c:order val="2"/>
          <c:tx>
            <c:strRef>
              <c:f>Runtime!$I$114</c:f>
              <c:strCache>
                <c:ptCount val="1"/>
                <c:pt idx="0">
                  <c:v>New Binary (-flto) - run2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Runtime!$F$115:$F$134</c:f>
              <c:strCache>
                <c:ptCount val="20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531.deepsjeng_r</c:v>
                </c:pt>
                <c:pt idx="7">
                  <c:v>541.leela_r</c:v>
                </c:pt>
                <c:pt idx="8">
                  <c:v>544.nab_r</c:v>
                </c:pt>
                <c:pt idx="9">
                  <c:v>557.xz_r</c:v>
                </c:pt>
                <c:pt idx="10">
                  <c:v>605.mcf_s</c:v>
                </c:pt>
                <c:pt idx="11">
                  <c:v>619.lbm_s</c:v>
                </c:pt>
                <c:pt idx="12">
                  <c:v>623.xalancbmk_s</c:v>
                </c:pt>
                <c:pt idx="13">
                  <c:v>625.x264_s</c:v>
                </c:pt>
                <c:pt idx="14">
                  <c:v>631.deepsjeng_s</c:v>
                </c:pt>
                <c:pt idx="15">
                  <c:v>641.leela_s</c:v>
                </c:pt>
                <c:pt idx="16">
                  <c:v>644.nab_s</c:v>
                </c:pt>
                <c:pt idx="17">
                  <c:v>657.xz_s</c:v>
                </c:pt>
                <c:pt idx="18">
                  <c:v>geomean</c:v>
                </c:pt>
                <c:pt idx="19">
                  <c:v>geomean without 631</c:v>
                </c:pt>
              </c:strCache>
            </c:strRef>
          </c:cat>
          <c:val>
            <c:numRef>
              <c:f>Runtime!$I$115:$I$134</c:f>
              <c:numCache>
                <c:formatCode>_(* #,##0.000_);_(* \(#,##0.000\);_(* "-"??_);_(@_)</c:formatCode>
                <c:ptCount val="20"/>
                <c:pt idx="0">
                  <c:v>0.99725878546909341</c:v>
                </c:pt>
                <c:pt idx="1">
                  <c:v>0.99901799084845833</c:v>
                </c:pt>
                <c:pt idx="3">
                  <c:v>1.1618078371664395</c:v>
                </c:pt>
                <c:pt idx="6">
                  <c:v>0.93003038642568181</c:v>
                </c:pt>
                <c:pt idx="7">
                  <c:v>0.91915400892085475</c:v>
                </c:pt>
                <c:pt idx="8">
                  <c:v>0.86026253420321552</c:v>
                </c:pt>
                <c:pt idx="9">
                  <c:v>0.9926418478498622</c:v>
                </c:pt>
                <c:pt idx="10">
                  <c:v>0.96452427930147233</c:v>
                </c:pt>
                <c:pt idx="11">
                  <c:v>1.0524264340528902</c:v>
                </c:pt>
                <c:pt idx="14">
                  <c:v>10.381752281229797</c:v>
                </c:pt>
                <c:pt idx="15">
                  <c:v>0.91445217453636041</c:v>
                </c:pt>
                <c:pt idx="16">
                  <c:v>0.55938368013350248</c:v>
                </c:pt>
                <c:pt idx="17">
                  <c:v>0.96641530986416802</c:v>
                </c:pt>
                <c:pt idx="18">
                  <c:v>1.1207541571290067</c:v>
                </c:pt>
                <c:pt idx="19">
                  <c:v>0.93099425236935884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A8-3540-BB9A-9501D9032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8216416"/>
        <c:axId val="1237295695"/>
      </c:barChart>
      <c:catAx>
        <c:axId val="16182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37295695"/>
        <c:crosses val="autoZero"/>
        <c:auto val="1"/>
        <c:lblAlgn val="ctr"/>
        <c:lblOffset val="100"/>
        <c:noMultiLvlLbl val="0"/>
      </c:catAx>
      <c:valAx>
        <c:axId val="1237295695"/>
        <c:scaling>
          <c:orientation val="minMax"/>
          <c:max val="2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61821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'Runtime(desktop)'!$B$40</c:f>
              <c:strCache>
                <c:ptCount val="1"/>
                <c:pt idx="0">
                  <c:v>drclient_empty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'Runtime(desktop)'!$A$41:$A$55</c:f>
              <c:strCache>
                <c:ptCount val="15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541.leela_r</c:v>
                </c:pt>
                <c:pt idx="7">
                  <c:v>557.xz_r</c:v>
                </c:pt>
                <c:pt idx="8">
                  <c:v>605.mcf_s</c:v>
                </c:pt>
                <c:pt idx="9">
                  <c:v>619.lbm_s</c:v>
                </c:pt>
                <c:pt idx="10">
                  <c:v>623.xalancbmk_s</c:v>
                </c:pt>
                <c:pt idx="11">
                  <c:v>625.x264_s</c:v>
                </c:pt>
                <c:pt idx="12">
                  <c:v>641.leela_s</c:v>
                </c:pt>
                <c:pt idx="13">
                  <c:v>657.xz_s</c:v>
                </c:pt>
                <c:pt idx="14">
                  <c:v>geomean</c:v>
                </c:pt>
              </c:strCache>
            </c:strRef>
          </c:cat>
          <c:val>
            <c:numRef>
              <c:f>'Runtime(desktop)'!$B$41:$B$55</c:f>
              <c:numCache>
                <c:formatCode>_(* #,##0.00_);_(* \(#,##0.00\);_(*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F-B549-892D-4F9A231BA447}"/>
            </c:ext>
          </c:extLst>
        </c:ser>
        <c:ser>
          <c:idx val="1"/>
          <c:order val="1"/>
          <c:tx>
            <c:strRef>
              <c:f>'Runtime(desktop)'!#REF!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'Runtime(desktop)'!$A$41:$A$55</c:f>
              <c:strCache>
                <c:ptCount val="15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541.leela_r</c:v>
                </c:pt>
                <c:pt idx="7">
                  <c:v>557.xz_r</c:v>
                </c:pt>
                <c:pt idx="8">
                  <c:v>605.mcf_s</c:v>
                </c:pt>
                <c:pt idx="9">
                  <c:v>619.lbm_s</c:v>
                </c:pt>
                <c:pt idx="10">
                  <c:v>623.xalancbmk_s</c:v>
                </c:pt>
                <c:pt idx="11">
                  <c:v>625.x264_s</c:v>
                </c:pt>
                <c:pt idx="12">
                  <c:v>641.leela_s</c:v>
                </c:pt>
                <c:pt idx="13">
                  <c:v>657.xz_s</c:v>
                </c:pt>
                <c:pt idx="14">
                  <c:v>geomean</c:v>
                </c:pt>
              </c:strCache>
            </c:strRef>
          </c:cat>
          <c:val>
            <c:numRef>
              <c:f>'Runtime(desktop)'!#REF!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F-B549-892D-4F9A231BA447}"/>
            </c:ext>
          </c:extLst>
        </c:ser>
        <c:ser>
          <c:idx val="2"/>
          <c:order val="2"/>
          <c:tx>
            <c:strRef>
              <c:f>'Runtime(desktop)'!$C$40</c:f>
              <c:strCache>
                <c:ptCount val="1"/>
                <c:pt idx="0">
                  <c:v>drclient_ccw_test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'Runtime(desktop)'!$A$41:$A$55</c:f>
              <c:strCache>
                <c:ptCount val="15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541.leela_r</c:v>
                </c:pt>
                <c:pt idx="7">
                  <c:v>557.xz_r</c:v>
                </c:pt>
                <c:pt idx="8">
                  <c:v>605.mcf_s</c:v>
                </c:pt>
                <c:pt idx="9">
                  <c:v>619.lbm_s</c:v>
                </c:pt>
                <c:pt idx="10">
                  <c:v>623.xalancbmk_s</c:v>
                </c:pt>
                <c:pt idx="11">
                  <c:v>625.x264_s</c:v>
                </c:pt>
                <c:pt idx="12">
                  <c:v>641.leela_s</c:v>
                </c:pt>
                <c:pt idx="13">
                  <c:v>657.xz_s</c:v>
                </c:pt>
                <c:pt idx="14">
                  <c:v>geomean</c:v>
                </c:pt>
              </c:strCache>
            </c:strRef>
          </c:cat>
          <c:val>
            <c:numRef>
              <c:f>'Runtime(desktop)'!$C$41:$C$55</c:f>
              <c:numCache>
                <c:formatCode>_(* #,##0.00_);_(* \(#,##0.00\);_(* "-"??_);_(@_)</c:formatCode>
                <c:ptCount val="15"/>
                <c:pt idx="0">
                  <c:v>5.157156674354705</c:v>
                </c:pt>
                <c:pt idx="1">
                  <c:v>1.9298586502090385</c:v>
                </c:pt>
                <c:pt idx="2">
                  <c:v>1.4139481185178089</c:v>
                </c:pt>
                <c:pt idx="3">
                  <c:v>1.6733884244424635</c:v>
                </c:pt>
                <c:pt idx="4">
                  <c:v>4.2159194375612286</c:v>
                </c:pt>
                <c:pt idx="5">
                  <c:v>4.6749397466796578</c:v>
                </c:pt>
                <c:pt idx="6">
                  <c:v>2.8310279336391782</c:v>
                </c:pt>
                <c:pt idx="7">
                  <c:v>1.9778349858131157</c:v>
                </c:pt>
                <c:pt idx="8">
                  <c:v>4.972562394803699</c:v>
                </c:pt>
                <c:pt idx="9">
                  <c:v>1.0240776434331111</c:v>
                </c:pt>
                <c:pt idx="10">
                  <c:v>4.2561288141665532</c:v>
                </c:pt>
                <c:pt idx="11">
                  <c:v>4.6810157035037667</c:v>
                </c:pt>
                <c:pt idx="12">
                  <c:v>2.8186456029762406</c:v>
                </c:pt>
                <c:pt idx="13">
                  <c:v>2.3556375002302774</c:v>
                </c:pt>
                <c:pt idx="14">
                  <c:v>2.7921697801472343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AF-B549-892D-4F9A231BA447}"/>
            </c:ext>
          </c:extLst>
        </c:ser>
        <c:ser>
          <c:idx val="3"/>
          <c:order val="3"/>
          <c:tx>
            <c:strRef>
              <c:f>'Runtime(desktop)'!$D$40</c:f>
              <c:strCache>
                <c:ptCount val="1"/>
                <c:pt idx="0">
                  <c:v>drcctlib_callret_overhead_test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'Runtime(desktop)'!$A$41:$A$55</c:f>
              <c:strCache>
                <c:ptCount val="15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541.leela_r</c:v>
                </c:pt>
                <c:pt idx="7">
                  <c:v>557.xz_r</c:v>
                </c:pt>
                <c:pt idx="8">
                  <c:v>605.mcf_s</c:v>
                </c:pt>
                <c:pt idx="9">
                  <c:v>619.lbm_s</c:v>
                </c:pt>
                <c:pt idx="10">
                  <c:v>623.xalancbmk_s</c:v>
                </c:pt>
                <c:pt idx="11">
                  <c:v>625.x264_s</c:v>
                </c:pt>
                <c:pt idx="12">
                  <c:v>641.leela_s</c:v>
                </c:pt>
                <c:pt idx="13">
                  <c:v>657.xz_s</c:v>
                </c:pt>
                <c:pt idx="14">
                  <c:v>geomean</c:v>
                </c:pt>
              </c:strCache>
            </c:strRef>
          </c:cat>
          <c:val>
            <c:numRef>
              <c:f>'Runtime(desktop)'!$D$41:$D$55</c:f>
              <c:numCache>
                <c:formatCode>_(* #,##0.00_);_(* \(#,##0.00\);_(* "-"??_);_(@_)</c:formatCode>
                <c:ptCount val="15"/>
                <c:pt idx="0">
                  <c:v>9.6813919539846527</c:v>
                </c:pt>
                <c:pt idx="1">
                  <c:v>1.4521720087597054</c:v>
                </c:pt>
                <c:pt idx="2">
                  <c:v>1.7739232077415028</c:v>
                </c:pt>
                <c:pt idx="3">
                  <c:v>0.99754659856570382</c:v>
                </c:pt>
                <c:pt idx="4">
                  <c:v>5.780006338961563</c:v>
                </c:pt>
                <c:pt idx="5">
                  <c:v>5.2996403114858577</c:v>
                </c:pt>
                <c:pt idx="6">
                  <c:v>5.4695296984623925</c:v>
                </c:pt>
                <c:pt idx="7">
                  <c:v>1.4474128861542386</c:v>
                </c:pt>
                <c:pt idx="8">
                  <c:v>9.2962949339617733</c:v>
                </c:pt>
                <c:pt idx="9">
                  <c:v>1.0273648409634855</c:v>
                </c:pt>
                <c:pt idx="10">
                  <c:v>5.7876230457858897</c:v>
                </c:pt>
                <c:pt idx="11">
                  <c:v>5.2500238376400006</c:v>
                </c:pt>
                <c:pt idx="12">
                  <c:v>5.4684293240120452</c:v>
                </c:pt>
                <c:pt idx="13">
                  <c:v>1.4785197148243443</c:v>
                </c:pt>
                <c:pt idx="14">
                  <c:v>3.241757227947776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AF-B549-892D-4F9A231BA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772640"/>
        <c:axId val="1144774288"/>
      </c:barChart>
      <c:catAx>
        <c:axId val="114477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74288"/>
        <c:crosses val="autoZero"/>
        <c:auto val="1"/>
        <c:lblAlgn val="ctr"/>
        <c:lblOffset val="100"/>
        <c:noMultiLvlLbl val="0"/>
      </c:catAx>
      <c:valAx>
        <c:axId val="114477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77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'Runtime(desktop)'!$E$40</c:f>
              <c:strCache>
                <c:ptCount val="1"/>
                <c:pt idx="0">
                  <c:v>DCCE vs. DrCCTLib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'Runtime(desktop)'!$A$41:$A$55</c:f>
              <c:strCache>
                <c:ptCount val="15"/>
                <c:pt idx="0">
                  <c:v>505.mcf_r</c:v>
                </c:pt>
                <c:pt idx="1">
                  <c:v>508.namd_r</c:v>
                </c:pt>
                <c:pt idx="2">
                  <c:v>510.parest_r</c:v>
                </c:pt>
                <c:pt idx="3">
                  <c:v>519.lbm_r</c:v>
                </c:pt>
                <c:pt idx="4">
                  <c:v>523.xalancbmk_r</c:v>
                </c:pt>
                <c:pt idx="5">
                  <c:v>525.x264_r</c:v>
                </c:pt>
                <c:pt idx="6">
                  <c:v>541.leela_r</c:v>
                </c:pt>
                <c:pt idx="7">
                  <c:v>557.xz_r</c:v>
                </c:pt>
                <c:pt idx="8">
                  <c:v>605.mcf_s</c:v>
                </c:pt>
                <c:pt idx="9">
                  <c:v>619.lbm_s</c:v>
                </c:pt>
                <c:pt idx="10">
                  <c:v>623.xalancbmk_s</c:v>
                </c:pt>
                <c:pt idx="11">
                  <c:v>625.x264_s</c:v>
                </c:pt>
                <c:pt idx="12">
                  <c:v>641.leela_s</c:v>
                </c:pt>
                <c:pt idx="13">
                  <c:v>657.xz_s</c:v>
                </c:pt>
                <c:pt idx="14">
                  <c:v>geomean</c:v>
                </c:pt>
              </c:strCache>
            </c:strRef>
          </c:cat>
          <c:val>
            <c:numRef>
              <c:f>'Runtime(desktop)'!$E$41:$E$55</c:f>
              <c:numCache>
                <c:formatCode>General</c:formatCode>
                <c:ptCount val="15"/>
                <c:pt idx="0">
                  <c:v>1.8772731885629688</c:v>
                </c:pt>
                <c:pt idx="1">
                  <c:v>0.75247583992869582</c:v>
                </c:pt>
                <c:pt idx="2">
                  <c:v>1.2545886122052645</c:v>
                </c:pt>
                <c:pt idx="3">
                  <c:v>0.59612375943024976</c:v>
                </c:pt>
                <c:pt idx="4">
                  <c:v>1.3709954434767633</c:v>
                </c:pt>
                <c:pt idx="5">
                  <c:v>1.1336275115096166</c:v>
                </c:pt>
                <c:pt idx="6">
                  <c:v>1.9319942532080641</c:v>
                </c:pt>
                <c:pt idx="7">
                  <c:v>0.73181680804336002</c:v>
                </c:pt>
                <c:pt idx="8">
                  <c:v>1.8695180061845682</c:v>
                </c:pt>
                <c:pt idx="9">
                  <c:v>1.003209910451081</c:v>
                </c:pt>
                <c:pt idx="10">
                  <c:v>1.3598326785885211</c:v>
                </c:pt>
                <c:pt idx="11">
                  <c:v>1.1215565531451492</c:v>
                </c:pt>
                <c:pt idx="12">
                  <c:v>1.9400911268298033</c:v>
                </c:pt>
                <c:pt idx="13">
                  <c:v>0.62765162920008288</c:v>
                </c:pt>
                <c:pt idx="14">
                  <c:v>1.1610172314725198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B-CA47-AB30-6DBF46BF5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232896"/>
        <c:axId val="1144234544"/>
      </c:barChart>
      <c:catAx>
        <c:axId val="114423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234544"/>
        <c:crosses val="autoZero"/>
        <c:auto val="1"/>
        <c:lblAlgn val="ctr"/>
        <c:lblOffset val="100"/>
        <c:noMultiLvlLbl val="0"/>
      </c:catAx>
      <c:valAx>
        <c:axId val="114423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23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'Runtime(desktop)'!$B$75</c:f>
              <c:strCache>
                <c:ptCount val="1"/>
                <c:pt idx="0">
                  <c:v>Base (empty client)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'Runtime(desktop)'!$A$76:$A$88</c:f>
              <c:strCache>
                <c:ptCount val="13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713.WATER-NSQUARED</c:v>
                </c:pt>
                <c:pt idx="11">
                  <c:v>714.WATER-SPATIAL</c:v>
                </c:pt>
                <c:pt idx="12">
                  <c:v>goemean</c:v>
                </c:pt>
              </c:strCache>
            </c:strRef>
          </c:cat>
          <c:val>
            <c:numRef>
              <c:f>'Runtime(desktop)'!$B$76:$B$88</c:f>
              <c:numCache>
                <c:formatCode>_(* #,##0_);_(* \(#,##0\);_(* "-"??_);_(@_)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8-A047-AE4F-CA44314E595B}"/>
            </c:ext>
          </c:extLst>
        </c:ser>
        <c:ser>
          <c:idx val="1"/>
          <c:order val="1"/>
          <c:tx>
            <c:strRef>
              <c:f>'Runtime(desktop)'!$C$75</c:f>
              <c:strCache>
                <c:ptCount val="1"/>
                <c:pt idx="0">
                  <c:v>DCCE (CCUpdate)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'Runtime(desktop)'!$A$76:$A$88</c:f>
              <c:strCache>
                <c:ptCount val="13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713.WATER-NSQUARED</c:v>
                </c:pt>
                <c:pt idx="11">
                  <c:v>714.WATER-SPATIAL</c:v>
                </c:pt>
                <c:pt idx="12">
                  <c:v>goemean</c:v>
                </c:pt>
              </c:strCache>
            </c:strRef>
          </c:cat>
          <c:val>
            <c:numRef>
              <c:f>'Runtime(desktop)'!$C$76:$C$88</c:f>
              <c:numCache>
                <c:formatCode>_(* #,##0_);_(* \(#,##0\);_(* "-"??_);_(@_)</c:formatCode>
                <c:ptCount val="13"/>
                <c:pt idx="0">
                  <c:v>7.3383685800604228</c:v>
                </c:pt>
                <c:pt idx="1">
                  <c:v>1.7894736842105263</c:v>
                </c:pt>
                <c:pt idx="2">
                  <c:v>2.6206896551724137</c:v>
                </c:pt>
                <c:pt idx="3">
                  <c:v>1.7096774193548387</c:v>
                </c:pt>
                <c:pt idx="4">
                  <c:v>3.191919191919192</c:v>
                </c:pt>
                <c:pt idx="5">
                  <c:v>3.4574468085106385</c:v>
                </c:pt>
                <c:pt idx="6">
                  <c:v>1.2840909090909092</c:v>
                </c:pt>
                <c:pt idx="7">
                  <c:v>1.3181818181818181</c:v>
                </c:pt>
                <c:pt idx="8">
                  <c:v>5.2807570977917981</c:v>
                </c:pt>
                <c:pt idx="9">
                  <c:v>3.4533333333333331</c:v>
                </c:pt>
                <c:pt idx="10">
                  <c:v>2.2710280373831777</c:v>
                </c:pt>
                <c:pt idx="11">
                  <c:v>2.2419354838709675</c:v>
                </c:pt>
                <c:pt idx="12" formatCode="General">
                  <c:v>2.6145750697701859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8-A047-AE4F-CA44314E595B}"/>
            </c:ext>
          </c:extLst>
        </c:ser>
        <c:ser>
          <c:idx val="2"/>
          <c:order val="2"/>
          <c:tx>
            <c:strRef>
              <c:f>'Runtime(desktop)'!$D$75</c:f>
              <c:strCache>
                <c:ptCount val="1"/>
                <c:pt idx="0">
                  <c:v>DCCE (CCUpdate + GetCC)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'Runtime(desktop)'!$A$76:$A$88</c:f>
              <c:strCache>
                <c:ptCount val="13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713.WATER-NSQUARED</c:v>
                </c:pt>
                <c:pt idx="11">
                  <c:v>714.WATER-SPATIAL</c:v>
                </c:pt>
                <c:pt idx="12">
                  <c:v>goemean</c:v>
                </c:pt>
              </c:strCache>
            </c:strRef>
          </c:cat>
          <c:val>
            <c:numRef>
              <c:f>'Runtime(desktop)'!$D$76:$D$88</c:f>
              <c:numCache>
                <c:formatCode>_(* #,##0_);_(* \(#,##0\);_(* "-"??_);_(@_)</c:formatCode>
                <c:ptCount val="13"/>
                <c:pt idx="0">
                  <c:v>7.6616314199395772</c:v>
                </c:pt>
                <c:pt idx="1">
                  <c:v>1.7828947368421053</c:v>
                </c:pt>
                <c:pt idx="2">
                  <c:v>2.6379310344827585</c:v>
                </c:pt>
                <c:pt idx="3">
                  <c:v>1.7214076246334311</c:v>
                </c:pt>
                <c:pt idx="4">
                  <c:v>3.3636363636363638</c:v>
                </c:pt>
                <c:pt idx="5">
                  <c:v>3.6276595744680851</c:v>
                </c:pt>
                <c:pt idx="6">
                  <c:v>1.5056818181818181</c:v>
                </c:pt>
                <c:pt idx="7">
                  <c:v>1.4772727272727273</c:v>
                </c:pt>
                <c:pt idx="8">
                  <c:v>5.4731861198738168</c:v>
                </c:pt>
                <c:pt idx="9">
                  <c:v>3.3333333333333335</c:v>
                </c:pt>
                <c:pt idx="10">
                  <c:v>2.2523364485981308</c:v>
                </c:pt>
                <c:pt idx="11">
                  <c:v>2.024193548387097</c:v>
                </c:pt>
                <c:pt idx="12" formatCode="General">
                  <c:v>2.684431456688305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8-A047-AE4F-CA44314E595B}"/>
            </c:ext>
          </c:extLst>
        </c:ser>
        <c:ser>
          <c:idx val="3"/>
          <c:order val="3"/>
          <c:tx>
            <c:strRef>
              <c:f>'Runtime(desktop)'!$E$75</c:f>
              <c:strCache>
                <c:ptCount val="1"/>
                <c:pt idx="0">
                  <c:v>DrCCTLib (CCUpdate)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'Runtime(desktop)'!$A$76:$A$88</c:f>
              <c:strCache>
                <c:ptCount val="13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713.WATER-NSQUARED</c:v>
                </c:pt>
                <c:pt idx="11">
                  <c:v>714.WATER-SPATIAL</c:v>
                </c:pt>
                <c:pt idx="12">
                  <c:v>goemean</c:v>
                </c:pt>
              </c:strCache>
            </c:strRef>
          </c:cat>
          <c:val>
            <c:numRef>
              <c:f>'Runtime(desktop)'!$E$76:$E$88</c:f>
              <c:numCache>
                <c:formatCode>_(* #,##0_);_(* \(#,##0\);_(* "-"??_);_(@_)</c:formatCode>
                <c:ptCount val="13"/>
                <c:pt idx="0">
                  <c:v>9.9637462235649554</c:v>
                </c:pt>
                <c:pt idx="1">
                  <c:v>3.1973684210526314</c:v>
                </c:pt>
                <c:pt idx="2">
                  <c:v>5.0344827586206895</c:v>
                </c:pt>
                <c:pt idx="3">
                  <c:v>2.5571847507331378</c:v>
                </c:pt>
                <c:pt idx="4">
                  <c:v>5.0909090909090908</c:v>
                </c:pt>
                <c:pt idx="5">
                  <c:v>5.457446808510638</c:v>
                </c:pt>
                <c:pt idx="6">
                  <c:v>2.1875</c:v>
                </c:pt>
                <c:pt idx="7">
                  <c:v>2.0568181818181817</c:v>
                </c:pt>
                <c:pt idx="8">
                  <c:v>7.2933753943217665</c:v>
                </c:pt>
                <c:pt idx="9">
                  <c:v>5.2</c:v>
                </c:pt>
                <c:pt idx="10">
                  <c:v>4.1495327102803738</c:v>
                </c:pt>
                <c:pt idx="11">
                  <c:v>4.104838709677419</c:v>
                </c:pt>
                <c:pt idx="12" formatCode="General">
                  <c:v>4.2332510694874408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F-544B-8CB6-CD12A4D431B1}"/>
            </c:ext>
          </c:extLst>
        </c:ser>
        <c:ser>
          <c:idx val="4"/>
          <c:order val="4"/>
          <c:tx>
            <c:strRef>
              <c:f>'Runtime(desktop)'!$F$75</c:f>
              <c:strCache>
                <c:ptCount val="1"/>
                <c:pt idx="0">
                  <c:v>DrCCTLib (CCUpdate + GetCC)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'Runtime(desktop)'!$A$76:$A$88</c:f>
              <c:strCache>
                <c:ptCount val="13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713.WATER-NSQUARED</c:v>
                </c:pt>
                <c:pt idx="11">
                  <c:v>714.WATER-SPATIAL</c:v>
                </c:pt>
                <c:pt idx="12">
                  <c:v>goemean</c:v>
                </c:pt>
              </c:strCache>
            </c:strRef>
          </c:cat>
          <c:val>
            <c:numRef>
              <c:f>'Runtime(desktop)'!$F$76:$F$88</c:f>
              <c:numCache>
                <c:formatCode>_(* #,##0_);_(* \(#,##0\);_(* "-"??_);_(@_)</c:formatCode>
                <c:ptCount val="13"/>
                <c:pt idx="0">
                  <c:v>11.504531722054381</c:v>
                </c:pt>
                <c:pt idx="1">
                  <c:v>3.0657894736842106</c:v>
                </c:pt>
                <c:pt idx="2">
                  <c:v>5.0517241379310347</c:v>
                </c:pt>
                <c:pt idx="3">
                  <c:v>2.6715542521994133</c:v>
                </c:pt>
                <c:pt idx="4">
                  <c:v>5.7474747474747474</c:v>
                </c:pt>
                <c:pt idx="5">
                  <c:v>6.1595744680851068</c:v>
                </c:pt>
                <c:pt idx="6">
                  <c:v>2.2840909090909092</c:v>
                </c:pt>
                <c:pt idx="7">
                  <c:v>2.1818181818181817</c:v>
                </c:pt>
                <c:pt idx="8">
                  <c:v>8.618296529968454</c:v>
                </c:pt>
                <c:pt idx="9">
                  <c:v>5.3466666666666667</c:v>
                </c:pt>
                <c:pt idx="10">
                  <c:v>4.5233644859813085</c:v>
                </c:pt>
                <c:pt idx="11">
                  <c:v>4.395161290322581</c:v>
                </c:pt>
                <c:pt idx="12" formatCode="General">
                  <c:v>4.5412592679223085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F-544B-8CB6-CD12A4D43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'Runtime(desktop)'!$G$75</c:f>
              <c:strCache>
                <c:ptCount val="1"/>
                <c:pt idx="0">
                  <c:v>DCCE Vs. DrCCTLib (CCUpdate + GetCC)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'Runtime(desktop)'!$A$76:$A$88</c:f>
              <c:strCache>
                <c:ptCount val="13"/>
                <c:pt idx="0">
                  <c:v>701.BARNES</c:v>
                </c:pt>
                <c:pt idx="1">
                  <c:v>702.CHOLESKY</c:v>
                </c:pt>
                <c:pt idx="2">
                  <c:v>703.FFT</c:v>
                </c:pt>
                <c:pt idx="3">
                  <c:v>704.FMM</c:v>
                </c:pt>
                <c:pt idx="4">
                  <c:v>705.LU-CB</c:v>
                </c:pt>
                <c:pt idx="5">
                  <c:v>706.LU-NCB</c:v>
                </c:pt>
                <c:pt idx="6">
                  <c:v>707.OCEAN-CP</c:v>
                </c:pt>
                <c:pt idx="7">
                  <c:v>708.OCEAN-NCP</c:v>
                </c:pt>
                <c:pt idx="8">
                  <c:v>709.RADIOSITY</c:v>
                </c:pt>
                <c:pt idx="9">
                  <c:v>710.RADIX</c:v>
                </c:pt>
                <c:pt idx="10">
                  <c:v>713.WATER-NSQUARED</c:v>
                </c:pt>
                <c:pt idx="11">
                  <c:v>714.WATER-SPATIAL</c:v>
                </c:pt>
                <c:pt idx="12">
                  <c:v>goemean</c:v>
                </c:pt>
              </c:strCache>
            </c:strRef>
          </c:cat>
          <c:val>
            <c:numRef>
              <c:f>'Runtime(desktop)'!$G$76:$G$88</c:f>
              <c:numCache>
                <c:formatCode>General</c:formatCode>
                <c:ptCount val="13"/>
                <c:pt idx="0">
                  <c:v>1.501577287066246</c:v>
                </c:pt>
                <c:pt idx="1">
                  <c:v>1.7195571955719557</c:v>
                </c:pt>
                <c:pt idx="2">
                  <c:v>1.9150326797385624</c:v>
                </c:pt>
                <c:pt idx="3">
                  <c:v>1.5519591141396933</c:v>
                </c:pt>
                <c:pt idx="4">
                  <c:v>1.7087087087087087</c:v>
                </c:pt>
                <c:pt idx="5">
                  <c:v>1.6979472140762464</c:v>
                </c:pt>
                <c:pt idx="6">
                  <c:v>1.5169811320754718</c:v>
                </c:pt>
                <c:pt idx="7">
                  <c:v>1.4769230769230768</c:v>
                </c:pt>
                <c:pt idx="8">
                  <c:v>1.5746397694524497</c:v>
                </c:pt>
                <c:pt idx="9">
                  <c:v>1.6039999999999999</c:v>
                </c:pt>
                <c:pt idx="10">
                  <c:v>2.008298755186722</c:v>
                </c:pt>
                <c:pt idx="11">
                  <c:v>2.1713147410358564</c:v>
                </c:pt>
                <c:pt idx="12">
                  <c:v>1.6917024484300713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2-0946-93C0-495466E6F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065439"/>
        <c:axId val="1354260687"/>
      </c:barChart>
      <c:catAx>
        <c:axId val="135406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260687"/>
        <c:crosses val="autoZero"/>
        <c:auto val="1"/>
        <c:lblAlgn val="ctr"/>
        <c:lblOffset val="100"/>
        <c:noMultiLvlLbl val="0"/>
      </c:catAx>
      <c:valAx>
        <c:axId val="135426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06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4150614391195"/>
          <c:y val="0.21904053659959175"/>
          <c:w val="0.86015141814020657"/>
          <c:h val="0.49911064936327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Static_Overhead_SPEC2017!$B$21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Static_Overhead_SPEC2017!$B$22:$B$36</c:f>
              <c:numCache>
                <c:formatCode>_(* #,##0.00_);_(* \(#,##0.00\);_(*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94-E64D-8E3A-629F42E216D8}"/>
            </c:ext>
          </c:extLst>
        </c:ser>
        <c:ser>
          <c:idx val="1"/>
          <c:order val="1"/>
          <c:tx>
            <c:strRef>
              <c:f>Static_Overhead_SPEC2017!$C$21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Static_Overhead_SPEC2017!$C$22:$C$36</c:f>
              <c:numCache>
                <c:formatCode>_(* #,##0.00_);_(* \(#,##0.00\);_(* "-"??_);_(@_)</c:formatCode>
                <c:ptCount val="15"/>
                <c:pt idx="0">
                  <c:v>1.7103958136846269</c:v>
                </c:pt>
                <c:pt idx="1">
                  <c:v>1.6373122834039275</c:v>
                </c:pt>
                <c:pt idx="2">
                  <c:v>2.5291974471078951</c:v>
                </c:pt>
                <c:pt idx="3">
                  <c:v>1.2255798758575629</c:v>
                </c:pt>
                <c:pt idx="4">
                  <c:v>1.7915722547262336</c:v>
                </c:pt>
                <c:pt idx="5">
                  <c:v>1.8157203658426153</c:v>
                </c:pt>
                <c:pt idx="6">
                  <c:v>1.687632842635598</c:v>
                </c:pt>
                <c:pt idx="7">
                  <c:v>1.6695261097693013</c:v>
                </c:pt>
                <c:pt idx="8">
                  <c:v>1.6856932175588026</c:v>
                </c:pt>
                <c:pt idx="9">
                  <c:v>0.96508848263882918</c:v>
                </c:pt>
                <c:pt idx="10">
                  <c:v>1.7081217409086262</c:v>
                </c:pt>
                <c:pt idx="11">
                  <c:v>1.6892061781609196</c:v>
                </c:pt>
                <c:pt idx="12">
                  <c:v>1.599460464629004</c:v>
                </c:pt>
                <c:pt idx="13">
                  <c:v>1.9476324365774171</c:v>
                </c:pt>
                <c:pt idx="14">
                  <c:v>1.6556977008480984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94-E64D-8E3A-629F42E216D8}"/>
            </c:ext>
          </c:extLst>
        </c:ser>
        <c:ser>
          <c:idx val="2"/>
          <c:order val="2"/>
          <c:tx>
            <c:strRef>
              <c:f>Static_Overhead_SPEC2017!$D$21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Static_Overhead_SPEC2017!$D$22:$D$36</c:f>
              <c:numCache>
                <c:formatCode>_(* #,##0.00_);_(* \(#,##0.00\);_(* "-"??_);_(@_)</c:formatCode>
                <c:ptCount val="15"/>
                <c:pt idx="0">
                  <c:v>1.7343393471051751</c:v>
                </c:pt>
                <c:pt idx="1">
                  <c:v>1.7070465922217943</c:v>
                </c:pt>
                <c:pt idx="2">
                  <c:v>2.5778682345846526</c:v>
                </c:pt>
                <c:pt idx="3">
                  <c:v>1.314970597843842</c:v>
                </c:pt>
                <c:pt idx="4">
                  <c:v>1.7757448679360142</c:v>
                </c:pt>
                <c:pt idx="5">
                  <c:v>1.89133387666395</c:v>
                </c:pt>
                <c:pt idx="6">
                  <c:v>1.6882363746096722</c:v>
                </c:pt>
                <c:pt idx="7">
                  <c:v>1.6823519613558757</c:v>
                </c:pt>
                <c:pt idx="8">
                  <c:v>1.7502370167491836</c:v>
                </c:pt>
                <c:pt idx="9">
                  <c:v>1.0087622749238998</c:v>
                </c:pt>
                <c:pt idx="10">
                  <c:v>1.7895095600013633</c:v>
                </c:pt>
                <c:pt idx="11">
                  <c:v>1.8683548850574712</c:v>
                </c:pt>
                <c:pt idx="12">
                  <c:v>1.6913386239228936</c:v>
                </c:pt>
                <c:pt idx="13">
                  <c:v>2.0097130807080323</c:v>
                </c:pt>
                <c:pt idx="14">
                  <c:v>1.716072489700305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94-E64D-8E3A-629F42E216D8}"/>
            </c:ext>
          </c:extLst>
        </c:ser>
        <c:ser>
          <c:idx val="3"/>
          <c:order val="3"/>
          <c:tx>
            <c:strRef>
              <c:f>Static_Overhead_SPEC2017!$E$21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197614730283263E-3"/>
                  <c:y val="0.2676032857003985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983-434A-9919-C20F186CFF8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983-434A-9919-C20F186CFF8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83-434A-9919-C20F186CFF8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983-434A-9919-C20F186CFF8B}"/>
                </c:ext>
              </c:extLst>
            </c:dLbl>
            <c:dLbl>
              <c:idx val="4"/>
              <c:layout>
                <c:manualLayout>
                  <c:x val="-2.1387512363533119E-3"/>
                  <c:y val="0.27068970545348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983-434A-9919-C20F186CFF8B}"/>
                </c:ext>
              </c:extLst>
            </c:dLbl>
            <c:dLbl>
              <c:idx val="5"/>
              <c:layout>
                <c:manualLayout>
                  <c:x val="7.2726138243466585E-3"/>
                  <c:y val="0.270689705453484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983-434A-9919-C20F186CFF8B}"/>
                </c:ext>
              </c:extLst>
            </c:dLbl>
            <c:dLbl>
              <c:idx val="6"/>
              <c:layout>
                <c:manualLayout>
                  <c:x val="1.3860569366836707E-2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983-434A-9919-C20F186CFF8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83-434A-9919-C20F186CFF8B}"/>
                </c:ext>
              </c:extLst>
            </c:dLbl>
            <c:dLbl>
              <c:idx val="8"/>
              <c:layout>
                <c:manualLayout>
                  <c:x val="-2.564782242132488E-4"/>
                  <c:y val="0.269146495576941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983-434A-9919-C20F186CFF8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83-434A-9919-C20F186CFF8B}"/>
                </c:ext>
              </c:extLst>
            </c:dLbl>
            <c:dLbl>
              <c:idx val="10"/>
              <c:layout>
                <c:manualLayout>
                  <c:x val="-3.0798877424232395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983-434A-9919-C20F186CFF8B}"/>
                </c:ext>
              </c:extLst>
            </c:dLbl>
            <c:dLbl>
              <c:idx val="11"/>
              <c:layout>
                <c:manualLayout>
                  <c:x val="2.566931293996742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983-434A-9919-C20F186CFF8B}"/>
                </c:ext>
              </c:extLst>
            </c:dLbl>
            <c:dLbl>
              <c:idx val="12"/>
              <c:layout>
                <c:manualLayout>
                  <c:x val="7.2726138243465891E-3"/>
                  <c:y val="0.272232915330028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983-434A-9919-C20F186CFF8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83-434A-9919-C20F186CFF8B}"/>
                </c:ext>
              </c:extLst>
            </c:dLbl>
            <c:dLbl>
              <c:idx val="14"/>
              <c:layout>
                <c:manualLayout>
                  <c:x val="-7.9840982018883049E-3"/>
                  <c:y val="0.21665001944201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983-434A-9919-C20F186CFF8B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Static_Overhead_SPEC2017!$A$22:$A$36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Static_Overhead_SPEC2017!$E$22:$E$36</c:f>
              <c:numCache>
                <c:formatCode>_(* #,##0.00_);_(* \(#,##0.00\);_(* "-"??_);_(@_)</c:formatCode>
                <c:ptCount val="15"/>
                <c:pt idx="0">
                  <c:v>21.375764398065048</c:v>
                </c:pt>
                <c:pt idx="1">
                  <c:v>2.6425490951097421</c:v>
                </c:pt>
                <c:pt idx="2">
                  <c:v>2.8280315593748431</c:v>
                </c:pt>
                <c:pt idx="3">
                  <c:v>1.310764456060111</c:v>
                </c:pt>
                <c:pt idx="4">
                  <c:v>12.316953566234908</c:v>
                </c:pt>
                <c:pt idx="5">
                  <c:v>12.43412116272752</c:v>
                </c:pt>
                <c:pt idx="6">
                  <c:v>12.902463984885459</c:v>
                </c:pt>
                <c:pt idx="7">
                  <c:v>2.4952944115932372</c:v>
                </c:pt>
                <c:pt idx="8">
                  <c:v>24.357797474831077</c:v>
                </c:pt>
                <c:pt idx="9">
                  <c:v>1.0063803807591105</c:v>
                </c:pt>
                <c:pt idx="10">
                  <c:v>12.368358269997614</c:v>
                </c:pt>
                <c:pt idx="11">
                  <c:v>12.338362068965518</c:v>
                </c:pt>
                <c:pt idx="12">
                  <c:v>12.940991592676985</c:v>
                </c:pt>
                <c:pt idx="13">
                  <c:v>3.087737235606109</c:v>
                </c:pt>
                <c:pt idx="14">
                  <c:v>6.2975928485938155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94-E64D-8E3A-629F42E216D8}"/>
            </c:ext>
          </c:extLst>
        </c:ser>
        <c:ser>
          <c:idx val="4"/>
          <c:order val="4"/>
          <c:tx>
            <c:strRef>
              <c:f>Static_Overhead_SPEC2017!$F$21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Static_Overhead_SPEC2017!$F$22:$F$36</c:f>
              <c:numCache>
                <c:formatCode>_(* #,##0.00_);_(* \(#,##0.00\);_(* "-"??_);_(@_)</c:formatCode>
                <c:ptCount val="15"/>
                <c:pt idx="0">
                  <c:v>1.936718488545438</c:v>
                </c:pt>
                <c:pt idx="1">
                  <c:v>1.7102425876010781</c:v>
                </c:pt>
                <c:pt idx="2">
                  <c:v>2.5839991959394943</c:v>
                </c:pt>
                <c:pt idx="3">
                  <c:v>1.3118670369160406</c:v>
                </c:pt>
                <c:pt idx="4">
                  <c:v>1.8433156346173358</c:v>
                </c:pt>
                <c:pt idx="5">
                  <c:v>1.9429502852485738</c:v>
                </c:pt>
                <c:pt idx="6">
                  <c:v>1.7269149019916554</c:v>
                </c:pt>
                <c:pt idx="7">
                  <c:v>1.6696093945198633</c:v>
                </c:pt>
                <c:pt idx="8">
                  <c:v>1.9552753156461151</c:v>
                </c:pt>
                <c:pt idx="9">
                  <c:v>1.009673757889487</c:v>
                </c:pt>
                <c:pt idx="10">
                  <c:v>1.8334753416720631</c:v>
                </c:pt>
                <c:pt idx="11">
                  <c:v>1.9264547413793103</c:v>
                </c:pt>
                <c:pt idx="12">
                  <c:v>1.7253869725779838</c:v>
                </c:pt>
                <c:pt idx="13">
                  <c:v>2.0301616716723112</c:v>
                </c:pt>
                <c:pt idx="14">
                  <c:v>1.7643230843716435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94-E64D-8E3A-629F42E21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30071631671041"/>
          <c:y val="1.8259089141635074E-2"/>
          <c:w val="0.88536041393263332"/>
          <c:h val="0.1847027802080295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70641785323961"/>
          <c:y val="0.20936041517537585"/>
          <c:w val="0.86268657266986581"/>
          <c:h val="0.473296945836315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Static_Overhead_SPEC2017!$G$42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91F-2E4B-86D6-F3385D35D2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91F-2E4B-86D6-F3385D35D2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91F-2E4B-86D6-F3385D35D2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91F-2E4B-86D6-F3385D35D2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991F-2E4B-86D6-F3385D35D2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91F-2E4B-86D6-F3385D35D2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91F-2E4B-86D6-F3385D35D2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991F-2E4B-86D6-F3385D35D28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991F-2E4B-86D6-F3385D35D2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991F-2E4B-86D6-F3385D35D2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91F-2E4B-86D6-F3385D35D2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91F-2E4B-86D6-F3385D35D2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91F-2E4B-86D6-F3385D35D28D}"/>
                </c:ext>
              </c:extLst>
            </c:dLbl>
            <c:dLbl>
              <c:idx val="13"/>
              <c:layout>
                <c:manualLayout>
                  <c:x val="-2.8949863584257562E-2"/>
                  <c:y val="0.215585083114610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91F-2E4B-86D6-F3385D35D28D}"/>
                </c:ext>
              </c:extLst>
            </c:dLbl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Static_Overhead_SPEC2017!$G$43:$G$56</c:f>
              <c:numCache>
                <c:formatCode>_(* #,##0.00_);_(* \(#,##0.00\);_(* "-"??_);_(@_)</c:formatCode>
                <c:ptCount val="14"/>
                <c:pt idx="0">
                  <c:v>1.95703125</c:v>
                </c:pt>
                <c:pt idx="1">
                  <c:v>0.45703125</c:v>
                </c:pt>
                <c:pt idx="2">
                  <c:v>1.51953125</c:v>
                </c:pt>
                <c:pt idx="3">
                  <c:v>1.9609375</c:v>
                </c:pt>
                <c:pt idx="4">
                  <c:v>4.4453125</c:v>
                </c:pt>
                <c:pt idx="5">
                  <c:v>2.6171875</c:v>
                </c:pt>
                <c:pt idx="6">
                  <c:v>0.703125</c:v>
                </c:pt>
                <c:pt idx="7">
                  <c:v>2.40625</c:v>
                </c:pt>
                <c:pt idx="8">
                  <c:v>1.66796875</c:v>
                </c:pt>
                <c:pt idx="9">
                  <c:v>1.45703125</c:v>
                </c:pt>
                <c:pt idx="10">
                  <c:v>3.9921875</c:v>
                </c:pt>
                <c:pt idx="11">
                  <c:v>2.40234375</c:v>
                </c:pt>
                <c:pt idx="12">
                  <c:v>0.37109375</c:v>
                </c:pt>
                <c:pt idx="13" formatCode="_(* #,##0_);_(* \(#,##0\);_(* &quot;-&quot;??_);_(@_)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F-2E4B-86D6-F3385D35D28D}"/>
            </c:ext>
          </c:extLst>
        </c:ser>
        <c:ser>
          <c:idx val="1"/>
          <c:order val="1"/>
          <c:tx>
            <c:strRef>
              <c:f>Static_Overhead_SPEC2017!$H$42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91F-2E4B-86D6-F3385D35D2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91F-2E4B-86D6-F3385D35D2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91F-2E4B-86D6-F3385D35D2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91F-2E4B-86D6-F3385D35D2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91F-2E4B-86D6-F3385D35D2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91F-2E4B-86D6-F3385D35D2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91F-2E4B-86D6-F3385D35D2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91F-2E4B-86D6-F3385D35D28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91F-2E4B-86D6-F3385D35D2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91F-2E4B-86D6-F3385D35D2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91F-2E4B-86D6-F3385D35D2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91F-2E4B-86D6-F3385D35D2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91F-2E4B-86D6-F3385D35D28D}"/>
                </c:ext>
              </c:extLst>
            </c:dLbl>
            <c:dLbl>
              <c:idx val="13"/>
              <c:layout>
                <c:manualLayout>
                  <c:x val="4.4113690605337381E-2"/>
                  <c:y val="0.21571741032370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991F-2E4B-86D6-F3385D35D28D}"/>
                </c:ext>
              </c:extLst>
            </c:dLbl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Static_Overhead_SPEC2017!$H$43:$H$56</c:f>
              <c:numCache>
                <c:formatCode>_(* #,##0.00_);_(* \(#,##0.00\);_(* "-"??_);_(@_)</c:formatCode>
                <c:ptCount val="14"/>
                <c:pt idx="0">
                  <c:v>1.796875</c:v>
                </c:pt>
                <c:pt idx="1">
                  <c:v>0.515625</c:v>
                </c:pt>
                <c:pt idx="2">
                  <c:v>1.15625</c:v>
                </c:pt>
                <c:pt idx="3">
                  <c:v>1.58984375</c:v>
                </c:pt>
                <c:pt idx="4">
                  <c:v>3.67578125</c:v>
                </c:pt>
                <c:pt idx="5">
                  <c:v>2.44140625</c:v>
                </c:pt>
                <c:pt idx="6">
                  <c:v>0.6484375</c:v>
                </c:pt>
                <c:pt idx="7">
                  <c:v>2.32421875</c:v>
                </c:pt>
                <c:pt idx="8">
                  <c:v>1.53515625</c:v>
                </c:pt>
                <c:pt idx="9">
                  <c:v>1.39453125</c:v>
                </c:pt>
                <c:pt idx="10">
                  <c:v>3.359375</c:v>
                </c:pt>
                <c:pt idx="11">
                  <c:v>2.34765625</c:v>
                </c:pt>
                <c:pt idx="12">
                  <c:v>0.19140625</c:v>
                </c:pt>
                <c:pt idx="13" formatCode="_(* #,##0_);_(* \(#,##0\);_(* &quot;-&quot;??_);_(@_)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1F-2E4B-86D6-F3385D35D28D}"/>
            </c:ext>
          </c:extLst>
        </c:ser>
        <c:ser>
          <c:idx val="2"/>
          <c:order val="2"/>
          <c:tx>
            <c:strRef>
              <c:f>Static_Overhead_SPEC2017!$I$42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91F-2E4B-86D6-F3385D35D2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91F-2E4B-86D6-F3385D35D2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991F-2E4B-86D6-F3385D35D2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991F-2E4B-86D6-F3385D35D2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991F-2E4B-86D6-F3385D35D2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991F-2E4B-86D6-F3385D35D2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991F-2E4B-86D6-F3385D35D2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991F-2E4B-86D6-F3385D35D28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991F-2E4B-86D6-F3385D35D2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991F-2E4B-86D6-F3385D35D2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991F-2E4B-86D6-F3385D35D2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991F-2E4B-86D6-F3385D35D2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991F-2E4B-86D6-F3385D35D28D}"/>
                </c:ext>
              </c:extLst>
            </c:dLbl>
            <c:dLbl>
              <c:idx val="13"/>
              <c:layout>
                <c:manualLayout>
                  <c:x val="-6.791026799671431E-3"/>
                  <c:y val="0.21513414989792942"/>
                </c:manualLayout>
              </c:layout>
              <c:spPr>
                <a:solidFill>
                  <a:schemeClr val="accent5">
                    <a:lumMod val="75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200" b="0" i="0" u="none" strike="noStrike" kern="1200" baseline="0">
                      <a:solidFill>
                        <a:schemeClr val="bg1"/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15469733130831E-2"/>
                      <c:h val="4.468370273160299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7-991F-2E4B-86D6-F3385D35D28D}"/>
                </c:ext>
              </c:extLst>
            </c:dLbl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Static_Overhead_SPEC2017!$I$43:$I$56</c:f>
              <c:numCache>
                <c:formatCode>_(* #,##0.00_);_(* \(#,##0.00\);_(* "-"??_);_(@_)</c:formatCode>
                <c:ptCount val="14"/>
                <c:pt idx="0">
                  <c:v>1.93359375</c:v>
                </c:pt>
                <c:pt idx="1">
                  <c:v>1.21875</c:v>
                </c:pt>
                <c:pt idx="2">
                  <c:v>3.70703125</c:v>
                </c:pt>
                <c:pt idx="3">
                  <c:v>2.04296875</c:v>
                </c:pt>
                <c:pt idx="4">
                  <c:v>13.62890625</c:v>
                </c:pt>
                <c:pt idx="5">
                  <c:v>7.55859375</c:v>
                </c:pt>
                <c:pt idx="6">
                  <c:v>1.9453125</c:v>
                </c:pt>
                <c:pt idx="7">
                  <c:v>2.91796875</c:v>
                </c:pt>
                <c:pt idx="8">
                  <c:v>1.75390625</c:v>
                </c:pt>
                <c:pt idx="9">
                  <c:v>1.65625</c:v>
                </c:pt>
                <c:pt idx="10">
                  <c:v>13.20703125</c:v>
                </c:pt>
                <c:pt idx="11">
                  <c:v>7.21875</c:v>
                </c:pt>
                <c:pt idx="12">
                  <c:v>0.5390625</c:v>
                </c:pt>
                <c:pt idx="13" formatCode="_(* #,##0_);_(* \(#,##0\);_(* &quot;-&quot;??_);_(@_)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91F-2E4B-86D6-F3385D35D28D}"/>
            </c:ext>
          </c:extLst>
        </c:ser>
        <c:ser>
          <c:idx val="3"/>
          <c:order val="3"/>
          <c:tx>
            <c:strRef>
              <c:f>Static_Overhead_SPEC2017!$J$42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91F-2E4B-86D6-F3385D35D2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91F-2E4B-86D6-F3385D35D2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991F-2E4B-86D6-F3385D35D2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991F-2E4B-86D6-F3385D35D2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991F-2E4B-86D6-F3385D35D2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991F-2E4B-86D6-F3385D35D2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991F-2E4B-86D6-F3385D35D2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991F-2E4B-86D6-F3385D35D28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991F-2E4B-86D6-F3385D35D2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991F-2E4B-86D6-F3385D35D2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991F-2E4B-86D6-F3385D35D2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91F-2E4B-86D6-F3385D35D2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991F-2E4B-86D6-F3385D35D28D}"/>
                </c:ext>
              </c:extLst>
            </c:dLbl>
            <c:dLbl>
              <c:idx val="13"/>
              <c:layout>
                <c:manualLayout>
                  <c:x val="1.097749524637691E-3"/>
                  <c:y val="0.2159819432293185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991F-2E4B-86D6-F3385D35D28D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Static_Overhead_SPEC2017!$J$43:$J$56</c:f>
              <c:numCache>
                <c:formatCode>_(* #,##0.00_);_(* \(#,##0.00\);_(* "-"??_);_(@_)</c:formatCode>
                <c:ptCount val="14"/>
                <c:pt idx="0">
                  <c:v>1.7734375</c:v>
                </c:pt>
                <c:pt idx="1">
                  <c:v>0.4609375</c:v>
                </c:pt>
                <c:pt idx="2">
                  <c:v>1.1796875</c:v>
                </c:pt>
                <c:pt idx="3">
                  <c:v>1.6171875</c:v>
                </c:pt>
                <c:pt idx="4">
                  <c:v>3.921875</c:v>
                </c:pt>
                <c:pt idx="5">
                  <c:v>2.64453125</c:v>
                </c:pt>
                <c:pt idx="6">
                  <c:v>0.63671875</c:v>
                </c:pt>
                <c:pt idx="7">
                  <c:v>2.4609375</c:v>
                </c:pt>
                <c:pt idx="8">
                  <c:v>1.609375</c:v>
                </c:pt>
                <c:pt idx="9">
                  <c:v>1.3046875</c:v>
                </c:pt>
                <c:pt idx="10">
                  <c:v>3.56640625</c:v>
                </c:pt>
                <c:pt idx="11">
                  <c:v>2.3671875</c:v>
                </c:pt>
                <c:pt idx="12">
                  <c:v>0.2421875</c:v>
                </c:pt>
                <c:pt idx="13" formatCode="_(* #,##0_);_(* \(#,##0\);_(* &quot;-&quot;??_);_(@_)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1F-2E4B-86D6-F3385D35D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 </a:t>
                </a:r>
              </a:p>
              <a:p>
                <a:pPr>
                  <a:defRPr/>
                </a:pPr>
                <a:r>
                  <a:rPr lang="en-US"/>
                  <a:t>Difference from Native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3007130264931"/>
          <c:y val="3.1076115485564313E-3"/>
          <c:w val="0.8718926130007193"/>
          <c:h val="0.1850240992603197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744001976896502"/>
          <c:y val="0.20936041517537585"/>
          <c:w val="0.79495298796706482"/>
          <c:h val="0.473296945836315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Static_Overhead_SPEC2017!$B$61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Static_Overhead_SPEC2017!$A$62:$A$76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Static_Overhead_SPEC2017!$B$62:$B$76</c:f>
              <c:numCache>
                <c:formatCode>_(* #,##0.000_);_(* \(#,##0.000\);_(*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508-114B-A6B2-74140125AD84}"/>
            </c:ext>
          </c:extLst>
        </c:ser>
        <c:ser>
          <c:idx val="1"/>
          <c:order val="1"/>
          <c:tx>
            <c:strRef>
              <c:f>Static_Overhead_SPEC2017!$C$61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Static_Overhead_SPEC2017!$A$62:$A$76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Static_Overhead_SPEC2017!$C$62:$C$76</c:f>
              <c:numCache>
                <c:formatCode>_(* #,##0.000_);_(* \(#,##0.000\);_(* "-"??_);_(@_)</c:formatCode>
                <c:ptCount val="15"/>
                <c:pt idx="0">
                  <c:v>1.0032116002230813</c:v>
                </c:pt>
                <c:pt idx="1">
                  <c:v>1.002810000720513</c:v>
                </c:pt>
                <c:pt idx="2">
                  <c:v>1.0036687729887768</c:v>
                </c:pt>
                <c:pt idx="3">
                  <c:v>1.0047764488720159</c:v>
                </c:pt>
                <c:pt idx="4">
                  <c:v>1.0092776781346813</c:v>
                </c:pt>
                <c:pt idx="5">
                  <c:v>1.0167550265079524</c:v>
                </c:pt>
                <c:pt idx="6">
                  <c:v>1.0260454348140646</c:v>
                </c:pt>
                <c:pt idx="7">
                  <c:v>1.0033162674763527</c:v>
                </c:pt>
                <c:pt idx="8">
                  <c:v>1.0004210368550224</c:v>
                </c:pt>
                <c:pt idx="9">
                  <c:v>1.0004518145258976</c:v>
                </c:pt>
                <c:pt idx="10">
                  <c:v>1.0083256621019445</c:v>
                </c:pt>
                <c:pt idx="11">
                  <c:v>1.0153558052434457</c:v>
                </c:pt>
                <c:pt idx="12">
                  <c:v>1.013550135501355</c:v>
                </c:pt>
                <c:pt idx="13">
                  <c:v>1.0294970989004282</c:v>
                </c:pt>
                <c:pt idx="14">
                  <c:v>1.0097793737615448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508-114B-A6B2-74140125AD84}"/>
            </c:ext>
          </c:extLst>
        </c:ser>
        <c:ser>
          <c:idx val="2"/>
          <c:order val="2"/>
          <c:tx>
            <c:strRef>
              <c:f>Static_Overhead_SPEC2017!$D$61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Static_Overhead_SPEC2017!$A$62:$A$76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Static_Overhead_SPEC2017!$D$62:$D$76</c:f>
              <c:numCache>
                <c:formatCode>_(* #,##0.000_);_(* \(#,##0.000\);_(* "-"??_);_(@_)</c:formatCode>
                <c:ptCount val="15"/>
                <c:pt idx="0">
                  <c:v>1.0029487746559229</c:v>
                </c:pt>
                <c:pt idx="1">
                  <c:v>1.0031702572231429</c:v>
                </c:pt>
                <c:pt idx="2">
                  <c:v>1.0027916627369613</c:v>
                </c:pt>
                <c:pt idx="3">
                  <c:v>1.0038725392249213</c:v>
                </c:pt>
                <c:pt idx="4">
                  <c:v>1.0076716125876406</c:v>
                </c:pt>
                <c:pt idx="5">
                  <c:v>1.015629688906672</c:v>
                </c:pt>
                <c:pt idx="6">
                  <c:v>1.0240196787729707</c:v>
                </c:pt>
                <c:pt idx="7">
                  <c:v>1.0032032129032953</c:v>
                </c:pt>
                <c:pt idx="8">
                  <c:v>1.0003875116721868</c:v>
                </c:pt>
                <c:pt idx="9">
                  <c:v>1.0004324337419448</c:v>
                </c:pt>
                <c:pt idx="10">
                  <c:v>1.0070059387550609</c:v>
                </c:pt>
                <c:pt idx="11">
                  <c:v>1.0150062421972534</c:v>
                </c:pt>
                <c:pt idx="12">
                  <c:v>1.0069890172585936</c:v>
                </c:pt>
                <c:pt idx="13">
                  <c:v>1.0008193784718369</c:v>
                </c:pt>
                <c:pt idx="14">
                  <c:v>1.0066885036996243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508-114B-A6B2-74140125AD84}"/>
            </c:ext>
          </c:extLst>
        </c:ser>
        <c:ser>
          <c:idx val="3"/>
          <c:order val="3"/>
          <c:tx>
            <c:strRef>
              <c:f>Static_Overhead_SPEC2017!$E$61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Static_Overhead_SPEC2017!$A$62:$A$76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Static_Overhead_SPEC2017!$E$62:$E$76</c:f>
              <c:numCache>
                <c:formatCode>_(* #,##0.000_);_(* \(#,##0.000\);_(* "-"??_);_(@_)</c:formatCode>
                <c:ptCount val="15"/>
                <c:pt idx="0">
                  <c:v>1.0031731379449604</c:v>
                </c:pt>
                <c:pt idx="1">
                  <c:v>1.0074933352547013</c:v>
                </c:pt>
                <c:pt idx="2">
                  <c:v>1.0089502970857305</c:v>
                </c:pt>
                <c:pt idx="3">
                  <c:v>1.0049762604782158</c:v>
                </c:pt>
                <c:pt idx="4">
                  <c:v>1.0284444806782977</c:v>
                </c:pt>
                <c:pt idx="5">
                  <c:v>1.0483895168550565</c:v>
                </c:pt>
                <c:pt idx="6">
                  <c:v>1.072059036318912</c:v>
                </c:pt>
                <c:pt idx="7">
                  <c:v>1.0040215126701875</c:v>
                </c:pt>
                <c:pt idx="8">
                  <c:v>1.0004427296203864</c:v>
                </c:pt>
                <c:pt idx="9">
                  <c:v>1.0005135907747469</c:v>
                </c:pt>
                <c:pt idx="10">
                  <c:v>1.0275431150358851</c:v>
                </c:pt>
                <c:pt idx="11">
                  <c:v>1.0461423220973782</c:v>
                </c:pt>
                <c:pt idx="12">
                  <c:v>1.0196833547282842</c:v>
                </c:pt>
                <c:pt idx="13">
                  <c:v>1.032522880782142</c:v>
                </c:pt>
                <c:pt idx="14">
                  <c:v>1.0215239857027005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508-114B-A6B2-74140125AD84}"/>
            </c:ext>
          </c:extLst>
        </c:ser>
        <c:ser>
          <c:idx val="4"/>
          <c:order val="4"/>
          <c:tx>
            <c:strRef>
              <c:f>Static_Overhead_SPEC2017!$F$61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Static_Overhead_SPEC2017!$A$62:$A$76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Static_Overhead_SPEC2017!$F$62:$F$76</c:f>
              <c:numCache>
                <c:formatCode>_(* #,##0.000_);_(* \(#,##0.000\);_(* "-"??_);_(@_)</c:formatCode>
                <c:ptCount val="15"/>
                <c:pt idx="0">
                  <c:v>1.002910312377802</c:v>
                </c:pt>
                <c:pt idx="1">
                  <c:v>1.0028340178206883</c:v>
                </c:pt>
                <c:pt idx="2">
                  <c:v>1.0028482504951428</c:v>
                </c:pt>
                <c:pt idx="3">
                  <c:v>1.0039391430936546</c:v>
                </c:pt>
                <c:pt idx="4">
                  <c:v>1.0081852274580141</c:v>
                </c:pt>
                <c:pt idx="5">
                  <c:v>1.016930079023707</c:v>
                </c:pt>
                <c:pt idx="6">
                  <c:v>1.0235855881927363</c:v>
                </c:pt>
                <c:pt idx="7">
                  <c:v>1.0033916371917244</c:v>
                </c:pt>
                <c:pt idx="8">
                  <c:v>1.0004062463331831</c:v>
                </c:pt>
                <c:pt idx="9">
                  <c:v>1.0004045738650129</c:v>
                </c:pt>
                <c:pt idx="10">
                  <c:v>1.0074377000969426</c:v>
                </c:pt>
                <c:pt idx="11">
                  <c:v>1.0151310861423222</c:v>
                </c:pt>
                <c:pt idx="12">
                  <c:v>1.0088432463272001</c:v>
                </c:pt>
                <c:pt idx="13">
                  <c:v>1.0180805132071185</c:v>
                </c:pt>
                <c:pt idx="14">
                  <c:v>1.0081841357978394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D508-114B-A6B2-74140125A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.100000000000000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 </a:t>
                </a:r>
              </a:p>
              <a:p>
                <a:pPr>
                  <a:defRPr/>
                </a:pPr>
                <a:r>
                  <a:rPr lang="en-US"/>
                  <a:t>Difference from Native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.0000000000000004E-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63007130264931"/>
          <c:y val="3.1076115485564313E-3"/>
          <c:w val="0.84039760745745096"/>
          <c:h val="0.18514617964421115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50274667013279"/>
          <c:y val="0.19776854282103626"/>
          <c:w val="0.85189024265103264"/>
          <c:h val="0.409576164090599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Static_Overhead_Splash3!$B$16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Static_Overhead_Splash3!$B$17:$B$29</c:f>
              <c:numCache>
                <c:formatCode>_(* #,##0.00_);_(* \(#,##0.00\);_(* "-"??_);_(@_)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E-5847-AE4A-75628940829F}"/>
            </c:ext>
          </c:extLst>
        </c:ser>
        <c:ser>
          <c:idx val="1"/>
          <c:order val="1"/>
          <c:tx>
            <c:strRef>
              <c:f>Static_Overhead_Splash3!$C$16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Static_Overhead_Splash3!$C$17:$C$29</c:f>
              <c:numCache>
                <c:formatCode>_(* #,##0.00_);_(* \(#,##0.00\);_(* "-"??_);_(@_)</c:formatCode>
                <c:ptCount val="13"/>
                <c:pt idx="0">
                  <c:v>2.1923076923076925</c:v>
                </c:pt>
                <c:pt idx="1">
                  <c:v>1.0454545454545454</c:v>
                </c:pt>
                <c:pt idx="2">
                  <c:v>1.0241137304300882</c:v>
                </c:pt>
                <c:pt idx="3">
                  <c:v>0.93181818181818177</c:v>
                </c:pt>
                <c:pt idx="4">
                  <c:v>1.7817142857142858</c:v>
                </c:pt>
                <c:pt idx="5">
                  <c:v>1.5210866752910737</c:v>
                </c:pt>
                <c:pt idx="6">
                  <c:v>1.0066334991708126</c:v>
                </c:pt>
                <c:pt idx="7">
                  <c:v>0.97901168969181718</c:v>
                </c:pt>
                <c:pt idx="8">
                  <c:v>2.6774193548387095</c:v>
                </c:pt>
                <c:pt idx="9">
                  <c:v>1.3530031612223392</c:v>
                </c:pt>
                <c:pt idx="10">
                  <c:v>1.3771186440677967</c:v>
                </c:pt>
                <c:pt idx="11">
                  <c:v>1.5</c:v>
                </c:pt>
                <c:pt idx="12">
                  <c:v>1.3699916755751029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5E-5847-AE4A-75628940829F}"/>
            </c:ext>
          </c:extLst>
        </c:ser>
        <c:ser>
          <c:idx val="2"/>
          <c:order val="2"/>
          <c:tx>
            <c:strRef>
              <c:f>Static_Overhead_Splash3!$D$16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Static_Overhead_Splash3!$A$17:$A$29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Static_Overhead_Splash3!$D$17:$D$29</c:f>
              <c:numCache>
                <c:formatCode>_(* #,##0.00_);_(* \(#,##0.00\);_(* "-"??_);_(@_)</c:formatCode>
                <c:ptCount val="13"/>
                <c:pt idx="0">
                  <c:v>2.7307692307692308</c:v>
                </c:pt>
                <c:pt idx="1">
                  <c:v>1.0909090909090908</c:v>
                </c:pt>
                <c:pt idx="2">
                  <c:v>1.1693359726471118</c:v>
                </c:pt>
                <c:pt idx="3">
                  <c:v>0.95454545454545459</c:v>
                </c:pt>
                <c:pt idx="4">
                  <c:v>1.8213333333333332</c:v>
                </c:pt>
                <c:pt idx="5">
                  <c:v>1.4271668822768435</c:v>
                </c:pt>
                <c:pt idx="6">
                  <c:v>1.0071862907683804</c:v>
                </c:pt>
                <c:pt idx="7">
                  <c:v>0.98591923485653565</c:v>
                </c:pt>
                <c:pt idx="8">
                  <c:v>3.161290322580645</c:v>
                </c:pt>
                <c:pt idx="9">
                  <c:v>1.3582718651211803</c:v>
                </c:pt>
                <c:pt idx="10">
                  <c:v>1.4682203389830508</c:v>
                </c:pt>
                <c:pt idx="11">
                  <c:v>1.537037037037037</c:v>
                </c:pt>
                <c:pt idx="12">
                  <c:v>1.4454263140532051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5E-5847-AE4A-75628940829F}"/>
            </c:ext>
          </c:extLst>
        </c:ser>
        <c:ser>
          <c:idx val="3"/>
          <c:order val="3"/>
          <c:tx>
            <c:strRef>
              <c:f>Static_Overhead_Splash3!$E$16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4.1037839020122485E-3"/>
                  <c:y val="0.2339650772820064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338B-CB49-94B8-E2C4B1109F1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338B-CB49-94B8-E2C4B1109F1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338B-CB49-94B8-E2C4B1109F1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338B-CB49-94B8-E2C4B1109F11}"/>
                </c:ext>
              </c:extLst>
            </c:dLbl>
            <c:dLbl>
              <c:idx val="4"/>
              <c:layout>
                <c:manualLayout>
                  <c:x val="2.3676727909011375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338B-CB49-94B8-E2C4B1109F11}"/>
                </c:ext>
              </c:extLst>
            </c:dLbl>
            <c:dLbl>
              <c:idx val="5"/>
              <c:layout>
                <c:manualLayout>
                  <c:x val="1.4387849956255469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338B-CB49-94B8-E2C4B1109F1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338B-CB49-94B8-E2C4B1109F1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338B-CB49-94B8-E2C4B1109F11}"/>
                </c:ext>
              </c:extLst>
            </c:dLbl>
            <c:dLbl>
              <c:idx val="8"/>
              <c:layout>
                <c:manualLayout>
                  <c:x val="6.3156167979002624E-4"/>
                  <c:y val="0.2385947069116360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338B-CB49-94B8-E2C4B1109F11}"/>
                </c:ext>
              </c:extLst>
            </c:dLbl>
            <c:dLbl>
              <c:idx val="9"/>
              <c:layout>
                <c:manualLayout>
                  <c:x val="7.5152422353455817E-3"/>
                  <c:y val="0.2370514970350928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338B-CB49-94B8-E2C4B1109F11}"/>
                </c:ext>
              </c:extLst>
            </c:dLbl>
            <c:dLbl>
              <c:idx val="10"/>
              <c:layout>
                <c:manualLayout>
                  <c:x val="7.5152422353455817E-3"/>
                  <c:y val="0.235508287158549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338B-CB49-94B8-E2C4B1109F11}"/>
                </c:ext>
              </c:extLst>
            </c:dLbl>
            <c:dLbl>
              <c:idx val="11"/>
              <c:layout>
                <c:manualLayout>
                  <c:x val="1.1855485837707659E-2"/>
                  <c:y val="0.190171575775250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338B-CB49-94B8-E2C4B1109F1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338B-CB49-94B8-E2C4B1109F11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Static_Overhead_Splash3!$A$17:$A$29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Static_Overhead_Splash3!$E$17:$E$29</c:f>
              <c:numCache>
                <c:formatCode>_(* #,##0.00_);_(* \(#,##0.00\);_(* "-"??_);_(@_)</c:formatCode>
                <c:ptCount val="13"/>
                <c:pt idx="0">
                  <c:v>15.76923076923077</c:v>
                </c:pt>
                <c:pt idx="1">
                  <c:v>2.6363636363636362</c:v>
                </c:pt>
                <c:pt idx="2">
                  <c:v>2.5805290624437647</c:v>
                </c:pt>
                <c:pt idx="3">
                  <c:v>1.7045454545454546</c:v>
                </c:pt>
                <c:pt idx="4">
                  <c:v>11.063619047619047</c:v>
                </c:pt>
                <c:pt idx="5">
                  <c:v>7.9055627425614485</c:v>
                </c:pt>
                <c:pt idx="6">
                  <c:v>1.0182421227197347</c:v>
                </c:pt>
                <c:pt idx="7">
                  <c:v>0.98618490967056327</c:v>
                </c:pt>
                <c:pt idx="8">
                  <c:v>28.838709677419356</c:v>
                </c:pt>
                <c:pt idx="9">
                  <c:v>8.1707060063224439</c:v>
                </c:pt>
                <c:pt idx="10">
                  <c:v>6.8919491525423728</c:v>
                </c:pt>
                <c:pt idx="11">
                  <c:v>6.2777777777777777</c:v>
                </c:pt>
                <c:pt idx="12">
                  <c:v>4.8362973995012819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5E-5847-AE4A-75628940829F}"/>
            </c:ext>
          </c:extLst>
        </c:ser>
        <c:ser>
          <c:idx val="4"/>
          <c:order val="4"/>
          <c:tx>
            <c:strRef>
              <c:f>Static_Overhead_Splash3!$F$16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Static_Overhead_Splash3!$A$17:$A$29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Static_Overhead_Splash3!$F$17:$F$29</c:f>
              <c:numCache>
                <c:formatCode>_(* #,##0.00_);_(* \(#,##0.00\);_(* "-"??_);_(@_)</c:formatCode>
                <c:ptCount val="13"/>
                <c:pt idx="0">
                  <c:v>2.8461538461538463</c:v>
                </c:pt>
                <c:pt idx="1">
                  <c:v>1.1363636363636365</c:v>
                </c:pt>
                <c:pt idx="2">
                  <c:v>1.1182292603922981</c:v>
                </c:pt>
                <c:pt idx="3">
                  <c:v>0.97727272727272729</c:v>
                </c:pt>
                <c:pt idx="4">
                  <c:v>1.7344761904761905</c:v>
                </c:pt>
                <c:pt idx="5">
                  <c:v>1.5060802069857697</c:v>
                </c:pt>
                <c:pt idx="6">
                  <c:v>1.007739082365948</c:v>
                </c:pt>
                <c:pt idx="7">
                  <c:v>1.0092986184909671</c:v>
                </c:pt>
                <c:pt idx="8">
                  <c:v>3.4193548387096775</c:v>
                </c:pt>
                <c:pt idx="9">
                  <c:v>1.3909378292939938</c:v>
                </c:pt>
                <c:pt idx="10">
                  <c:v>1.6271186440677967</c:v>
                </c:pt>
                <c:pt idx="11">
                  <c:v>1.6851851851851851</c:v>
                </c:pt>
                <c:pt idx="12">
                  <c:v>1.4928016562932125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5E-5847-AE4A-756289408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842239203157816"/>
          <c:y val="1.596431775142031E-2"/>
          <c:w val="0.85387701211544909"/>
          <c:h val="0.1582680810731991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42679625984251"/>
          <c:y val="0.19776854282103626"/>
          <c:w val="0.84496616633858268"/>
          <c:h val="0.40803295421405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Static_Overhead_Splash3!$G$37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Static_Overhead_Splash3!$G$38:$G$50</c:f>
              <c:numCache>
                <c:formatCode>_(* #,##0.0_);_(* \(#,##0.0\);_(* "-"??_);_(@_)</c:formatCode>
                <c:ptCount val="13"/>
                <c:pt idx="0">
                  <c:v>1.8203125</c:v>
                </c:pt>
                <c:pt idx="1">
                  <c:v>2.48046875</c:v>
                </c:pt>
                <c:pt idx="2">
                  <c:v>1.95703125</c:v>
                </c:pt>
                <c:pt idx="3">
                  <c:v>1.703125</c:v>
                </c:pt>
                <c:pt idx="4">
                  <c:v>1.91015625</c:v>
                </c:pt>
                <c:pt idx="5">
                  <c:v>1.91796875</c:v>
                </c:pt>
                <c:pt idx="6">
                  <c:v>1.9921875</c:v>
                </c:pt>
                <c:pt idx="7">
                  <c:v>1.890625</c:v>
                </c:pt>
                <c:pt idx="8">
                  <c:v>1.80078125</c:v>
                </c:pt>
                <c:pt idx="9">
                  <c:v>2.140625</c:v>
                </c:pt>
                <c:pt idx="10">
                  <c:v>1.9453125</c:v>
                </c:pt>
                <c:pt idx="11">
                  <c:v>2.0234375</c:v>
                </c:pt>
                <c:pt idx="12" formatCode="0.0">
                  <c:v>1.956760001985304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C-0148-BAC7-ACA04A6F8565}"/>
            </c:ext>
          </c:extLst>
        </c:ser>
        <c:ser>
          <c:idx val="1"/>
          <c:order val="1"/>
          <c:tx>
            <c:strRef>
              <c:f>Static_Overhead_Splash3!$H$37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Static_Overhead_Splash3!$H$38:$H$50</c:f>
              <c:numCache>
                <c:formatCode>_(* #,##0.0_);_(* \(#,##0.0\);_(* "-"??_);_(@_)</c:formatCode>
                <c:ptCount val="13"/>
                <c:pt idx="0">
                  <c:v>1.4921875</c:v>
                </c:pt>
                <c:pt idx="1">
                  <c:v>2.4140625</c:v>
                </c:pt>
                <c:pt idx="2">
                  <c:v>1.8828125</c:v>
                </c:pt>
                <c:pt idx="3">
                  <c:v>1.4140625</c:v>
                </c:pt>
                <c:pt idx="4">
                  <c:v>1.76953125</c:v>
                </c:pt>
                <c:pt idx="5">
                  <c:v>1.7734375</c:v>
                </c:pt>
                <c:pt idx="6">
                  <c:v>2.00390625</c:v>
                </c:pt>
                <c:pt idx="7">
                  <c:v>1.8828125</c:v>
                </c:pt>
                <c:pt idx="8">
                  <c:v>1.5234375</c:v>
                </c:pt>
                <c:pt idx="9">
                  <c:v>1.95703125</c:v>
                </c:pt>
                <c:pt idx="10">
                  <c:v>1.78125</c:v>
                </c:pt>
                <c:pt idx="11">
                  <c:v>1.890625</c:v>
                </c:pt>
                <c:pt idx="12" formatCode="0.0">
                  <c:v>1.7978215071329293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8C-0148-BAC7-ACA04A6F8565}"/>
            </c:ext>
          </c:extLst>
        </c:ser>
        <c:ser>
          <c:idx val="2"/>
          <c:order val="2"/>
          <c:tx>
            <c:strRef>
              <c:f>Static_Overhead_Splash3!$I$37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Static_Overhead_Splash3!$I$38:$I$50</c:f>
              <c:numCache>
                <c:formatCode>_(* #,##0.0_);_(* \(#,##0.0\);_(* "-"??_);_(@_)</c:formatCode>
                <c:ptCount val="13"/>
                <c:pt idx="0">
                  <c:v>1.75390625</c:v>
                </c:pt>
                <c:pt idx="1">
                  <c:v>2.2421875</c:v>
                </c:pt>
                <c:pt idx="2">
                  <c:v>1.9765625</c:v>
                </c:pt>
                <c:pt idx="3">
                  <c:v>1.67578125</c:v>
                </c:pt>
                <c:pt idx="4">
                  <c:v>1.890625</c:v>
                </c:pt>
                <c:pt idx="5">
                  <c:v>2.05078125</c:v>
                </c:pt>
                <c:pt idx="6">
                  <c:v>2.07421875</c:v>
                </c:pt>
                <c:pt idx="7">
                  <c:v>1.94140625</c:v>
                </c:pt>
                <c:pt idx="8">
                  <c:v>2</c:v>
                </c:pt>
                <c:pt idx="9">
                  <c:v>1.9765625</c:v>
                </c:pt>
                <c:pt idx="10">
                  <c:v>1.98046875</c:v>
                </c:pt>
                <c:pt idx="11">
                  <c:v>2.03515625</c:v>
                </c:pt>
                <c:pt idx="12" formatCode="0.0">
                  <c:v>1.9613300523503259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8C-0148-BAC7-ACA04A6F8565}"/>
            </c:ext>
          </c:extLst>
        </c:ser>
        <c:ser>
          <c:idx val="3"/>
          <c:order val="3"/>
          <c:tx>
            <c:strRef>
              <c:f>Static_Overhead_Splash3!$J$37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Static_Overhead_Splash3!$J$38:$J$50</c:f>
              <c:numCache>
                <c:formatCode>_(* #,##0.0_);_(* \(#,##0.0\);_(* "-"??_);_(@_)</c:formatCode>
                <c:ptCount val="13"/>
                <c:pt idx="0">
                  <c:v>1.48828125</c:v>
                </c:pt>
                <c:pt idx="1">
                  <c:v>2.3515625</c:v>
                </c:pt>
                <c:pt idx="2">
                  <c:v>1.6796875</c:v>
                </c:pt>
                <c:pt idx="3">
                  <c:v>1.50390625</c:v>
                </c:pt>
                <c:pt idx="4">
                  <c:v>1.796875</c:v>
                </c:pt>
                <c:pt idx="5">
                  <c:v>1.859375</c:v>
                </c:pt>
                <c:pt idx="6">
                  <c:v>1.90625</c:v>
                </c:pt>
                <c:pt idx="7">
                  <c:v>1.66796875</c:v>
                </c:pt>
                <c:pt idx="8">
                  <c:v>1.73046875</c:v>
                </c:pt>
                <c:pt idx="9">
                  <c:v>1.78125</c:v>
                </c:pt>
                <c:pt idx="10">
                  <c:v>1.73828125</c:v>
                </c:pt>
                <c:pt idx="11">
                  <c:v>1.76953125</c:v>
                </c:pt>
                <c:pt idx="12" formatCode="0.0">
                  <c:v>1.7611683046832285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8C-0148-BAC7-ACA04A6F8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 </a:t>
                </a:r>
              </a:p>
              <a:p>
                <a:pPr>
                  <a:defRPr/>
                </a:pPr>
                <a:r>
                  <a:rPr lang="en-US"/>
                  <a:t>Difference from Native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4534722222222221"/>
          <c:y val="1.596431775142031E-2"/>
          <c:w val="0.84592136920384953"/>
          <c:h val="0.160223812932474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7212106299212"/>
          <c:y val="0.2491331291921843"/>
          <c:w val="0.85272077318460193"/>
          <c:h val="0.465086759988334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Dyn_Overhead_SPEC2017!$B$21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Dyn_Overhead_SPEC2017!$B$22:$B$36</c:f>
              <c:numCache>
                <c:formatCode>_(* #,##0.00_);_(* \(#,##0.00\);_(* "-"??_);_(@_)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C-084A-8FE5-233D7BA91360}"/>
            </c:ext>
          </c:extLst>
        </c:ser>
        <c:ser>
          <c:idx val="2"/>
          <c:order val="1"/>
          <c:tx>
            <c:strRef>
              <c:f>Dyn_Overhead_SPEC2017!$C$21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Dyn_Overhead_SPEC2017!$C$22:$C$36</c:f>
              <c:numCache>
                <c:formatCode>_(* #,##0.00_);_(* \(#,##0.00\);_(* "-"??_);_(@_)</c:formatCode>
                <c:ptCount val="15"/>
                <c:pt idx="0">
                  <c:v>1.8634275457117648</c:v>
                </c:pt>
                <c:pt idx="1">
                  <c:v>1.7180978051597997</c:v>
                </c:pt>
                <c:pt idx="2">
                  <c:v>2.6148801447308911</c:v>
                </c:pt>
                <c:pt idx="3">
                  <c:v>1.7126347598823914</c:v>
                </c:pt>
                <c:pt idx="4">
                  <c:v>1.871047380702763</c:v>
                </c:pt>
                <c:pt idx="5">
                  <c:v>2.0961695191524043</c:v>
                </c:pt>
                <c:pt idx="6">
                  <c:v>1.8667506363326249</c:v>
                </c:pt>
                <c:pt idx="7">
                  <c:v>1.745898226034813</c:v>
                </c:pt>
                <c:pt idx="8">
                  <c:v>1.872116296218266</c:v>
                </c:pt>
                <c:pt idx="9">
                  <c:v>1.051567578722892</c:v>
                </c:pt>
                <c:pt idx="10">
                  <c:v>1.8700453290617225</c:v>
                </c:pt>
                <c:pt idx="11">
                  <c:v>2.078753591954023</c:v>
                </c:pt>
                <c:pt idx="12">
                  <c:v>1.8705377019983762</c:v>
                </c:pt>
                <c:pt idx="13">
                  <c:v>2.0591411591795001</c:v>
                </c:pt>
                <c:pt idx="14">
                  <c:v>1.8476181560103755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C-084A-8FE5-233D7BA91360}"/>
            </c:ext>
          </c:extLst>
        </c:ser>
        <c:ser>
          <c:idx val="3"/>
          <c:order val="2"/>
          <c:tx>
            <c:strRef>
              <c:f>Dyn_Overhead_SPEC2017!$D$21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Dyn_Overhead_SPEC2017!$D$22:$D$36</c:f>
              <c:numCache>
                <c:formatCode>_(* #,##0.00_);_(* \(#,##0.00\);_(* "-"??_);_(@_)</c:formatCode>
                <c:ptCount val="15"/>
                <c:pt idx="0">
                  <c:v>11.977851470990903</c:v>
                </c:pt>
                <c:pt idx="1">
                  <c:v>2.1906815556411243</c:v>
                </c:pt>
                <c:pt idx="2">
                  <c:v>4.5557816975727423</c:v>
                </c:pt>
                <c:pt idx="3">
                  <c:v>1.6963819013394315</c:v>
                </c:pt>
                <c:pt idx="4">
                  <c:v>7.6688761878994898</c:v>
                </c:pt>
                <c:pt idx="5">
                  <c:v>7.2963868513990766</c:v>
                </c:pt>
                <c:pt idx="6">
                  <c:v>7.2846571675982048</c:v>
                </c:pt>
                <c:pt idx="7">
                  <c:v>2.2697593070708755</c:v>
                </c:pt>
                <c:pt idx="8">
                  <c:v>11.527290785691713</c:v>
                </c:pt>
                <c:pt idx="9">
                  <c:v>1.0193905102584828</c:v>
                </c:pt>
                <c:pt idx="10">
                  <c:v>7.7165059132272251</c:v>
                </c:pt>
                <c:pt idx="11">
                  <c:v>7.2301544540229887</c:v>
                </c:pt>
                <c:pt idx="12">
                  <c:v>7.2107330871375819</c:v>
                </c:pt>
                <c:pt idx="13">
                  <c:v>2.6106140967473959</c:v>
                </c:pt>
                <c:pt idx="14">
                  <c:v>4.6655435097550528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CC-084A-8FE5-233D7BA91360}"/>
            </c:ext>
          </c:extLst>
        </c:ser>
        <c:ser>
          <c:idx val="4"/>
          <c:order val="3"/>
          <c:tx>
            <c:strRef>
              <c:f>Dyn_Overhead_SPEC2017!$E$21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Dyn_Overhead_SPEC2017!$E$22:$E$36</c:f>
              <c:numCache>
                <c:formatCode>_(* #,##0.00_);_(* \(#,##0.00\);_(* "-"??_);_(@_)</c:formatCode>
                <c:ptCount val="15"/>
                <c:pt idx="0">
                  <c:v>9.8078128327603515</c:v>
                </c:pt>
                <c:pt idx="1">
                  <c:v>1.9727762803234501</c:v>
                </c:pt>
                <c:pt idx="2">
                  <c:v>3.6053319262274486</c:v>
                </c:pt>
                <c:pt idx="3">
                  <c:v>1.7067134923227703</c:v>
                </c:pt>
                <c:pt idx="4">
                  <c:v>4.8612059927626907</c:v>
                </c:pt>
                <c:pt idx="5">
                  <c:v>5.6994476138730414</c:v>
                </c:pt>
                <c:pt idx="6">
                  <c:v>4.3248051641344567</c:v>
                </c:pt>
                <c:pt idx="7">
                  <c:v>2.0695427667194135</c:v>
                </c:pt>
                <c:pt idx="8">
                  <c:v>9.4144557643978271</c:v>
                </c:pt>
                <c:pt idx="9">
                  <c:v>1.0154694137272775</c:v>
                </c:pt>
                <c:pt idx="10">
                  <c:v>4.8336457516785387</c:v>
                </c:pt>
                <c:pt idx="11">
                  <c:v>5.6506824712643677</c:v>
                </c:pt>
                <c:pt idx="12">
                  <c:v>4.3492574840889446</c:v>
                </c:pt>
                <c:pt idx="13">
                  <c:v>2.4405393315866828</c:v>
                </c:pt>
                <c:pt idx="14">
                  <c:v>3.6745826883437345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C-084A-8FE5-233D7BA91360}"/>
            </c:ext>
          </c:extLst>
        </c:ser>
        <c:ser>
          <c:idx val="5"/>
          <c:order val="4"/>
          <c:tx>
            <c:strRef>
              <c:f>Dyn_Overhead_SPEC2017!$F$21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Dyn_Overhead_SPEC2017!$F$22:$F$36</c:f>
              <c:numCache>
                <c:formatCode>_(* #,##0.00_);_(* \(#,##0.00\);_(* "-"??_);_(@_)</c:formatCode>
                <c:ptCount val="15"/>
                <c:pt idx="0">
                  <c:v>13.95844108430436</c:v>
                </c:pt>
                <c:pt idx="1">
                  <c:v>2.2666923373122834</c:v>
                </c:pt>
                <c:pt idx="2">
                  <c:v>4.9206241519674352</c:v>
                </c:pt>
                <c:pt idx="3">
                  <c:v>1.7083061091146685</c:v>
                </c:pt>
                <c:pt idx="4">
                  <c:v>8.8169704758361807</c:v>
                </c:pt>
                <c:pt idx="5">
                  <c:v>8.3346011047722541</c:v>
                </c:pt>
                <c:pt idx="6">
                  <c:v>8.2738723136267023</c:v>
                </c:pt>
                <c:pt idx="7">
                  <c:v>2.36886816023986</c:v>
                </c:pt>
                <c:pt idx="8">
                  <c:v>13.259394140043039</c:v>
                </c:pt>
                <c:pt idx="9">
                  <c:v>1.0154436170395722</c:v>
                </c:pt>
                <c:pt idx="10">
                  <c:v>8.8725673971575603</c:v>
                </c:pt>
                <c:pt idx="11">
                  <c:v>8.2584410919540225</c:v>
                </c:pt>
                <c:pt idx="12">
                  <c:v>8.301458840784683</c:v>
                </c:pt>
                <c:pt idx="13">
                  <c:v>2.7455108952648732</c:v>
                </c:pt>
                <c:pt idx="14">
                  <c:v>5.1245444978469061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CC-084A-8FE5-233D7BA91360}"/>
            </c:ext>
          </c:extLst>
        </c:ser>
        <c:ser>
          <c:idx val="1"/>
          <c:order val="5"/>
          <c:tx>
            <c:strRef>
              <c:f>Dyn_Overhead_SPEC2017!$G$21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Dyn_Overhead_SPEC2017!$A$22:$A$36</c:f>
              <c:strCache>
                <c:ptCount val="15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</c:v>
                </c:pt>
              </c:strCache>
            </c:strRef>
          </c:cat>
          <c:val>
            <c:numRef>
              <c:f>Dyn_Overhead_SPEC2017!$G$22:$G$36</c:f>
              <c:numCache>
                <c:formatCode>_(* #,##0.00_);_(* \(#,##0.00\);_(* "-"??_);_(@_)</c:formatCode>
                <c:ptCount val="15"/>
                <c:pt idx="0">
                  <c:v>11.831817213788067</c:v>
                </c:pt>
                <c:pt idx="1">
                  <c:v>2.0347708894878704</c:v>
                </c:pt>
                <c:pt idx="2">
                  <c:v>3.9598723553947432</c:v>
                </c:pt>
                <c:pt idx="3">
                  <c:v>1.7029157138190134</c:v>
                </c:pt>
                <c:pt idx="4">
                  <c:v>5.9611079170753154</c:v>
                </c:pt>
                <c:pt idx="5">
                  <c:v>6.6386851399076336</c:v>
                </c:pt>
                <c:pt idx="6">
                  <c:v>5.1537432102652918</c:v>
                </c:pt>
                <c:pt idx="7">
                  <c:v>2.1584075955692512</c:v>
                </c:pt>
                <c:pt idx="8">
                  <c:v>11.355735805330243</c:v>
                </c:pt>
                <c:pt idx="9">
                  <c:v>1.0191669389650369</c:v>
                </c:pt>
                <c:pt idx="10">
                  <c:v>5.9641798166388327</c:v>
                </c:pt>
                <c:pt idx="11">
                  <c:v>6.5884518678160919</c:v>
                </c:pt>
                <c:pt idx="12">
                  <c:v>5.1725989366438805</c:v>
                </c:pt>
                <c:pt idx="13">
                  <c:v>2.5617611348967984</c:v>
                </c:pt>
                <c:pt idx="14">
                  <c:v>4.13737523717624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84-924A-9BF4-082FE7807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 Relative</a:t>
                </a:r>
                <a:r>
                  <a:rPr lang="en-US" baseline="0"/>
                  <a:t> to Native </a:t>
                </a:r>
                <a:r>
                  <a:rPr lang="en-US"/>
                  <a:t>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909879429133858"/>
          <c:y val="2.9372752017108969E-2"/>
          <c:w val="0.86169694608486447"/>
          <c:h val="0.211971784776902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0415848574877"/>
          <c:y val="0.2491331291921843"/>
          <c:w val="0.83708870776524558"/>
          <c:h val="0.4450250315932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Dyn_Overhead_SPEC2017!$H$42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Dyn_Overhead_SPEC2017!$H$43:$H$56</c:f>
              <c:numCache>
                <c:formatCode>_(* #,##0_);_(* \(#,##0\);_(* "-"??_);_(@_)</c:formatCode>
                <c:ptCount val="14"/>
                <c:pt idx="0">
                  <c:v>7.48828125</c:v>
                </c:pt>
                <c:pt idx="1">
                  <c:v>8.20703125</c:v>
                </c:pt>
                <c:pt idx="2">
                  <c:v>105.4453125</c:v>
                </c:pt>
                <c:pt idx="3">
                  <c:v>7.1171875</c:v>
                </c:pt>
                <c:pt idx="4">
                  <c:v>17.78125</c:v>
                </c:pt>
                <c:pt idx="5">
                  <c:v>11.984375</c:v>
                </c:pt>
                <c:pt idx="6">
                  <c:v>57.11328125</c:v>
                </c:pt>
                <c:pt idx="7">
                  <c:v>8.19921875</c:v>
                </c:pt>
                <c:pt idx="8">
                  <c:v>7.21875</c:v>
                </c:pt>
                <c:pt idx="9">
                  <c:v>8.03515625</c:v>
                </c:pt>
                <c:pt idx="10">
                  <c:v>17.32421875</c:v>
                </c:pt>
                <c:pt idx="11">
                  <c:v>11.71484375</c:v>
                </c:pt>
                <c:pt idx="12">
                  <c:v>56.8203125</c:v>
                </c:pt>
                <c:pt idx="1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F1-3C4E-A9FD-4221930020F9}"/>
            </c:ext>
          </c:extLst>
        </c:ser>
        <c:ser>
          <c:idx val="1"/>
          <c:order val="1"/>
          <c:tx>
            <c:strRef>
              <c:f>Dyn_Overhead_SPEC2017!$I$42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F1-3C4E-A9FD-4221930020F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F1-3C4E-A9FD-4221930020F9}"/>
                </c:ext>
              </c:extLst>
            </c:dLbl>
            <c:dLbl>
              <c:idx val="2"/>
              <c:layout>
                <c:manualLayout>
                  <c:x val="-3.8902722369197014E-2"/>
                  <c:y val="0.274637397273800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8F1-3C4E-A9FD-4221930020F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8F1-3C4E-A9FD-4221930020F9}"/>
                </c:ext>
              </c:extLst>
            </c:dLbl>
            <c:dLbl>
              <c:idx val="4"/>
              <c:layout>
                <c:manualLayout>
                  <c:x val="-2.8899120246276604E-2"/>
                  <c:y val="0.3484980512121981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F1-3C4E-A9FD-4221930020F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8F1-3C4E-A9FD-4221930020F9}"/>
                </c:ext>
              </c:extLst>
            </c:dLbl>
            <c:dLbl>
              <c:idx val="6"/>
              <c:layout>
                <c:manualLayout>
                  <c:x val="-3.3241911312273144E-2"/>
                  <c:y val="0.296638443127791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8F1-3C4E-A9FD-4221930020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8F1-3C4E-A9FD-4221930020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8F1-3C4E-A9FD-4221930020F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8F1-3C4E-A9FD-4221930020F9}"/>
                </c:ext>
              </c:extLst>
            </c:dLbl>
            <c:dLbl>
              <c:idx val="10"/>
              <c:layout>
                <c:manualLayout>
                  <c:x val="-3.1504794885874529E-2"/>
                  <c:y val="0.2604938677962351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8F1-3C4E-A9FD-4221930020F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8F1-3C4E-A9FD-4221930020F9}"/>
                </c:ext>
              </c:extLst>
            </c:dLbl>
            <c:dLbl>
              <c:idx val="12"/>
              <c:layout>
                <c:manualLayout>
                  <c:x val="-2.8899120246276732E-2"/>
                  <c:y val="0.313924979155926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8F1-3C4E-A9FD-4221930020F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8F1-3C4E-A9FD-4221930020F9}"/>
                </c:ext>
              </c:extLst>
            </c:dLbl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Dyn_Overhead_SPEC2017!$I$43:$I$56</c:f>
              <c:numCache>
                <c:formatCode>_(* #,##0_);_(* \(#,##0\);_(* "-"??_);_(@_)</c:formatCode>
                <c:ptCount val="14"/>
                <c:pt idx="0">
                  <c:v>54.671875</c:v>
                </c:pt>
                <c:pt idx="1">
                  <c:v>67.1953125</c:v>
                </c:pt>
                <c:pt idx="2">
                  <c:v>1380.61328125</c:v>
                </c:pt>
                <c:pt idx="3">
                  <c:v>51.30078125</c:v>
                </c:pt>
                <c:pt idx="4">
                  <c:v>242.8515625</c:v>
                </c:pt>
                <c:pt idx="5">
                  <c:v>113.21484375</c:v>
                </c:pt>
                <c:pt idx="6">
                  <c:v>298.70703125</c:v>
                </c:pt>
                <c:pt idx="7">
                  <c:v>52.9296875</c:v>
                </c:pt>
                <c:pt idx="8">
                  <c:v>54.03515625</c:v>
                </c:pt>
                <c:pt idx="9">
                  <c:v>66.70703125</c:v>
                </c:pt>
                <c:pt idx="10">
                  <c:v>241.95703125</c:v>
                </c:pt>
                <c:pt idx="11">
                  <c:v>112.9296875</c:v>
                </c:pt>
                <c:pt idx="12">
                  <c:v>298.203125</c:v>
                </c:pt>
                <c:pt idx="13">
                  <c:v>37.1875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F1-3C4E-A9FD-4221930020F9}"/>
            </c:ext>
          </c:extLst>
        </c:ser>
        <c:ser>
          <c:idx val="2"/>
          <c:order val="2"/>
          <c:tx>
            <c:strRef>
              <c:f>Dyn_Overhead_SPEC2017!$J$42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Dyn_Overhead_SPEC2017!$J$43:$J$56</c:f>
              <c:numCache>
                <c:formatCode>_(* #,##0_);_(* \(#,##0\);_(* "-"??_);_(@_)</c:formatCode>
                <c:ptCount val="14"/>
                <c:pt idx="0">
                  <c:v>8.3359375</c:v>
                </c:pt>
                <c:pt idx="1">
                  <c:v>9.34765625</c:v>
                </c:pt>
                <c:pt idx="2">
                  <c:v>109.13671875</c:v>
                </c:pt>
                <c:pt idx="3">
                  <c:v>8.21484375</c:v>
                </c:pt>
                <c:pt idx="4">
                  <c:v>20.62890625</c:v>
                </c:pt>
                <c:pt idx="5">
                  <c:v>16.43359375</c:v>
                </c:pt>
                <c:pt idx="6">
                  <c:v>58.2109375</c:v>
                </c:pt>
                <c:pt idx="7">
                  <c:v>9.5390625</c:v>
                </c:pt>
                <c:pt idx="8">
                  <c:v>8.1171875</c:v>
                </c:pt>
                <c:pt idx="9">
                  <c:v>10.0859375</c:v>
                </c:pt>
                <c:pt idx="10">
                  <c:v>20.171875</c:v>
                </c:pt>
                <c:pt idx="11">
                  <c:v>16.20703125</c:v>
                </c:pt>
                <c:pt idx="12">
                  <c:v>57.7734375</c:v>
                </c:pt>
                <c:pt idx="1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8F1-3C4E-A9FD-4221930020F9}"/>
            </c:ext>
          </c:extLst>
        </c:ser>
        <c:ser>
          <c:idx val="3"/>
          <c:order val="3"/>
          <c:tx>
            <c:strRef>
              <c:f>Dyn_Overhead_SPEC2017!$K$42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95-F044-A90E-0AB0A8692E4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95-F044-A90E-0AB0A8692E4F}"/>
                </c:ext>
              </c:extLst>
            </c:dLbl>
            <c:dLbl>
              <c:idx val="2"/>
              <c:layout>
                <c:manualLayout>
                  <c:x val="3.4056167539544872E-2"/>
                  <c:y val="0.2762089005490856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95-F044-A90E-0AB0A8692E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95-F044-A90E-0AB0A8692E4F}"/>
                </c:ext>
              </c:extLst>
            </c:dLbl>
            <c:dLbl>
              <c:idx val="4"/>
              <c:layout>
                <c:manualLayout>
                  <c:x val="1.9740139692884656E-2"/>
                  <c:y val="0.401929162571890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95-F044-A90E-0AB0A8692E4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95-F044-A90E-0AB0A8692E4F}"/>
                </c:ext>
              </c:extLst>
            </c:dLbl>
            <c:dLbl>
              <c:idx val="6"/>
              <c:layout>
                <c:manualLayout>
                  <c:x val="3.1899954677674904E-2"/>
                  <c:y val="0.299781449678361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095-F044-A90E-0AB0A8692E4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95-F044-A90E-0AB0A8692E4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095-F044-A90E-0AB0A8692E4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95-F044-A90E-0AB0A8692E4F}"/>
                </c:ext>
              </c:extLst>
            </c:dLbl>
            <c:dLbl>
              <c:idx val="10"/>
              <c:layout>
                <c:manualLayout>
                  <c:x val="2.9294280038077044E-2"/>
                  <c:y val="0.26206537107152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095-F044-A90E-0AB0A8692E4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95-F044-A90E-0AB0A8692E4F}"/>
                </c:ext>
              </c:extLst>
            </c:dLbl>
            <c:dLbl>
              <c:idx val="12"/>
              <c:layout>
                <c:manualLayout>
                  <c:x val="2.9294280038077044E-2"/>
                  <c:y val="0.313924979155926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095-F044-A90E-0AB0A8692E4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095-F044-A90E-0AB0A8692E4F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Dyn_Overhead_SPEC2017!$K$43:$K$56</c:f>
              <c:numCache>
                <c:formatCode>_(* #,##0_);_(* \(#,##0\);_(* "-"??_);_(@_)</c:formatCode>
                <c:ptCount val="14"/>
                <c:pt idx="0">
                  <c:v>54.78125</c:v>
                </c:pt>
                <c:pt idx="1">
                  <c:v>67.359375</c:v>
                </c:pt>
                <c:pt idx="2">
                  <c:v>1382.62890625</c:v>
                </c:pt>
                <c:pt idx="3">
                  <c:v>51.62890625</c:v>
                </c:pt>
                <c:pt idx="4">
                  <c:v>244.703125</c:v>
                </c:pt>
                <c:pt idx="5">
                  <c:v>110.625</c:v>
                </c:pt>
                <c:pt idx="6">
                  <c:v>299.15234375</c:v>
                </c:pt>
                <c:pt idx="7">
                  <c:v>53.09375</c:v>
                </c:pt>
                <c:pt idx="8">
                  <c:v>54.34375</c:v>
                </c:pt>
                <c:pt idx="9">
                  <c:v>66.59765625</c:v>
                </c:pt>
                <c:pt idx="10">
                  <c:v>243.75</c:v>
                </c:pt>
                <c:pt idx="11">
                  <c:v>110.4140625</c:v>
                </c:pt>
                <c:pt idx="12">
                  <c:v>298.734375</c:v>
                </c:pt>
                <c:pt idx="13">
                  <c:v>52.69140625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8F1-3C4E-A9FD-4221930020F9}"/>
            </c:ext>
          </c:extLst>
        </c:ser>
        <c:ser>
          <c:idx val="4"/>
          <c:order val="4"/>
          <c:tx>
            <c:strRef>
              <c:f>Dyn_Overhead_SPEC2017!$L$42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Dyn_Overhead_SPEC2017!$L$43:$L$56</c:f>
              <c:numCache>
                <c:formatCode>_(* #,##0_);_(* \(#,##0\);_(* "-"??_);_(@_)</c:formatCode>
                <c:ptCount val="14"/>
                <c:pt idx="0">
                  <c:v>8.4296875</c:v>
                </c:pt>
                <c:pt idx="1">
                  <c:v>9.41796875</c:v>
                </c:pt>
                <c:pt idx="2">
                  <c:v>110.66796875</c:v>
                </c:pt>
                <c:pt idx="3">
                  <c:v>8.08984375</c:v>
                </c:pt>
                <c:pt idx="4">
                  <c:v>22.17578125</c:v>
                </c:pt>
                <c:pt idx="5">
                  <c:v>16.78125</c:v>
                </c:pt>
                <c:pt idx="6">
                  <c:v>58.375</c:v>
                </c:pt>
                <c:pt idx="7">
                  <c:v>9.62890625</c:v>
                </c:pt>
                <c:pt idx="8">
                  <c:v>8.171875</c:v>
                </c:pt>
                <c:pt idx="9">
                  <c:v>10.296875</c:v>
                </c:pt>
                <c:pt idx="10">
                  <c:v>21.703125</c:v>
                </c:pt>
                <c:pt idx="11">
                  <c:v>16.5546875</c:v>
                </c:pt>
                <c:pt idx="12">
                  <c:v>58.02734375</c:v>
                </c:pt>
                <c:pt idx="13">
                  <c:v>21.30859375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8F1-3C4E-A9FD-422193002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 Difference</a:t>
                </a:r>
                <a:r>
                  <a:rPr lang="en-US" baseline="0"/>
                  <a:t> </a:t>
                </a:r>
              </a:p>
              <a:p>
                <a:pPr>
                  <a:defRPr/>
                </a:pPr>
                <a:r>
                  <a:rPr lang="en-US" baseline="0"/>
                  <a:t>from Native </a:t>
                </a:r>
                <a:r>
                  <a:rPr lang="en-US"/>
                  <a:t>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5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47585165135608"/>
          <c:y val="3.0915961893652182E-2"/>
          <c:w val="0.86482481681977252"/>
          <c:h val="0.202144089627685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71222969511"/>
          <c:y val="0.20376275882181397"/>
          <c:w val="0.84468068982763012"/>
          <c:h val="0.402020997375328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Dyn_Overhead_Splash3!$B$16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Dyn_Overhead_Splash3!$B$17:$B$29</c:f>
              <c:numCache>
                <c:formatCode>_(* #,##0.00_);_(* \(#,##0.00\);_(* "-"??_);_(@_)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EE-5147-9617-421561E354A5}"/>
            </c:ext>
          </c:extLst>
        </c:ser>
        <c:ser>
          <c:idx val="1"/>
          <c:order val="1"/>
          <c:tx>
            <c:strRef>
              <c:f>Dyn_Overhead_Splash3!$C$16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Dyn_Overhead_Splash3!$C$17:$C$29</c:f>
              <c:numCache>
                <c:formatCode>_(* #,##0.00_);_(* \(#,##0.00\);_(* "-"??_);_(@_)</c:formatCode>
                <c:ptCount val="13"/>
                <c:pt idx="0">
                  <c:v>1.1153846153846154</c:v>
                </c:pt>
                <c:pt idx="1">
                  <c:v>1.4090909090909092</c:v>
                </c:pt>
                <c:pt idx="2">
                  <c:v>1.5463379521324456</c:v>
                </c:pt>
                <c:pt idx="3">
                  <c:v>1.2727272727272727</c:v>
                </c:pt>
                <c:pt idx="4">
                  <c:v>1.0331428571428571</c:v>
                </c:pt>
                <c:pt idx="5">
                  <c:v>1.0388098318240622</c:v>
                </c:pt>
                <c:pt idx="6">
                  <c:v>1.0334821428571428</c:v>
                </c:pt>
                <c:pt idx="7">
                  <c:v>1.0154091392136027</c:v>
                </c:pt>
                <c:pt idx="8">
                  <c:v>1.3225806451612903</c:v>
                </c:pt>
                <c:pt idx="9">
                  <c:v>1.0147523709167545</c:v>
                </c:pt>
                <c:pt idx="10">
                  <c:v>1.097457627118644</c:v>
                </c:pt>
                <c:pt idx="11">
                  <c:v>1.4259259259259258</c:v>
                </c:pt>
                <c:pt idx="12">
                  <c:v>1.1803910434964764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EE-5147-9617-421561E354A5}"/>
            </c:ext>
          </c:extLst>
        </c:ser>
        <c:ser>
          <c:idx val="2"/>
          <c:order val="2"/>
          <c:tx>
            <c:strRef>
              <c:f>Dyn_Overhead_Splash3!$D$16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Dyn_Overhead_Splash3!$D$17:$D$29</c:f>
              <c:numCache>
                <c:formatCode>_(* #,##0.00_);_(* \(#,##0.00\);_(* "-"??_);_(@_)</c:formatCode>
                <c:ptCount val="13"/>
                <c:pt idx="0">
                  <c:v>14.76923076923077</c:v>
                </c:pt>
                <c:pt idx="1">
                  <c:v>3.3636363636363638</c:v>
                </c:pt>
                <c:pt idx="2">
                  <c:v>7.2513946373942773</c:v>
                </c:pt>
                <c:pt idx="3">
                  <c:v>2.3409090909090908</c:v>
                </c:pt>
                <c:pt idx="4">
                  <c:v>6.5039999999999996</c:v>
                </c:pt>
                <c:pt idx="5">
                  <c:v>5.0623544631306601</c:v>
                </c:pt>
                <c:pt idx="6">
                  <c:v>1.0758928571428572</c:v>
                </c:pt>
                <c:pt idx="7">
                  <c:v>1.0162061636556854</c:v>
                </c:pt>
                <c:pt idx="8">
                  <c:v>14</c:v>
                </c:pt>
                <c:pt idx="9">
                  <c:v>4.7692307692307692</c:v>
                </c:pt>
                <c:pt idx="10">
                  <c:v>4.6207627118644066</c:v>
                </c:pt>
                <c:pt idx="11">
                  <c:v>6.4814814814814818</c:v>
                </c:pt>
                <c:pt idx="12">
                  <c:v>4.4524778925966091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EE-5147-9617-421561E354A5}"/>
            </c:ext>
          </c:extLst>
        </c:ser>
        <c:ser>
          <c:idx val="3"/>
          <c:order val="3"/>
          <c:tx>
            <c:strRef>
              <c:f>Dyn_Overhead_Splash3!$E$16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Dyn_Overhead_Splash3!$E$17:$E$29</c:f>
              <c:numCache>
                <c:formatCode>_(* #,##0.00_);_(* \(#,##0.00\);_(* "-"??_);_(@_)</c:formatCode>
                <c:ptCount val="13"/>
                <c:pt idx="0">
                  <c:v>14.23076923076923</c:v>
                </c:pt>
                <c:pt idx="1">
                  <c:v>3.0909090909090908</c:v>
                </c:pt>
                <c:pt idx="2">
                  <c:v>6.1943494691380243</c:v>
                </c:pt>
                <c:pt idx="3">
                  <c:v>2.1363636363636362</c:v>
                </c:pt>
                <c:pt idx="4">
                  <c:v>5.7344761904761903</c:v>
                </c:pt>
                <c:pt idx="5">
                  <c:v>4.5068564036222512</c:v>
                </c:pt>
                <c:pt idx="6">
                  <c:v>1.0714285714285714</c:v>
                </c:pt>
                <c:pt idx="7">
                  <c:v>1.0185972369819341</c:v>
                </c:pt>
                <c:pt idx="8">
                  <c:v>12.096774193548388</c:v>
                </c:pt>
                <c:pt idx="9">
                  <c:v>4.3076923076923075</c:v>
                </c:pt>
                <c:pt idx="10">
                  <c:v>4.1716101694915251</c:v>
                </c:pt>
                <c:pt idx="11">
                  <c:v>5.7777777777777777</c:v>
                </c:pt>
                <c:pt idx="12">
                  <c:v>4.0693476148817931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EE-5147-9617-421561E354A5}"/>
            </c:ext>
          </c:extLst>
        </c:ser>
        <c:ser>
          <c:idx val="4"/>
          <c:order val="4"/>
          <c:tx>
            <c:strRef>
              <c:f>Dyn_Overhead_Splash3!$F$16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1.8860728346456693E-2"/>
                  <c:y val="0.1399710800038884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46-D648-86BC-6D3F98F1401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46-D648-86BC-6D3F98F1401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46-D648-86BC-6D3F98F1401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46-D648-86BC-6D3F98F1401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46-D648-86BC-6D3F98F140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46-D648-86BC-6D3F98F1401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46-D648-86BC-6D3F98F1401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46-D648-86BC-6D3F98F14014}"/>
                </c:ext>
              </c:extLst>
            </c:dLbl>
            <c:dLbl>
              <c:idx val="8"/>
              <c:layout>
                <c:manualLayout>
                  <c:x val="-3.6694827209098863E-2"/>
                  <c:y val="0.142589068727520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E46-D648-86BC-6D3F98F1401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46-D648-86BC-6D3F98F1401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46-D648-86BC-6D3F98F1401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46-D648-86BC-6D3F98F1401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46-D648-86BC-6D3F98F14014}"/>
                </c:ext>
              </c:extLst>
            </c:dLbl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Dyn_Overhead_Splash3!$F$17:$F$29</c:f>
              <c:numCache>
                <c:formatCode>_(* #,##0.00_);_(* \(#,##0.00\);_(* "-"??_);_(@_)</c:formatCode>
                <c:ptCount val="13"/>
                <c:pt idx="0">
                  <c:v>20.846153846153847</c:v>
                </c:pt>
                <c:pt idx="1">
                  <c:v>4.5</c:v>
                </c:pt>
                <c:pt idx="2">
                  <c:v>10.853158178873493</c:v>
                </c:pt>
                <c:pt idx="3">
                  <c:v>3.1363636363636362</c:v>
                </c:pt>
                <c:pt idx="4">
                  <c:v>9.0712380952380958</c:v>
                </c:pt>
                <c:pt idx="5">
                  <c:v>6.6631306597671411</c:v>
                </c:pt>
                <c:pt idx="6">
                  <c:v>1.1551339285714286</c:v>
                </c:pt>
                <c:pt idx="7">
                  <c:v>1.0209883103081827</c:v>
                </c:pt>
                <c:pt idx="8">
                  <c:v>21.516129032258064</c:v>
                </c:pt>
                <c:pt idx="9">
                  <c:v>6.3308746048472075</c:v>
                </c:pt>
                <c:pt idx="10">
                  <c:v>6.1652542372881358</c:v>
                </c:pt>
                <c:pt idx="11">
                  <c:v>9.3148148148148149</c:v>
                </c:pt>
                <c:pt idx="12">
                  <c:v>5.9003939039676796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E-5147-9617-421561E354A5}"/>
            </c:ext>
          </c:extLst>
        </c:ser>
        <c:ser>
          <c:idx val="5"/>
          <c:order val="5"/>
          <c:tx>
            <c:strRef>
              <c:f>Dyn_Overhead_Splash3!$G$16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Dyn_Overhead_Splash3!$A$17:$A$29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goemean</c:v>
                </c:pt>
              </c:strCache>
            </c:strRef>
          </c:cat>
          <c:val>
            <c:numRef>
              <c:f>Dyn_Overhead_Splash3!$G$17:$G$29</c:f>
              <c:numCache>
                <c:formatCode>_(* #,##0.00_);_(* \(#,##0.00\);_(* "-"??_);_(@_)</c:formatCode>
                <c:ptCount val="13"/>
                <c:pt idx="0">
                  <c:v>17.73076923076923</c:v>
                </c:pt>
                <c:pt idx="1">
                  <c:v>3.9545454545454546</c:v>
                </c:pt>
                <c:pt idx="2">
                  <c:v>9.534640993341732</c:v>
                </c:pt>
                <c:pt idx="3">
                  <c:v>2.7954545454545454</c:v>
                </c:pt>
                <c:pt idx="4">
                  <c:v>6.8994285714285715</c:v>
                </c:pt>
                <c:pt idx="5">
                  <c:v>5.0401034928848638</c:v>
                </c:pt>
                <c:pt idx="6">
                  <c:v>1.1238839285714286</c:v>
                </c:pt>
                <c:pt idx="7">
                  <c:v>0.99123273113708821</c:v>
                </c:pt>
                <c:pt idx="8">
                  <c:v>16.903225806451612</c:v>
                </c:pt>
                <c:pt idx="9">
                  <c:v>5.8177028451001052</c:v>
                </c:pt>
                <c:pt idx="10">
                  <c:v>4.9110169491525424</c:v>
                </c:pt>
                <c:pt idx="11">
                  <c:v>7.5185185185185182</c:v>
                </c:pt>
                <c:pt idx="12">
                  <c:v>5.0309069677068088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EE-5147-9617-421561E35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 Overhead</a:t>
                </a:r>
              </a:p>
              <a:p>
                <a:pPr>
                  <a:defRPr/>
                </a:pPr>
                <a:r>
                  <a:rPr lang="en-US"/>
                  <a:t>Relative to Native (times)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6661595034995631"/>
          <c:h val="0.16721872265966753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89317555731646"/>
          <c:y val="0.22470287745983708"/>
          <c:w val="0.84549974214608736"/>
          <c:h val="0.381080849671593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Dyn_Overhead_Splash3!$H$33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Dyn_Overhead_Splash3!$H$34:$H$46</c:f>
              <c:numCache>
                <c:formatCode>_(* #,##0.0_);_(* \(#,##0.0\);_(* "-"??_);_(@_)</c:formatCode>
                <c:ptCount val="13"/>
                <c:pt idx="0">
                  <c:v>7.6015625</c:v>
                </c:pt>
                <c:pt idx="1">
                  <c:v>8.31640625</c:v>
                </c:pt>
                <c:pt idx="2">
                  <c:v>7.421875</c:v>
                </c:pt>
                <c:pt idx="3">
                  <c:v>7.9140625</c:v>
                </c:pt>
                <c:pt idx="4">
                  <c:v>7.453125</c:v>
                </c:pt>
                <c:pt idx="5">
                  <c:v>7.45703125</c:v>
                </c:pt>
                <c:pt idx="6">
                  <c:v>8.07421875</c:v>
                </c:pt>
                <c:pt idx="7">
                  <c:v>7.734375</c:v>
                </c:pt>
                <c:pt idx="8">
                  <c:v>7.8515625</c:v>
                </c:pt>
                <c:pt idx="9">
                  <c:v>7.53125</c:v>
                </c:pt>
                <c:pt idx="10">
                  <c:v>7.7578125</c:v>
                </c:pt>
                <c:pt idx="11">
                  <c:v>8.0390625</c:v>
                </c:pt>
                <c:pt idx="12" formatCode="0.0">
                  <c:v>7.7579290223578559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8-2945-8492-6F664603998D}"/>
            </c:ext>
          </c:extLst>
        </c:ser>
        <c:ser>
          <c:idx val="1"/>
          <c:order val="1"/>
          <c:tx>
            <c:strRef>
              <c:f>Dyn_Overhead_Splash3!$I$33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098-2945-8492-6F66460399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098-2945-8492-6F66460399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098-2945-8492-6F66460399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098-2945-8492-6F66460399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098-2945-8492-6F66460399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098-2945-8492-6F66460399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098-2945-8492-6F66460399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098-2945-8492-6F664603998D}"/>
                </c:ext>
              </c:extLst>
            </c:dLbl>
            <c:dLbl>
              <c:idx val="8"/>
              <c:layout>
                <c:manualLayout>
                  <c:x val="-3.1170177422225109E-2"/>
                  <c:y val="0.23491079875682749"/>
                </c:manualLayout>
              </c:layout>
              <c:spPr>
                <a:solidFill>
                  <a:schemeClr val="accent4">
                    <a:lumMod val="60000"/>
                    <a:lumOff val="40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098-2945-8492-6F66460399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098-2945-8492-6F66460399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098-2945-8492-6F66460399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098-2945-8492-6F66460399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098-2945-8492-6F664603998D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Dyn_Overhead_Splash3!$I$34:$I$46</c:f>
              <c:numCache>
                <c:formatCode>_(* #,##0.0_);_(* \(#,##0.0\);_(* "-"??_);_(@_)</c:formatCode>
                <c:ptCount val="13"/>
                <c:pt idx="0">
                  <c:v>56.1171875</c:v>
                </c:pt>
                <c:pt idx="1">
                  <c:v>64.94140625</c:v>
                </c:pt>
                <c:pt idx="2">
                  <c:v>53.46484375</c:v>
                </c:pt>
                <c:pt idx="3">
                  <c:v>62.7890625</c:v>
                </c:pt>
                <c:pt idx="4">
                  <c:v>54.55078125</c:v>
                </c:pt>
                <c:pt idx="5">
                  <c:v>54.65234375</c:v>
                </c:pt>
                <c:pt idx="6">
                  <c:v>58.08203125</c:v>
                </c:pt>
                <c:pt idx="7">
                  <c:v>56.39453125</c:v>
                </c:pt>
                <c:pt idx="8">
                  <c:v>303.7109375</c:v>
                </c:pt>
                <c:pt idx="9">
                  <c:v>52.95703125</c:v>
                </c:pt>
                <c:pt idx="10">
                  <c:v>57.65234375</c:v>
                </c:pt>
                <c:pt idx="11">
                  <c:v>58.46875</c:v>
                </c:pt>
                <c:pt idx="12" formatCode="0.0">
                  <c:v>65.707549857590024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98-2945-8492-6F664603998D}"/>
            </c:ext>
          </c:extLst>
        </c:ser>
        <c:ser>
          <c:idx val="2"/>
          <c:order val="2"/>
          <c:tx>
            <c:strRef>
              <c:f>Dyn_Overhead_Splash3!$J$33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098-2945-8492-6F664603998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098-2945-8492-6F664603998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098-2945-8492-6F664603998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098-2945-8492-6F664603998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098-2945-8492-6F664603998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098-2945-8492-6F664603998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098-2945-8492-6F664603998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098-2945-8492-6F664603998D}"/>
                </c:ext>
              </c:extLst>
            </c:dLbl>
            <c:dLbl>
              <c:idx val="8"/>
              <c:layout>
                <c:manualLayout>
                  <c:x val="3.1561276335741503E-2"/>
                  <c:y val="0.233415072235935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098-2945-8492-6F664603998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098-2945-8492-6F664603998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098-2945-8492-6F664603998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098-2945-8492-6F664603998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098-2945-8492-6F664603998D}"/>
                </c:ext>
              </c:extLst>
            </c:dLbl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Dyn_Overhead_Splash3!$J$34:$J$46</c:f>
              <c:numCache>
                <c:formatCode>_(* #,##0.0_);_(* \(#,##0.0\);_(* "-"??_);_(@_)</c:formatCode>
                <c:ptCount val="13"/>
                <c:pt idx="0">
                  <c:v>56.359375</c:v>
                </c:pt>
                <c:pt idx="1">
                  <c:v>65.10546875</c:v>
                </c:pt>
                <c:pt idx="2">
                  <c:v>53.5234375</c:v>
                </c:pt>
                <c:pt idx="3">
                  <c:v>63.0625</c:v>
                </c:pt>
                <c:pt idx="4">
                  <c:v>54.87890625</c:v>
                </c:pt>
                <c:pt idx="5">
                  <c:v>54.54296875</c:v>
                </c:pt>
                <c:pt idx="6">
                  <c:v>58.0703125</c:v>
                </c:pt>
                <c:pt idx="7">
                  <c:v>56.484375</c:v>
                </c:pt>
                <c:pt idx="8">
                  <c:v>304.41796875</c:v>
                </c:pt>
                <c:pt idx="9">
                  <c:v>53.1328125</c:v>
                </c:pt>
                <c:pt idx="10">
                  <c:v>57.76953125</c:v>
                </c:pt>
                <c:pt idx="11">
                  <c:v>58.69921875</c:v>
                </c:pt>
                <c:pt idx="12" formatCode="0.0">
                  <c:v>65.867950232364592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098-2945-8492-6F664603998D}"/>
            </c:ext>
          </c:extLst>
        </c:ser>
        <c:ser>
          <c:idx val="3"/>
          <c:order val="3"/>
          <c:tx>
            <c:strRef>
              <c:f>Dyn_Overhead_Splash3!$K$33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Dyn_Overhead_Splash3!$K$34:$K$46</c:f>
              <c:numCache>
                <c:formatCode>_(* #,##0.0_);_(* \(#,##0.0\);_(* "-"??_);_(@_)</c:formatCode>
                <c:ptCount val="13"/>
                <c:pt idx="0">
                  <c:v>8.34375</c:v>
                </c:pt>
                <c:pt idx="1">
                  <c:v>9.44140625</c:v>
                </c:pt>
                <c:pt idx="2">
                  <c:v>8.23828125</c:v>
                </c:pt>
                <c:pt idx="3">
                  <c:v>8.74609375</c:v>
                </c:pt>
                <c:pt idx="4">
                  <c:v>8.14453125</c:v>
                </c:pt>
                <c:pt idx="5">
                  <c:v>8.171875</c:v>
                </c:pt>
                <c:pt idx="6">
                  <c:v>9.09765625</c:v>
                </c:pt>
                <c:pt idx="7">
                  <c:v>8.8359375</c:v>
                </c:pt>
                <c:pt idx="8">
                  <c:v>9.13671875</c:v>
                </c:pt>
                <c:pt idx="9">
                  <c:v>8.16796875</c:v>
                </c:pt>
                <c:pt idx="10">
                  <c:v>8.4296875</c:v>
                </c:pt>
                <c:pt idx="11">
                  <c:v>8.828125</c:v>
                </c:pt>
                <c:pt idx="12" formatCode="0.0">
                  <c:v>8.6215148237372947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98-2945-8492-6F664603998D}"/>
            </c:ext>
          </c:extLst>
        </c:ser>
        <c:ser>
          <c:idx val="4"/>
          <c:order val="4"/>
          <c:tx>
            <c:strRef>
              <c:f>Dyn_Overhead_Splash3!$L$33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Dyn_Overhead_Splash3!$A$34:$A$46</c:f>
              <c:strCache>
                <c:ptCount val="13"/>
                <c:pt idx="0">
                  <c:v>BARNES</c:v>
                </c:pt>
                <c:pt idx="1">
                  <c:v>CHOLESKY</c:v>
                </c:pt>
                <c:pt idx="2">
                  <c:v>FFT</c:v>
                </c:pt>
                <c:pt idx="3">
                  <c:v>FMM</c:v>
                </c:pt>
                <c:pt idx="4">
                  <c:v>LU-CB</c:v>
                </c:pt>
                <c:pt idx="5">
                  <c:v>LU-NCB</c:v>
                </c:pt>
                <c:pt idx="6">
                  <c:v>OCEAN-CP</c:v>
                </c:pt>
                <c:pt idx="7">
                  <c:v>OCEAN-NCP</c:v>
                </c:pt>
                <c:pt idx="8">
                  <c:v>RADIOSITY</c:v>
                </c:pt>
                <c:pt idx="9">
                  <c:v>RADIX</c:v>
                </c:pt>
                <c:pt idx="10">
                  <c:v>WATER-NSQUARED</c:v>
                </c:pt>
                <c:pt idx="11">
                  <c:v>WATER-SPATIAL</c:v>
                </c:pt>
                <c:pt idx="12">
                  <c:v>geomean</c:v>
                </c:pt>
              </c:strCache>
            </c:strRef>
          </c:cat>
          <c:val>
            <c:numRef>
              <c:f>Dyn_Overhead_Splash3!$L$34:$L$46</c:f>
              <c:numCache>
                <c:formatCode>_(* #,##0.0_);_(* \(#,##0.0\);_(* "-"??_);_(@_)</c:formatCode>
                <c:ptCount val="13"/>
                <c:pt idx="0">
                  <c:v>8.35546875</c:v>
                </c:pt>
                <c:pt idx="1">
                  <c:v>9.45703125</c:v>
                </c:pt>
                <c:pt idx="2">
                  <c:v>8.22265625</c:v>
                </c:pt>
                <c:pt idx="3">
                  <c:v>8.7890625</c:v>
                </c:pt>
                <c:pt idx="4">
                  <c:v>8.19921875</c:v>
                </c:pt>
                <c:pt idx="5">
                  <c:v>8.3046875</c:v>
                </c:pt>
                <c:pt idx="6">
                  <c:v>9.11328125</c:v>
                </c:pt>
                <c:pt idx="7">
                  <c:v>8.8671875</c:v>
                </c:pt>
                <c:pt idx="8">
                  <c:v>9.1875</c:v>
                </c:pt>
                <c:pt idx="9">
                  <c:v>8.265625</c:v>
                </c:pt>
                <c:pt idx="10">
                  <c:v>8.60546875</c:v>
                </c:pt>
                <c:pt idx="11">
                  <c:v>8.82421875</c:v>
                </c:pt>
                <c:pt idx="12" formatCode="0.0">
                  <c:v>8.6732137773689146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098-2945-8492-6F6646039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708623"/>
        <c:axId val="575805615"/>
      </c:barChart>
      <c:catAx>
        <c:axId val="57570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805615"/>
        <c:crosses val="autoZero"/>
        <c:auto val="1"/>
        <c:lblAlgn val="ctr"/>
        <c:lblOffset val="100"/>
        <c:noMultiLvlLbl val="0"/>
      </c:catAx>
      <c:valAx>
        <c:axId val="575805615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 Overhead</a:t>
                </a:r>
              </a:p>
              <a:p>
                <a:pPr>
                  <a:defRPr/>
                </a:pPr>
                <a:r>
                  <a:rPr lang="en-US"/>
                  <a:t>Difference from</a:t>
                </a:r>
                <a:r>
                  <a:rPr lang="en-US" baseline="0"/>
                  <a:t> Native</a:t>
                </a:r>
                <a:r>
                  <a:rPr lang="en-US"/>
                  <a:t> (MB)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575708623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2157569171041122"/>
          <c:y val="2.7520851560221639E-2"/>
          <c:w val="0.87842429919715992"/>
          <c:h val="0.1794712830518756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Figure!$B$1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1735-A748-AD8E-081B16A6F6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1735-A748-AD8E-081B16A6F659}"/>
              </c:ext>
            </c:extLst>
          </c:dPt>
          <c:cat>
            <c:strRef>
              <c:f>Figure!$A$2:$A$29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Figure!$B$2:$B$29</c:f>
              <c:numCache>
                <c:formatCode>_(* #,##0.00_);_(* \(#,##0.00\);_(* "-"??_);_(@_)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5-A748-AD8E-081B16A6F659}"/>
            </c:ext>
          </c:extLst>
        </c:ser>
        <c:ser>
          <c:idx val="1"/>
          <c:order val="1"/>
          <c:tx>
            <c:strRef>
              <c:f>Figure!$C$1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735-A748-AD8E-081B16A6F6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735-A748-AD8E-081B16A6F659}"/>
              </c:ext>
            </c:extLst>
          </c:dPt>
          <c:cat>
            <c:strRef>
              <c:f>Figure!$A$2:$A$29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Figure!$C$2:$C$29</c:f>
              <c:numCache>
                <c:formatCode>_(* #,##0.00_);_(* \(#,##0.00\);_(* "-"??_);_(@_)</c:formatCode>
                <c:ptCount val="28"/>
                <c:pt idx="0">
                  <c:v>1.7103958136846269</c:v>
                </c:pt>
                <c:pt idx="1">
                  <c:v>1.6373122834039275</c:v>
                </c:pt>
                <c:pt idx="2">
                  <c:v>2.5291974471078951</c:v>
                </c:pt>
                <c:pt idx="3">
                  <c:v>1.2255798758575629</c:v>
                </c:pt>
                <c:pt idx="4">
                  <c:v>1.7915722547262336</c:v>
                </c:pt>
                <c:pt idx="5">
                  <c:v>1.8157203658426153</c:v>
                </c:pt>
                <c:pt idx="6">
                  <c:v>1.687632842635598</c:v>
                </c:pt>
                <c:pt idx="7">
                  <c:v>1.6695261097693013</c:v>
                </c:pt>
                <c:pt idx="8">
                  <c:v>1.6856932175588026</c:v>
                </c:pt>
                <c:pt idx="9">
                  <c:v>0.96508848263882918</c:v>
                </c:pt>
                <c:pt idx="10">
                  <c:v>1.7081217409086262</c:v>
                </c:pt>
                <c:pt idx="11">
                  <c:v>1.6892061781609196</c:v>
                </c:pt>
                <c:pt idx="12">
                  <c:v>1.599460464629004</c:v>
                </c:pt>
                <c:pt idx="13">
                  <c:v>1.9476324365774171</c:v>
                </c:pt>
                <c:pt idx="14">
                  <c:v>1.6556977008480984</c:v>
                </c:pt>
                <c:pt idx="15">
                  <c:v>2.1923076923076925</c:v>
                </c:pt>
                <c:pt idx="16">
                  <c:v>1.0454545454545454</c:v>
                </c:pt>
                <c:pt idx="17">
                  <c:v>1.0241137304300882</c:v>
                </c:pt>
                <c:pt idx="18">
                  <c:v>0.93181818181818177</c:v>
                </c:pt>
                <c:pt idx="19">
                  <c:v>1.7817142857142858</c:v>
                </c:pt>
                <c:pt idx="20">
                  <c:v>1.5210866752910737</c:v>
                </c:pt>
                <c:pt idx="21">
                  <c:v>1.0066334991708126</c:v>
                </c:pt>
                <c:pt idx="22">
                  <c:v>0.97901168969181718</c:v>
                </c:pt>
                <c:pt idx="23">
                  <c:v>2.6774193548387095</c:v>
                </c:pt>
                <c:pt idx="24">
                  <c:v>1.3530031612223392</c:v>
                </c:pt>
                <c:pt idx="25">
                  <c:v>1.3771186440677967</c:v>
                </c:pt>
                <c:pt idx="26">
                  <c:v>1.5</c:v>
                </c:pt>
                <c:pt idx="27">
                  <c:v>1.3699916755751029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5-A748-AD8E-081B16A6F659}"/>
            </c:ext>
          </c:extLst>
        </c:ser>
        <c:ser>
          <c:idx val="2"/>
          <c:order val="2"/>
          <c:tx>
            <c:strRef>
              <c:f>Figure!$D$1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1735-A748-AD8E-081B16A6F6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1735-A748-AD8E-081B16A6F659}"/>
              </c:ext>
            </c:extLst>
          </c:dPt>
          <c:cat>
            <c:strRef>
              <c:f>Figure!$A$2:$A$29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Figure!$D$2:$D$29</c:f>
              <c:numCache>
                <c:formatCode>_(* #,##0.00_);_(* \(#,##0.00\);_(* "-"??_);_(@_)</c:formatCode>
                <c:ptCount val="28"/>
                <c:pt idx="0">
                  <c:v>1.7343393471051751</c:v>
                </c:pt>
                <c:pt idx="1">
                  <c:v>1.7070465922217943</c:v>
                </c:pt>
                <c:pt idx="2">
                  <c:v>2.5778682345846526</c:v>
                </c:pt>
                <c:pt idx="3">
                  <c:v>1.314970597843842</c:v>
                </c:pt>
                <c:pt idx="4">
                  <c:v>1.7757448679360142</c:v>
                </c:pt>
                <c:pt idx="5">
                  <c:v>1.89133387666395</c:v>
                </c:pt>
                <c:pt idx="6">
                  <c:v>1.6882363746096722</c:v>
                </c:pt>
                <c:pt idx="7">
                  <c:v>1.6823519613558757</c:v>
                </c:pt>
                <c:pt idx="8">
                  <c:v>1.7502370167491836</c:v>
                </c:pt>
                <c:pt idx="9">
                  <c:v>1.0087622749238998</c:v>
                </c:pt>
                <c:pt idx="10">
                  <c:v>1.7895095600013633</c:v>
                </c:pt>
                <c:pt idx="11">
                  <c:v>1.8683548850574712</c:v>
                </c:pt>
                <c:pt idx="12">
                  <c:v>1.6913386239228936</c:v>
                </c:pt>
                <c:pt idx="13">
                  <c:v>2.0097130807080323</c:v>
                </c:pt>
                <c:pt idx="14">
                  <c:v>1.716072489700305</c:v>
                </c:pt>
                <c:pt idx="15">
                  <c:v>2.7307692307692308</c:v>
                </c:pt>
                <c:pt idx="16">
                  <c:v>1.0909090909090908</c:v>
                </c:pt>
                <c:pt idx="17">
                  <c:v>1.1693359726471118</c:v>
                </c:pt>
                <c:pt idx="18">
                  <c:v>0.95454545454545459</c:v>
                </c:pt>
                <c:pt idx="19">
                  <c:v>1.8213333333333332</c:v>
                </c:pt>
                <c:pt idx="20">
                  <c:v>1.4271668822768435</c:v>
                </c:pt>
                <c:pt idx="21">
                  <c:v>1.0071862907683804</c:v>
                </c:pt>
                <c:pt idx="22">
                  <c:v>0.98591923485653565</c:v>
                </c:pt>
                <c:pt idx="23">
                  <c:v>3.161290322580645</c:v>
                </c:pt>
                <c:pt idx="24">
                  <c:v>1.3582718651211803</c:v>
                </c:pt>
                <c:pt idx="25">
                  <c:v>1.4682203389830508</c:v>
                </c:pt>
                <c:pt idx="26">
                  <c:v>1.537037037037037</c:v>
                </c:pt>
                <c:pt idx="27">
                  <c:v>1.4454263140532051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5-A748-AD8E-081B16A6F659}"/>
            </c:ext>
          </c:extLst>
        </c:ser>
        <c:ser>
          <c:idx val="3"/>
          <c:order val="3"/>
          <c:tx>
            <c:strRef>
              <c:f>Figure!$E$1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735-A748-AD8E-081B16A6F659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735-A748-AD8E-081B16A6F659}"/>
              </c:ext>
            </c:extLst>
          </c:dPt>
          <c:dLbls>
            <c:dLbl>
              <c:idx val="0"/>
              <c:layout>
                <c:manualLayout>
                  <c:x val="1.5784029600466609E-3"/>
                  <c:y val="0.1882277388937493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735-A748-AD8E-081B16A6F65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735-A748-AD8E-081B16A6F65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35-A748-AD8E-081B16A6F65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735-A748-AD8E-081B16A6F659}"/>
                </c:ext>
              </c:extLst>
            </c:dLbl>
            <c:dLbl>
              <c:idx val="4"/>
              <c:layout>
                <c:manualLayout>
                  <c:x val="-3.6299075896762904E-3"/>
                  <c:y val="0.1866845290172061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735-A748-AD8E-081B16A6F659}"/>
                </c:ext>
              </c:extLst>
            </c:dLbl>
            <c:dLbl>
              <c:idx val="5"/>
              <c:layout>
                <c:manualLayout>
                  <c:x val="7.3654855643044623E-3"/>
                  <c:y val="0.1866845290172061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735-A748-AD8E-081B16A6F659}"/>
                </c:ext>
              </c:extLst>
            </c:dLbl>
            <c:dLbl>
              <c:idx val="6"/>
              <c:layout>
                <c:manualLayout>
                  <c:x val="-1.8937736949548398E-3"/>
                  <c:y val="0.2422400845727617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735-A748-AD8E-081B16A6F65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35-A748-AD8E-081B16A6F659}"/>
                </c:ext>
              </c:extLst>
            </c:dLbl>
            <c:dLbl>
              <c:idx val="8"/>
              <c:layout>
                <c:manualLayout>
                  <c:x val="-1.3151155584719002E-3"/>
                  <c:y val="0.1851413191406629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735-A748-AD8E-081B16A6F65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735-A748-AD8E-081B16A6F659}"/>
                </c:ext>
              </c:extLst>
            </c:dLbl>
            <c:dLbl>
              <c:idx val="10"/>
              <c:layout>
                <c:manualLayout>
                  <c:x val="-3.0512038859725867E-3"/>
                  <c:y val="0.2406968746962184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735-A748-AD8E-081B16A6F659}"/>
                </c:ext>
              </c:extLst>
            </c:dLbl>
            <c:dLbl>
              <c:idx val="11"/>
              <c:layout>
                <c:manualLayout>
                  <c:x val="-4.208588509769697E-3"/>
                  <c:y val="0.2977956401283172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735-A748-AD8E-081B16A6F659}"/>
                </c:ext>
              </c:extLst>
            </c:dLbl>
            <c:dLbl>
              <c:idx val="12"/>
              <c:layout>
                <c:manualLayout>
                  <c:x val="-1.3150699912510937E-3"/>
                  <c:y val="0.2283511956838728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735-A748-AD8E-081B16A6F65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735-A748-AD8E-081B16A6F659}"/>
                </c:ext>
              </c:extLst>
            </c:dLbl>
            <c:dLbl>
              <c:idx val="14"/>
              <c:layout>
                <c:manualLayout>
                  <c:x val="-2.5130322251386093E-3"/>
                  <c:y val="0.22835119568387283"/>
                </c:manualLayout>
              </c:layout>
              <c:spPr>
                <a:solidFill>
                  <a:schemeClr val="accent4">
                    <a:lumMod val="75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0" i="0" u="none" strike="noStrike" kern="1200" baseline="0">
                      <a:solidFill>
                        <a:schemeClr val="bg1"/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735-A748-AD8E-081B16A6F659}"/>
                </c:ext>
              </c:extLst>
            </c:dLbl>
            <c:dLbl>
              <c:idx val="15"/>
              <c:layout>
                <c:manualLayout>
                  <c:x val="9.9974482356363623E-4"/>
                  <c:y val="0.2268079858073296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1735-A748-AD8E-081B16A6F65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735-A748-AD8E-081B16A6F65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735-A748-AD8E-081B16A6F65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735-A748-AD8E-081B16A6F659}"/>
                </c:ext>
              </c:extLst>
            </c:dLbl>
            <c:dLbl>
              <c:idx val="19"/>
              <c:layout>
                <c:manualLayout>
                  <c:x val="-4.7873149970836977E-3"/>
                  <c:y val="0.2391536648196752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735-A748-AD8E-081B16A6F659}"/>
                </c:ext>
              </c:extLst>
            </c:dLbl>
            <c:dLbl>
              <c:idx val="20"/>
              <c:layout>
                <c:manualLayout>
                  <c:x val="1.253328685476807E-2"/>
                  <c:y val="0.237610454943132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735-A748-AD8E-081B16A6F659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735-A748-AD8E-081B16A6F65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735-A748-AD8E-081B16A6F659}"/>
                </c:ext>
              </c:extLst>
            </c:dLbl>
            <c:dLbl>
              <c:idx val="23"/>
              <c:layout>
                <c:manualLayout>
                  <c:x val="-7.1021070282881304E-3"/>
                  <c:y val="0.2360672450665889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735-A748-AD8E-081B16A6F659}"/>
                </c:ext>
              </c:extLst>
            </c:dLbl>
            <c:dLbl>
              <c:idx val="24"/>
              <c:layout>
                <c:manualLayout>
                  <c:x val="-5.9852088801401523E-3"/>
                  <c:y val="0.28544996111597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735-A748-AD8E-081B16A6F659}"/>
                </c:ext>
              </c:extLst>
            </c:dLbl>
            <c:dLbl>
              <c:idx val="25"/>
              <c:layout>
                <c:manualLayout>
                  <c:x val="3.2740275955088949E-3"/>
                  <c:y val="0.211375887041897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735-A748-AD8E-081B16A6F659}"/>
                </c:ext>
              </c:extLst>
            </c:dLbl>
            <c:dLbl>
              <c:idx val="26"/>
              <c:layout>
                <c:manualLayout>
                  <c:x val="4.4314350029163018E-3"/>
                  <c:y val="0.2839067512394283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735-A748-AD8E-081B16A6F659}"/>
                </c:ext>
              </c:extLst>
            </c:dLbl>
            <c:dLbl>
              <c:idx val="27"/>
              <c:layout>
                <c:manualLayout>
                  <c:x val="-9.2592592592592587E-3"/>
                  <c:y val="0.21775311072227077"/>
                </c:manualLayout>
              </c:layout>
              <c:spPr>
                <a:solidFill>
                  <a:schemeClr val="accent2">
                    <a:lumMod val="75000"/>
                  </a:schemeClr>
                </a:solidFill>
                <a:ln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200" b="0" i="0" u="none" strike="noStrike" kern="1200" baseline="0">
                      <a:solidFill>
                        <a:schemeClr val="bg1"/>
                      </a:solidFill>
                      <a:latin typeface="Tw Cen MT" panose="020B0602020104020603" pitchFamily="34" charset="77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735-A748-AD8E-081B16A6F659}"/>
                </c:ext>
              </c:extLst>
            </c:dLbl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Figure!$A$2:$A$29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Figure!$E$2:$E$29</c:f>
              <c:numCache>
                <c:formatCode>_(* #,##0.00_);_(* \(#,##0.00\);_(* "-"??_);_(@_)</c:formatCode>
                <c:ptCount val="28"/>
                <c:pt idx="0">
                  <c:v>21.375764398065048</c:v>
                </c:pt>
                <c:pt idx="1">
                  <c:v>2.6425490951097421</c:v>
                </c:pt>
                <c:pt idx="2">
                  <c:v>2.8280315593748431</c:v>
                </c:pt>
                <c:pt idx="3">
                  <c:v>1.310764456060111</c:v>
                </c:pt>
                <c:pt idx="4">
                  <c:v>12.316953566234908</c:v>
                </c:pt>
                <c:pt idx="5">
                  <c:v>12.43412116272752</c:v>
                </c:pt>
                <c:pt idx="6">
                  <c:v>12.902463984885459</c:v>
                </c:pt>
                <c:pt idx="7">
                  <c:v>2.4952944115932372</c:v>
                </c:pt>
                <c:pt idx="8">
                  <c:v>24.357797474831077</c:v>
                </c:pt>
                <c:pt idx="9">
                  <c:v>1.0063803807591105</c:v>
                </c:pt>
                <c:pt idx="10">
                  <c:v>12.368358269997614</c:v>
                </c:pt>
                <c:pt idx="11">
                  <c:v>12.338362068965518</c:v>
                </c:pt>
                <c:pt idx="12">
                  <c:v>12.940991592676985</c:v>
                </c:pt>
                <c:pt idx="13">
                  <c:v>3.087737235606109</c:v>
                </c:pt>
                <c:pt idx="14">
                  <c:v>6.2975928485938155</c:v>
                </c:pt>
                <c:pt idx="15">
                  <c:v>15.76923076923077</c:v>
                </c:pt>
                <c:pt idx="16">
                  <c:v>2.6363636363636362</c:v>
                </c:pt>
                <c:pt idx="17">
                  <c:v>2.5805290624437647</c:v>
                </c:pt>
                <c:pt idx="18">
                  <c:v>1.7045454545454546</c:v>
                </c:pt>
                <c:pt idx="19">
                  <c:v>11.063619047619047</c:v>
                </c:pt>
                <c:pt idx="20">
                  <c:v>7.9055627425614485</c:v>
                </c:pt>
                <c:pt idx="21">
                  <c:v>1.0182421227197347</c:v>
                </c:pt>
                <c:pt idx="22">
                  <c:v>0.98618490967056327</c:v>
                </c:pt>
                <c:pt idx="23">
                  <c:v>28.838709677419356</c:v>
                </c:pt>
                <c:pt idx="24">
                  <c:v>8.1707060063224439</c:v>
                </c:pt>
                <c:pt idx="25">
                  <c:v>6.8919491525423728</c:v>
                </c:pt>
                <c:pt idx="26">
                  <c:v>6.2777777777777777</c:v>
                </c:pt>
                <c:pt idx="27">
                  <c:v>4.8362973995012819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35-A748-AD8E-081B16A6F659}"/>
            </c:ext>
          </c:extLst>
        </c:ser>
        <c:ser>
          <c:idx val="4"/>
          <c:order val="4"/>
          <c:tx>
            <c:strRef>
              <c:f>Figure!$F$1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Figure!$A$2:$A$29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Figure!$F$2:$F$29</c:f>
              <c:numCache>
                <c:formatCode>_(* #,##0.00_);_(* \(#,##0.00\);_(* "-"??_);_(@_)</c:formatCode>
                <c:ptCount val="28"/>
                <c:pt idx="0">
                  <c:v>1.936718488545438</c:v>
                </c:pt>
                <c:pt idx="1">
                  <c:v>1.7102425876010781</c:v>
                </c:pt>
                <c:pt idx="2">
                  <c:v>2.5839991959394943</c:v>
                </c:pt>
                <c:pt idx="3">
                  <c:v>1.3118670369160406</c:v>
                </c:pt>
                <c:pt idx="4">
                  <c:v>1.8433156346173358</c:v>
                </c:pt>
                <c:pt idx="5">
                  <c:v>1.9429502852485738</c:v>
                </c:pt>
                <c:pt idx="6">
                  <c:v>1.7269149019916554</c:v>
                </c:pt>
                <c:pt idx="7">
                  <c:v>1.6696093945198633</c:v>
                </c:pt>
                <c:pt idx="8">
                  <c:v>1.9552753156461151</c:v>
                </c:pt>
                <c:pt idx="9">
                  <c:v>1.009673757889487</c:v>
                </c:pt>
                <c:pt idx="10">
                  <c:v>1.8334753416720631</c:v>
                </c:pt>
                <c:pt idx="11">
                  <c:v>1.9264547413793103</c:v>
                </c:pt>
                <c:pt idx="12">
                  <c:v>1.7253869725779838</c:v>
                </c:pt>
                <c:pt idx="13">
                  <c:v>2.0301616716723112</c:v>
                </c:pt>
                <c:pt idx="14">
                  <c:v>1.7643230843716435</c:v>
                </c:pt>
                <c:pt idx="15">
                  <c:v>2.8461538461538463</c:v>
                </c:pt>
                <c:pt idx="16">
                  <c:v>1.1363636363636365</c:v>
                </c:pt>
                <c:pt idx="17">
                  <c:v>1.1182292603922981</c:v>
                </c:pt>
                <c:pt idx="18">
                  <c:v>0.97727272727272729</c:v>
                </c:pt>
                <c:pt idx="19">
                  <c:v>1.7344761904761905</c:v>
                </c:pt>
                <c:pt idx="20">
                  <c:v>1.5060802069857697</c:v>
                </c:pt>
                <c:pt idx="21">
                  <c:v>1.007739082365948</c:v>
                </c:pt>
                <c:pt idx="22">
                  <c:v>1.0092986184909671</c:v>
                </c:pt>
                <c:pt idx="23">
                  <c:v>3.4193548387096775</c:v>
                </c:pt>
                <c:pt idx="24">
                  <c:v>1.3909378292939938</c:v>
                </c:pt>
                <c:pt idx="25">
                  <c:v>1.6271186440677967</c:v>
                </c:pt>
                <c:pt idx="26">
                  <c:v>1.6851851851851851</c:v>
                </c:pt>
                <c:pt idx="27">
                  <c:v>1.4928016562932125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35-A748-AD8E-081B16A6F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120351"/>
        <c:axId val="1279538191"/>
      </c:barChart>
      <c:catAx>
        <c:axId val="144112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79538191"/>
        <c:crosses val="autoZero"/>
        <c:auto val="1"/>
        <c:lblAlgn val="ctr"/>
        <c:lblOffset val="100"/>
        <c:noMultiLvlLbl val="0"/>
      </c:catAx>
      <c:valAx>
        <c:axId val="1279538191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Overhead</a:t>
                </a:r>
              </a:p>
              <a:p>
                <a:pPr>
                  <a:defRPr/>
                </a:pPr>
                <a:r>
                  <a:rPr lang="en-US" baseline="0"/>
                  <a:t>Relative to Navive (times)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41120351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4329022674249058E-2"/>
          <c:y val="9.2592592592592587E-3"/>
          <c:w val="0.89988362131816857"/>
          <c:h val="0.12804741421211238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Figure!$B$41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Figure!$A$42:$A$69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Figure!$B$42:$B$69</c:f>
              <c:numCache>
                <c:formatCode>_(* #,##0.00_);_(* \(#,##0.00\);_(* "-"??_);_(@_)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26-C44C-94FB-02A01E63051E}"/>
            </c:ext>
          </c:extLst>
        </c:ser>
        <c:ser>
          <c:idx val="1"/>
          <c:order val="1"/>
          <c:tx>
            <c:strRef>
              <c:f>Figure!$C$41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2-C526-C44C-94FB-02A01E63051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526-C44C-94FB-02A01E63051E}"/>
              </c:ext>
            </c:extLst>
          </c:dPt>
          <c:cat>
            <c:strRef>
              <c:f>Figure!$A$42:$A$69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Figure!$C$42:$C$69</c:f>
              <c:numCache>
                <c:formatCode>_(* #,##0.00_);_(* \(#,##0.00\);_(* "-"??_);_(@_)</c:formatCode>
                <c:ptCount val="28"/>
                <c:pt idx="0">
                  <c:v>1.8634275457117648</c:v>
                </c:pt>
                <c:pt idx="1">
                  <c:v>1.7180978051597997</c:v>
                </c:pt>
                <c:pt idx="2">
                  <c:v>2.6148801447308911</c:v>
                </c:pt>
                <c:pt idx="3">
                  <c:v>1.7126347598823914</c:v>
                </c:pt>
                <c:pt idx="4">
                  <c:v>1.871047380702763</c:v>
                </c:pt>
                <c:pt idx="5">
                  <c:v>2.0961695191524043</c:v>
                </c:pt>
                <c:pt idx="6">
                  <c:v>1.8667506363326249</c:v>
                </c:pt>
                <c:pt idx="7">
                  <c:v>1.745898226034813</c:v>
                </c:pt>
                <c:pt idx="8">
                  <c:v>1.872116296218266</c:v>
                </c:pt>
                <c:pt idx="9">
                  <c:v>1.051567578722892</c:v>
                </c:pt>
                <c:pt idx="10">
                  <c:v>1.8700453290617225</c:v>
                </c:pt>
                <c:pt idx="11">
                  <c:v>2.078753591954023</c:v>
                </c:pt>
                <c:pt idx="12">
                  <c:v>1.8705377019983762</c:v>
                </c:pt>
                <c:pt idx="13">
                  <c:v>2.0591411591795001</c:v>
                </c:pt>
                <c:pt idx="14">
                  <c:v>1.8476181560103755</c:v>
                </c:pt>
                <c:pt idx="15">
                  <c:v>1.1153846153846154</c:v>
                </c:pt>
                <c:pt idx="16">
                  <c:v>1.4090909090909092</c:v>
                </c:pt>
                <c:pt idx="17">
                  <c:v>1.5463379521324456</c:v>
                </c:pt>
                <c:pt idx="18">
                  <c:v>1.2727272727272727</c:v>
                </c:pt>
                <c:pt idx="19">
                  <c:v>1.0331428571428571</c:v>
                </c:pt>
                <c:pt idx="20">
                  <c:v>1.0388098318240622</c:v>
                </c:pt>
                <c:pt idx="21">
                  <c:v>1.0334821428571428</c:v>
                </c:pt>
                <c:pt idx="22">
                  <c:v>1.0154091392136027</c:v>
                </c:pt>
                <c:pt idx="23">
                  <c:v>1.3225806451612903</c:v>
                </c:pt>
                <c:pt idx="24">
                  <c:v>1.0147523709167545</c:v>
                </c:pt>
                <c:pt idx="25">
                  <c:v>1.097457627118644</c:v>
                </c:pt>
                <c:pt idx="26">
                  <c:v>1.4259259259259258</c:v>
                </c:pt>
                <c:pt idx="27">
                  <c:v>1.1803910434964764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26-C44C-94FB-02A01E63051E}"/>
            </c:ext>
          </c:extLst>
        </c:ser>
        <c:ser>
          <c:idx val="2"/>
          <c:order val="2"/>
          <c:tx>
            <c:strRef>
              <c:f>Figure!$D$41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526-C44C-94FB-02A01E63051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C-C526-C44C-94FB-02A01E63051E}"/>
              </c:ext>
            </c:extLst>
          </c:dPt>
          <c:cat>
            <c:strRef>
              <c:f>Figure!$A$42:$A$69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Figure!$D$42:$D$69</c:f>
              <c:numCache>
                <c:formatCode>_(* #,##0.00_);_(* \(#,##0.00\);_(* "-"??_);_(@_)</c:formatCode>
                <c:ptCount val="28"/>
                <c:pt idx="0">
                  <c:v>11.977851470990903</c:v>
                </c:pt>
                <c:pt idx="1">
                  <c:v>2.1906815556411243</c:v>
                </c:pt>
                <c:pt idx="2">
                  <c:v>4.5557816975727423</c:v>
                </c:pt>
                <c:pt idx="3">
                  <c:v>1.6963819013394315</c:v>
                </c:pt>
                <c:pt idx="4">
                  <c:v>7.6688761878994898</c:v>
                </c:pt>
                <c:pt idx="5">
                  <c:v>7.2963868513990766</c:v>
                </c:pt>
                <c:pt idx="6">
                  <c:v>7.2846571675982048</c:v>
                </c:pt>
                <c:pt idx="7">
                  <c:v>2.2697593070708755</c:v>
                </c:pt>
                <c:pt idx="8">
                  <c:v>11.527290785691713</c:v>
                </c:pt>
                <c:pt idx="9">
                  <c:v>1.0193905102584828</c:v>
                </c:pt>
                <c:pt idx="10">
                  <c:v>7.7165059132272251</c:v>
                </c:pt>
                <c:pt idx="11">
                  <c:v>7.2301544540229887</c:v>
                </c:pt>
                <c:pt idx="12">
                  <c:v>7.2107330871375819</c:v>
                </c:pt>
                <c:pt idx="13">
                  <c:v>2.6106140967473959</c:v>
                </c:pt>
                <c:pt idx="14">
                  <c:v>4.6655435097550528</c:v>
                </c:pt>
                <c:pt idx="15">
                  <c:v>14.76923076923077</c:v>
                </c:pt>
                <c:pt idx="16">
                  <c:v>3.3636363636363638</c:v>
                </c:pt>
                <c:pt idx="17">
                  <c:v>7.2513946373942773</c:v>
                </c:pt>
                <c:pt idx="18">
                  <c:v>2.3409090909090908</c:v>
                </c:pt>
                <c:pt idx="19">
                  <c:v>6.5039999999999996</c:v>
                </c:pt>
                <c:pt idx="20">
                  <c:v>5.0623544631306601</c:v>
                </c:pt>
                <c:pt idx="21">
                  <c:v>1.0758928571428572</c:v>
                </c:pt>
                <c:pt idx="22">
                  <c:v>1.0162061636556854</c:v>
                </c:pt>
                <c:pt idx="23">
                  <c:v>14</c:v>
                </c:pt>
                <c:pt idx="24">
                  <c:v>4.7692307692307692</c:v>
                </c:pt>
                <c:pt idx="25">
                  <c:v>4.6207627118644066</c:v>
                </c:pt>
                <c:pt idx="26">
                  <c:v>6.4814814814814818</c:v>
                </c:pt>
                <c:pt idx="27">
                  <c:v>4.4524778925966091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26-C44C-94FB-02A01E63051E}"/>
            </c:ext>
          </c:extLst>
        </c:ser>
        <c:ser>
          <c:idx val="3"/>
          <c:order val="3"/>
          <c:tx>
            <c:strRef>
              <c:f>Figure!$E$41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526-C44C-94FB-02A01E63051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C526-C44C-94FB-02A01E63051E}"/>
              </c:ext>
            </c:extLst>
          </c:dPt>
          <c:cat>
            <c:strRef>
              <c:f>Figure!$A$42:$A$69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Figure!$E$42:$E$69</c:f>
              <c:numCache>
                <c:formatCode>_(* #,##0.00_);_(* \(#,##0.00\);_(* "-"??_);_(@_)</c:formatCode>
                <c:ptCount val="28"/>
                <c:pt idx="0">
                  <c:v>9.8078128327603515</c:v>
                </c:pt>
                <c:pt idx="1">
                  <c:v>1.9727762803234501</c:v>
                </c:pt>
                <c:pt idx="2">
                  <c:v>3.6053319262274486</c:v>
                </c:pt>
                <c:pt idx="3">
                  <c:v>1.7067134923227703</c:v>
                </c:pt>
                <c:pt idx="4">
                  <c:v>4.8612059927626907</c:v>
                </c:pt>
                <c:pt idx="5">
                  <c:v>5.6994476138730414</c:v>
                </c:pt>
                <c:pt idx="6">
                  <c:v>4.3248051641344567</c:v>
                </c:pt>
                <c:pt idx="7">
                  <c:v>2.0695427667194135</c:v>
                </c:pt>
                <c:pt idx="8">
                  <c:v>9.4144557643978271</c:v>
                </c:pt>
                <c:pt idx="9">
                  <c:v>1.0154694137272775</c:v>
                </c:pt>
                <c:pt idx="10">
                  <c:v>4.8336457516785387</c:v>
                </c:pt>
                <c:pt idx="11">
                  <c:v>5.6506824712643677</c:v>
                </c:pt>
                <c:pt idx="12">
                  <c:v>4.3492574840889446</c:v>
                </c:pt>
                <c:pt idx="13">
                  <c:v>2.4405393315866828</c:v>
                </c:pt>
                <c:pt idx="14">
                  <c:v>3.6745826883437345</c:v>
                </c:pt>
                <c:pt idx="15">
                  <c:v>14.23076923076923</c:v>
                </c:pt>
                <c:pt idx="16">
                  <c:v>3.0909090909090908</c:v>
                </c:pt>
                <c:pt idx="17">
                  <c:v>6.1943494691380243</c:v>
                </c:pt>
                <c:pt idx="18">
                  <c:v>2.1363636363636362</c:v>
                </c:pt>
                <c:pt idx="19">
                  <c:v>5.7344761904761903</c:v>
                </c:pt>
                <c:pt idx="20">
                  <c:v>4.5068564036222512</c:v>
                </c:pt>
                <c:pt idx="21">
                  <c:v>1.0714285714285714</c:v>
                </c:pt>
                <c:pt idx="22">
                  <c:v>1.0185972369819341</c:v>
                </c:pt>
                <c:pt idx="23">
                  <c:v>12.096774193548388</c:v>
                </c:pt>
                <c:pt idx="24">
                  <c:v>4.3076923076923075</c:v>
                </c:pt>
                <c:pt idx="25">
                  <c:v>4.1716101694915251</c:v>
                </c:pt>
                <c:pt idx="26">
                  <c:v>5.7777777777777777</c:v>
                </c:pt>
                <c:pt idx="27">
                  <c:v>4.0693476148817931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C526-C44C-94FB-02A01E63051E}"/>
            </c:ext>
          </c:extLst>
        </c:ser>
        <c:ser>
          <c:idx val="4"/>
          <c:order val="4"/>
          <c:tx>
            <c:strRef>
              <c:f>Figure!$F$41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526-C44C-94FB-02A01E63051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6-C526-C44C-94FB-02A01E63051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C526-C44C-94FB-02A01E63051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C526-C44C-94FB-02A01E63051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C526-C44C-94FB-02A01E63051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C526-C44C-94FB-02A01E63051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C-C526-C44C-94FB-02A01E63051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C526-C44C-94FB-02A01E63051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C526-C44C-94FB-02A01E63051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C526-C44C-94FB-02A01E63051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0-C526-C44C-94FB-02A01E63051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2-C526-C44C-94FB-02A01E63051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C526-C44C-94FB-02A01E63051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C526-C44C-94FB-02A01E63051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4-C526-C44C-94FB-02A01E63051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C526-C44C-94FB-02A01E63051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C526-C44C-94FB-02A01E63051E}"/>
                </c:ext>
              </c:extLst>
            </c:dLbl>
            <c:dLbl>
              <c:idx val="15"/>
              <c:layout>
                <c:manualLayout>
                  <c:x val="-2.2141329960256376E-2"/>
                  <c:y val="0.1290751699407419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C526-C44C-94FB-02A01E63051E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C526-C44C-94FB-02A01E63051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6-C526-C44C-94FB-02A01E63051E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C526-C44C-94FB-02A01E63051E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8-C526-C44C-94FB-02A01E63051E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9-C526-C44C-94FB-02A01E63051E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B-C526-C44C-94FB-02A01E63051E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A-C526-C44C-94FB-02A01E63051E}"/>
                </c:ext>
              </c:extLst>
            </c:dLbl>
            <c:dLbl>
              <c:idx val="23"/>
              <c:layout>
                <c:manualLayout>
                  <c:x val="-2.6190953841758374E-2"/>
                  <c:y val="0.1444260187794016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C526-C44C-94FB-02A01E63051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E-C526-C44C-94FB-02A01E63051E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C-C526-C44C-94FB-02A01E63051E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C526-C44C-94FB-02A01E63051E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C526-C44C-94FB-02A01E63051E}"/>
                </c:ext>
              </c:extLst>
            </c:dLbl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200" b="0" i="0" u="none" strike="noStrike" kern="1200" baseline="0">
                    <a:solidFill>
                      <a:schemeClr val="bg1"/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Figure!$A$42:$A$69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Figure!$F$42:$F$69</c:f>
              <c:numCache>
                <c:formatCode>_(* #,##0.00_);_(* \(#,##0.00\);_(* "-"??_);_(@_)</c:formatCode>
                <c:ptCount val="28"/>
                <c:pt idx="0">
                  <c:v>13.95844108430436</c:v>
                </c:pt>
                <c:pt idx="1">
                  <c:v>2.2666923373122834</c:v>
                </c:pt>
                <c:pt idx="2">
                  <c:v>4.9206241519674352</c:v>
                </c:pt>
                <c:pt idx="3">
                  <c:v>1.7083061091146685</c:v>
                </c:pt>
                <c:pt idx="4">
                  <c:v>8.8169704758361807</c:v>
                </c:pt>
                <c:pt idx="5">
                  <c:v>8.3346011047722541</c:v>
                </c:pt>
                <c:pt idx="6">
                  <c:v>8.2738723136267023</c:v>
                </c:pt>
                <c:pt idx="7">
                  <c:v>2.36886816023986</c:v>
                </c:pt>
                <c:pt idx="8">
                  <c:v>13.259394140043039</c:v>
                </c:pt>
                <c:pt idx="9">
                  <c:v>1.0154436170395722</c:v>
                </c:pt>
                <c:pt idx="10">
                  <c:v>8.8725673971575603</c:v>
                </c:pt>
                <c:pt idx="11">
                  <c:v>8.2584410919540225</c:v>
                </c:pt>
                <c:pt idx="12">
                  <c:v>8.301458840784683</c:v>
                </c:pt>
                <c:pt idx="13">
                  <c:v>2.7455108952648732</c:v>
                </c:pt>
                <c:pt idx="14">
                  <c:v>5.1245444978469061</c:v>
                </c:pt>
                <c:pt idx="15">
                  <c:v>20.846153846153847</c:v>
                </c:pt>
                <c:pt idx="16">
                  <c:v>4.5</c:v>
                </c:pt>
                <c:pt idx="17">
                  <c:v>10.853158178873493</c:v>
                </c:pt>
                <c:pt idx="18">
                  <c:v>3.1363636363636362</c:v>
                </c:pt>
                <c:pt idx="19">
                  <c:v>9.0712380952380958</c:v>
                </c:pt>
                <c:pt idx="20">
                  <c:v>6.6631306597671411</c:v>
                </c:pt>
                <c:pt idx="21">
                  <c:v>1.1551339285714286</c:v>
                </c:pt>
                <c:pt idx="22">
                  <c:v>1.0209883103081827</c:v>
                </c:pt>
                <c:pt idx="23">
                  <c:v>21.516129032258064</c:v>
                </c:pt>
                <c:pt idx="24">
                  <c:v>6.3308746048472075</c:v>
                </c:pt>
                <c:pt idx="25">
                  <c:v>6.1652542372881358</c:v>
                </c:pt>
                <c:pt idx="26">
                  <c:v>9.3148148148148149</c:v>
                </c:pt>
                <c:pt idx="27">
                  <c:v>5.9003939039676796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C526-C44C-94FB-02A01E63051E}"/>
            </c:ext>
          </c:extLst>
        </c:ser>
        <c:ser>
          <c:idx val="5"/>
          <c:order val="5"/>
          <c:tx>
            <c:strRef>
              <c:f>Figure!$G$41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4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4-C526-C44C-94FB-02A01E63051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526-C44C-94FB-02A01E63051E}"/>
              </c:ext>
            </c:extLst>
          </c:dPt>
          <c:cat>
            <c:strRef>
              <c:f>Figure!$A$42:$A$69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Figure!$G$42:$G$69</c:f>
              <c:numCache>
                <c:formatCode>_(* #,##0.00_);_(* \(#,##0.00\);_(* "-"??_);_(@_)</c:formatCode>
                <c:ptCount val="28"/>
                <c:pt idx="0">
                  <c:v>11.831817213788067</c:v>
                </c:pt>
                <c:pt idx="1">
                  <c:v>2.0347708894878704</c:v>
                </c:pt>
                <c:pt idx="2">
                  <c:v>3.9598723553947432</c:v>
                </c:pt>
                <c:pt idx="3">
                  <c:v>1.7029157138190134</c:v>
                </c:pt>
                <c:pt idx="4">
                  <c:v>5.9611079170753154</c:v>
                </c:pt>
                <c:pt idx="5">
                  <c:v>6.6386851399076336</c:v>
                </c:pt>
                <c:pt idx="6">
                  <c:v>5.1537432102652918</c:v>
                </c:pt>
                <c:pt idx="7">
                  <c:v>2.1584075955692512</c:v>
                </c:pt>
                <c:pt idx="8">
                  <c:v>11.355735805330243</c:v>
                </c:pt>
                <c:pt idx="9">
                  <c:v>1.0191669389650369</c:v>
                </c:pt>
                <c:pt idx="10">
                  <c:v>5.9641798166388327</c:v>
                </c:pt>
                <c:pt idx="11">
                  <c:v>6.5884518678160919</c:v>
                </c:pt>
                <c:pt idx="12">
                  <c:v>5.1725989366438805</c:v>
                </c:pt>
                <c:pt idx="13">
                  <c:v>2.5617611348967984</c:v>
                </c:pt>
                <c:pt idx="14">
                  <c:v>4.13737523717624</c:v>
                </c:pt>
                <c:pt idx="15">
                  <c:v>17.73076923076923</c:v>
                </c:pt>
                <c:pt idx="16">
                  <c:v>3.9545454545454546</c:v>
                </c:pt>
                <c:pt idx="17">
                  <c:v>9.534640993341732</c:v>
                </c:pt>
                <c:pt idx="18">
                  <c:v>2.7954545454545454</c:v>
                </c:pt>
                <c:pt idx="19">
                  <c:v>6.8994285714285715</c:v>
                </c:pt>
                <c:pt idx="20">
                  <c:v>5.0401034928848638</c:v>
                </c:pt>
                <c:pt idx="21">
                  <c:v>1.1238839285714286</c:v>
                </c:pt>
                <c:pt idx="22">
                  <c:v>0.99123273113708821</c:v>
                </c:pt>
                <c:pt idx="23">
                  <c:v>16.903225806451612</c:v>
                </c:pt>
                <c:pt idx="24">
                  <c:v>5.8177028451001052</c:v>
                </c:pt>
                <c:pt idx="25">
                  <c:v>4.9110169491525424</c:v>
                </c:pt>
                <c:pt idx="26">
                  <c:v>7.5185185185185182</c:v>
                </c:pt>
                <c:pt idx="27">
                  <c:v>5.0309069677068088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C526-C44C-94FB-02A01E630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120351"/>
        <c:axId val="1279538191"/>
      </c:barChart>
      <c:catAx>
        <c:axId val="144112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3600000" spcFirstLastPara="1" vertOverflow="ellipsis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79538191"/>
        <c:crosses val="autoZero"/>
        <c:auto val="1"/>
        <c:lblAlgn val="ctr"/>
        <c:lblOffset val="100"/>
        <c:noMultiLvlLbl val="0"/>
      </c:catAx>
      <c:valAx>
        <c:axId val="1279538191"/>
        <c:scaling>
          <c:orientation val="minMax"/>
          <c:max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Overhead</a:t>
                </a:r>
              </a:p>
              <a:p>
                <a:pPr>
                  <a:defRPr/>
                </a:pPr>
                <a:r>
                  <a:rPr lang="en-US" baseline="0"/>
                  <a:t>Relative to Navive (times)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41120351"/>
        <c:crosses val="autoZero"/>
        <c:crossBetween val="between"/>
        <c:min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532439304461942"/>
          <c:y val="9.2592592592592587E-3"/>
          <c:w val="0.88824898840769906"/>
          <c:h val="0.1504369592689802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Figure!$B$85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Figure!$A$86:$A$113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Figure!$B$86:$B$113</c:f>
              <c:numCache>
                <c:formatCode>_(* #,##0.000_);_(* \(#,##0.000\);_(* "-"??_);_(@_)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C-8940-931A-3060189E4275}"/>
            </c:ext>
          </c:extLst>
        </c:ser>
        <c:ser>
          <c:idx val="1"/>
          <c:order val="1"/>
          <c:tx>
            <c:strRef>
              <c:f>Figure!$C$85</c:f>
              <c:strCache>
                <c:ptCount val="1"/>
                <c:pt idx="0">
                  <c:v>PCCE (CCID Update)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Figure!$A$86:$A$113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Figure!$C$86:$C$113</c:f>
              <c:numCache>
                <c:formatCode>_(* #,##0.000_);_(* \(#,##0.000\);_(* "-"??_);_(@_)</c:formatCode>
                <c:ptCount val="28"/>
                <c:pt idx="0">
                  <c:v>1.0032116002230813</c:v>
                </c:pt>
                <c:pt idx="1">
                  <c:v>1.002810000720513</c:v>
                </c:pt>
                <c:pt idx="2">
                  <c:v>1.0036687729887768</c:v>
                </c:pt>
                <c:pt idx="3">
                  <c:v>1.0047764488720159</c:v>
                </c:pt>
                <c:pt idx="4">
                  <c:v>1.0092776781346813</c:v>
                </c:pt>
                <c:pt idx="5">
                  <c:v>1.0167550265079524</c:v>
                </c:pt>
                <c:pt idx="6">
                  <c:v>1.0260454348140646</c:v>
                </c:pt>
                <c:pt idx="7">
                  <c:v>1.0033162674763527</c:v>
                </c:pt>
                <c:pt idx="8">
                  <c:v>1.0004210368550224</c:v>
                </c:pt>
                <c:pt idx="9">
                  <c:v>1.0004518145258976</c:v>
                </c:pt>
                <c:pt idx="10">
                  <c:v>1.0083256621019445</c:v>
                </c:pt>
                <c:pt idx="11">
                  <c:v>1.0153558052434457</c:v>
                </c:pt>
                <c:pt idx="12">
                  <c:v>1.013550135501355</c:v>
                </c:pt>
                <c:pt idx="13">
                  <c:v>1.0294970989004282</c:v>
                </c:pt>
                <c:pt idx="14">
                  <c:v>1.0097793737615448</c:v>
                </c:pt>
                <c:pt idx="15">
                  <c:v>1.3477611940298508</c:v>
                </c:pt>
                <c:pt idx="16">
                  <c:v>1.0611517719568566</c:v>
                </c:pt>
                <c:pt idx="17">
                  <c:v>1.0001592100638557</c:v>
                </c:pt>
                <c:pt idx="18">
                  <c:v>1.0665547244695466</c:v>
                </c:pt>
                <c:pt idx="19">
                  <c:v>1.014600937565316</c:v>
                </c:pt>
                <c:pt idx="20">
                  <c:v>1.0147182254196643</c:v>
                </c:pt>
                <c:pt idx="21">
                  <c:v>1.0005620243455722</c:v>
                </c:pt>
                <c:pt idx="22">
                  <c:v>1.0004730410578135</c:v>
                </c:pt>
                <c:pt idx="23">
                  <c:v>1.0084151728670001</c:v>
                </c:pt>
                <c:pt idx="24">
                  <c:v>1.0015214995099551</c:v>
                </c:pt>
                <c:pt idx="25">
                  <c:v>1.2969588550983899</c:v>
                </c:pt>
                <c:pt idx="26">
                  <c:v>1.3761801016702977</c:v>
                </c:pt>
                <c:pt idx="27">
                  <c:v>1.0906937681372697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2C-8940-931A-3060189E4275}"/>
            </c:ext>
          </c:extLst>
        </c:ser>
        <c:ser>
          <c:idx val="2"/>
          <c:order val="2"/>
          <c:tx>
            <c:strRef>
              <c:f>Figure!$D$85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Figure!$A$86:$A$113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Figure!$D$86:$D$113</c:f>
              <c:numCache>
                <c:formatCode>_(* #,##0.000_);_(* \(#,##0.000\);_(* "-"??_);_(@_)</c:formatCode>
                <c:ptCount val="28"/>
                <c:pt idx="0">
                  <c:v>1.0029487746559229</c:v>
                </c:pt>
                <c:pt idx="1">
                  <c:v>1.0031702572231429</c:v>
                </c:pt>
                <c:pt idx="2">
                  <c:v>1.0027916627369613</c:v>
                </c:pt>
                <c:pt idx="3">
                  <c:v>1.0038725392249213</c:v>
                </c:pt>
                <c:pt idx="4">
                  <c:v>1.0076716125876406</c:v>
                </c:pt>
                <c:pt idx="5">
                  <c:v>1.015629688906672</c:v>
                </c:pt>
                <c:pt idx="6">
                  <c:v>1.0240196787729707</c:v>
                </c:pt>
                <c:pt idx="7">
                  <c:v>1.0032032129032953</c:v>
                </c:pt>
                <c:pt idx="8">
                  <c:v>1.0003875116721868</c:v>
                </c:pt>
                <c:pt idx="9">
                  <c:v>1.0004324337419448</c:v>
                </c:pt>
                <c:pt idx="10">
                  <c:v>1.0070059387550609</c:v>
                </c:pt>
                <c:pt idx="11">
                  <c:v>1.0150062421972534</c:v>
                </c:pt>
                <c:pt idx="12">
                  <c:v>1.0069890172585936</c:v>
                </c:pt>
                <c:pt idx="13">
                  <c:v>1.0008193784718369</c:v>
                </c:pt>
                <c:pt idx="14">
                  <c:v>1.0066885036996243</c:v>
                </c:pt>
                <c:pt idx="15">
                  <c:v>1.2850746268656716</c:v>
                </c:pt>
                <c:pt idx="16">
                  <c:v>1.0595146379044684</c:v>
                </c:pt>
                <c:pt idx="17">
                  <c:v>1.0001531721572423</c:v>
                </c:pt>
                <c:pt idx="18">
                  <c:v>1.055258739123798</c:v>
                </c:pt>
                <c:pt idx="19">
                  <c:v>1.0135260219163358</c:v>
                </c:pt>
                <c:pt idx="20">
                  <c:v>1.0136091127098321</c:v>
                </c:pt>
                <c:pt idx="21">
                  <c:v>1.0005653303711344</c:v>
                </c:pt>
                <c:pt idx="22">
                  <c:v>1.0004710863426987</c:v>
                </c:pt>
                <c:pt idx="23">
                  <c:v>1.0071191267204556</c:v>
                </c:pt>
                <c:pt idx="24">
                  <c:v>1.0013910059388458</c:v>
                </c:pt>
                <c:pt idx="25">
                  <c:v>1.2719141323792487</c:v>
                </c:pt>
                <c:pt idx="26">
                  <c:v>1.3514887436456064</c:v>
                </c:pt>
                <c:pt idx="27">
                  <c:v>1.0815524328338557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2C-8940-931A-3060189E4275}"/>
            </c:ext>
          </c:extLst>
        </c:ser>
        <c:ser>
          <c:idx val="3"/>
          <c:order val="3"/>
          <c:tx>
            <c:strRef>
              <c:f>Figure!$E$85</c:f>
              <c:strCache>
                <c:ptCount val="1"/>
                <c:pt idx="0">
                  <c:v>PCCE (CCID Update + getCCID)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Figure!$A$86:$A$113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Figure!$E$86:$E$113</c:f>
              <c:numCache>
                <c:formatCode>_(* #,##0.000_);_(* \(#,##0.000\);_(* "-"??_);_(@_)</c:formatCode>
                <c:ptCount val="28"/>
                <c:pt idx="0">
                  <c:v>1.0031731379449604</c:v>
                </c:pt>
                <c:pt idx="1">
                  <c:v>1.0074933352547013</c:v>
                </c:pt>
                <c:pt idx="2">
                  <c:v>1.0089502970857305</c:v>
                </c:pt>
                <c:pt idx="3">
                  <c:v>1.0049762604782158</c:v>
                </c:pt>
                <c:pt idx="4">
                  <c:v>1.0284444806782977</c:v>
                </c:pt>
                <c:pt idx="5">
                  <c:v>1.0483895168550565</c:v>
                </c:pt>
                <c:pt idx="6">
                  <c:v>1.072059036318912</c:v>
                </c:pt>
                <c:pt idx="7">
                  <c:v>1.0040215126701875</c:v>
                </c:pt>
                <c:pt idx="8">
                  <c:v>1.0004427296203864</c:v>
                </c:pt>
                <c:pt idx="9">
                  <c:v>1.0005135907747469</c:v>
                </c:pt>
                <c:pt idx="10">
                  <c:v>1.0275431150358851</c:v>
                </c:pt>
                <c:pt idx="11">
                  <c:v>1.0461423220973782</c:v>
                </c:pt>
                <c:pt idx="12">
                  <c:v>1.0196833547282842</c:v>
                </c:pt>
                <c:pt idx="13">
                  <c:v>1.032522880782142</c:v>
                </c:pt>
                <c:pt idx="14">
                  <c:v>1.0215239857027005</c:v>
                </c:pt>
                <c:pt idx="15">
                  <c:v>1.3350746268656717</c:v>
                </c:pt>
                <c:pt idx="16">
                  <c:v>1.0552773497688752</c:v>
                </c:pt>
                <c:pt idx="17">
                  <c:v>1.0001607989866486</c:v>
                </c:pt>
                <c:pt idx="18">
                  <c:v>1.0654861853152191</c:v>
                </c:pt>
                <c:pt idx="19">
                  <c:v>1.0144516437251798</c:v>
                </c:pt>
                <c:pt idx="20">
                  <c:v>1.0157374100719425</c:v>
                </c:pt>
                <c:pt idx="21">
                  <c:v>1.0005851665245076</c:v>
                </c:pt>
                <c:pt idx="22">
                  <c:v>1.0004857467060606</c:v>
                </c:pt>
                <c:pt idx="23">
                  <c:v>1.0093461355919828</c:v>
                </c:pt>
                <c:pt idx="24">
                  <c:v>1.0014048882336446</c:v>
                </c:pt>
                <c:pt idx="25">
                  <c:v>1.3023255813953489</c:v>
                </c:pt>
                <c:pt idx="26">
                  <c:v>1.3783587509077706</c:v>
                </c:pt>
                <c:pt idx="27">
                  <c:v>1.0899124256208585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2C-8940-931A-3060189E4275}"/>
            </c:ext>
          </c:extLst>
        </c:ser>
        <c:ser>
          <c:idx val="4"/>
          <c:order val="4"/>
          <c:tx>
            <c:strRef>
              <c:f>Figure!$F$85</c:f>
              <c:strCache>
                <c:ptCount val="1"/>
                <c:pt idx="0">
                  <c:v>DCCE (CCID Update + getCCID)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Figure!$A$86:$A$113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Figure!$F$86:$F$113</c:f>
              <c:numCache>
                <c:formatCode>_(* #,##0.000_);_(* \(#,##0.000\);_(* "-"??_);_(@_)</c:formatCode>
                <c:ptCount val="28"/>
                <c:pt idx="0">
                  <c:v>1.002910312377802</c:v>
                </c:pt>
                <c:pt idx="1">
                  <c:v>1.0028340178206883</c:v>
                </c:pt>
                <c:pt idx="2">
                  <c:v>1.0028482504951428</c:v>
                </c:pt>
                <c:pt idx="3">
                  <c:v>1.0039391430936546</c:v>
                </c:pt>
                <c:pt idx="4">
                  <c:v>1.0081852274580141</c:v>
                </c:pt>
                <c:pt idx="5">
                  <c:v>1.016930079023707</c:v>
                </c:pt>
                <c:pt idx="6">
                  <c:v>1.0235855881927363</c:v>
                </c:pt>
                <c:pt idx="7">
                  <c:v>1.0033916371917244</c:v>
                </c:pt>
                <c:pt idx="8">
                  <c:v>1.0004062463331831</c:v>
                </c:pt>
                <c:pt idx="9">
                  <c:v>1.0004045738650129</c:v>
                </c:pt>
                <c:pt idx="10">
                  <c:v>1.0074377000969426</c:v>
                </c:pt>
                <c:pt idx="11">
                  <c:v>1.0151310861423222</c:v>
                </c:pt>
                <c:pt idx="12">
                  <c:v>1.0088432463272001</c:v>
                </c:pt>
                <c:pt idx="13">
                  <c:v>1.0180805132071185</c:v>
                </c:pt>
                <c:pt idx="14">
                  <c:v>1.0081841357978394</c:v>
                </c:pt>
                <c:pt idx="15">
                  <c:v>1.2843283582089553</c:v>
                </c:pt>
                <c:pt idx="16">
                  <c:v>1.0579738058551618</c:v>
                </c:pt>
                <c:pt idx="17">
                  <c:v>1.0001366473601954</c:v>
                </c:pt>
                <c:pt idx="18">
                  <c:v>1.0587696534880171</c:v>
                </c:pt>
                <c:pt idx="19">
                  <c:v>1.0137350332925263</c:v>
                </c:pt>
                <c:pt idx="20">
                  <c:v>1.0142685851318944</c:v>
                </c:pt>
                <c:pt idx="21">
                  <c:v>1.0005377801581161</c:v>
                </c:pt>
                <c:pt idx="22">
                  <c:v>1.0004173316770382</c:v>
                </c:pt>
                <c:pt idx="23">
                  <c:v>1.0080865977875946</c:v>
                </c:pt>
                <c:pt idx="24">
                  <c:v>1.001266065285656</c:v>
                </c:pt>
                <c:pt idx="25">
                  <c:v>1.2653548002385211</c:v>
                </c:pt>
                <c:pt idx="26">
                  <c:v>1.3289760348583879</c:v>
                </c:pt>
                <c:pt idx="27">
                  <c:v>1.0798333317432964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102C-8940-931A-3060189E4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120351"/>
        <c:axId val="1279538191"/>
      </c:barChart>
      <c:catAx>
        <c:axId val="144112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79538191"/>
        <c:crosses val="autoZero"/>
        <c:auto val="1"/>
        <c:lblAlgn val="ctr"/>
        <c:lblOffset val="100"/>
        <c:noMultiLvlLbl val="0"/>
      </c:catAx>
      <c:valAx>
        <c:axId val="1279538191"/>
        <c:scaling>
          <c:orientation val="minMax"/>
          <c:max val="1.100000000000000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Overhead</a:t>
                </a:r>
              </a:p>
              <a:p>
                <a:pPr>
                  <a:defRPr/>
                </a:pPr>
                <a:r>
                  <a:rPr lang="en-US" baseline="0"/>
                  <a:t>Relative to Navive (times)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41120351"/>
        <c:crosses val="autoZero"/>
        <c:crossBetween val="between"/>
        <c:majorUnit val="2.0000000000000004E-2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4329022674249058E-2"/>
          <c:y val="9.2592592592592587E-3"/>
          <c:w val="0.77322498421107633"/>
          <c:h val="0.12445169051124839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Figure!$B$126</c:f>
              <c:strCache>
                <c:ptCount val="1"/>
                <c:pt idx="0">
                  <c:v>Native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Figure!$A$127:$A$154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Figure!$B$127:$B$154</c:f>
              <c:numCache>
                <c:formatCode>_(* #,##0.000_);_(* \(#,##0.000\);_(* "-"??_);_(@_)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8-2C4D-88DD-EC81C417A9E5}"/>
            </c:ext>
          </c:extLst>
        </c:ser>
        <c:ser>
          <c:idx val="1"/>
          <c:order val="1"/>
          <c:tx>
            <c:strRef>
              <c:f>Figure!$C$126</c:f>
              <c:strCache>
                <c:ptCount val="1"/>
                <c:pt idx="0">
                  <c:v>Empty client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Figure!$A$127:$A$154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Figure!$C$127:$C$154</c:f>
              <c:numCache>
                <c:formatCode>_(* #,##0.000_);_(* \(#,##0.000\);_(* "-"??_);_(@_)</c:formatCode>
                <c:ptCount val="28"/>
                <c:pt idx="0">
                  <c:v>1.0122886978595742</c:v>
                </c:pt>
                <c:pt idx="1">
                  <c:v>1.0504599274683575</c:v>
                </c:pt>
                <c:pt idx="2">
                  <c:v>1.2545883240592286</c:v>
                </c:pt>
                <c:pt idx="3">
                  <c:v>1.0173360355474361</c:v>
                </c:pt>
                <c:pt idx="4">
                  <c:v>1.0371107125387249</c:v>
                </c:pt>
                <c:pt idx="5">
                  <c:v>1.0767230169050714</c:v>
                </c:pt>
                <c:pt idx="6">
                  <c:v>3.1156127912024307</c:v>
                </c:pt>
                <c:pt idx="7">
                  <c:v>1.01130007375465</c:v>
                </c:pt>
                <c:pt idx="8">
                  <c:v>1.0018221922905883</c:v>
                </c:pt>
                <c:pt idx="9">
                  <c:v>1.0024916420369203</c:v>
                </c:pt>
                <c:pt idx="10">
                  <c:v>1.0361294632310412</c:v>
                </c:pt>
                <c:pt idx="11">
                  <c:v>1.0748813982521848</c:v>
                </c:pt>
                <c:pt idx="12">
                  <c:v>3.0747396947653689</c:v>
                </c:pt>
                <c:pt idx="13">
                  <c:v>0.99774966039082114</c:v>
                </c:pt>
                <c:pt idx="14">
                  <c:v>1.2210921406382136</c:v>
                </c:pt>
                <c:pt idx="15">
                  <c:v>2.4522388059701492</c:v>
                </c:pt>
                <c:pt idx="16">
                  <c:v>1.2050269645608629</c:v>
                </c:pt>
                <c:pt idx="17">
                  <c:v>1.0006037906613288</c:v>
                </c:pt>
                <c:pt idx="18">
                  <c:v>1.3092657609525262</c:v>
                </c:pt>
                <c:pt idx="19">
                  <c:v>1.056970529395957</c:v>
                </c:pt>
                <c:pt idx="20">
                  <c:v>1.0572242206235012</c:v>
                </c:pt>
                <c:pt idx="21">
                  <c:v>1.0022778516123487</c:v>
                </c:pt>
                <c:pt idx="22">
                  <c:v>1.0019351679637831</c:v>
                </c:pt>
                <c:pt idx="23">
                  <c:v>1.0366908838669635</c:v>
                </c:pt>
                <c:pt idx="24">
                  <c:v>1.0053530128744401</c:v>
                </c:pt>
                <c:pt idx="25">
                  <c:v>2.184257602862254</c:v>
                </c:pt>
                <c:pt idx="26">
                  <c:v>2.494553376906318</c:v>
                </c:pt>
                <c:pt idx="27">
                  <c:v>1.3062139315258672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8-2C4D-88DD-EC81C417A9E5}"/>
            </c:ext>
          </c:extLst>
        </c:ser>
        <c:ser>
          <c:idx val="2"/>
          <c:order val="2"/>
          <c:tx>
            <c:strRef>
              <c:f>Figure!$D$126</c:f>
              <c:strCache>
                <c:ptCount val="1"/>
                <c:pt idx="0">
                  <c:v>DrCCTProf (CCID Update)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Figure!$A$127:$A$154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Figure!$D$127:$D$154</c:f>
              <c:numCache>
                <c:formatCode>_(* #,##0.000_);_(* \(#,##0.000\);_(* "-"??_);_(@_)</c:formatCode>
                <c:ptCount val="28"/>
                <c:pt idx="0">
                  <c:v>1.0897196740962967</c:v>
                </c:pt>
                <c:pt idx="1">
                  <c:v>1.4131421572159377</c:v>
                </c:pt>
                <c:pt idx="2">
                  <c:v>4.3333679147411113</c:v>
                </c:pt>
                <c:pt idx="3">
                  <c:v>1.1249583725820418</c:v>
                </c:pt>
                <c:pt idx="4">
                  <c:v>1.5068481982716453</c:v>
                </c:pt>
                <c:pt idx="5">
                  <c:v>1.7247924377313193</c:v>
                </c:pt>
                <c:pt idx="6">
                  <c:v>12.064824193315005</c:v>
                </c:pt>
                <c:pt idx="7">
                  <c:v>1.0729471173775647</c:v>
                </c:pt>
                <c:pt idx="8">
                  <c:v>1.0136398192401024</c:v>
                </c:pt>
                <c:pt idx="9">
                  <c:v>1.0206853529725277</c:v>
                </c:pt>
                <c:pt idx="10">
                  <c:v>1.5045986656130603</c:v>
                </c:pt>
                <c:pt idx="11">
                  <c:v>1.7218476903870161</c:v>
                </c:pt>
                <c:pt idx="12">
                  <c:v>11.888603622878334</c:v>
                </c:pt>
                <c:pt idx="13">
                  <c:v>1.0024190642591895</c:v>
                </c:pt>
                <c:pt idx="14">
                  <c:v>1.9013094932587031</c:v>
                </c:pt>
                <c:pt idx="15">
                  <c:v>11.72089552238806</c:v>
                </c:pt>
                <c:pt idx="16">
                  <c:v>2.6010208012326657</c:v>
                </c:pt>
                <c:pt idx="17">
                  <c:v>1.0043495172534771</c:v>
                </c:pt>
                <c:pt idx="18">
                  <c:v>3.4536711952373684</c:v>
                </c:pt>
                <c:pt idx="19">
                  <c:v>1.4169776955002837</c:v>
                </c:pt>
                <c:pt idx="20">
                  <c:v>1.41939448441247</c:v>
                </c:pt>
                <c:pt idx="21">
                  <c:v>1.0163857646947325</c:v>
                </c:pt>
                <c:pt idx="22">
                  <c:v>1.0141101110571393</c:v>
                </c:pt>
                <c:pt idx="23">
                  <c:v>2.4192618013216021</c:v>
                </c:pt>
                <c:pt idx="24">
                  <c:v>1.0376404541176274</c:v>
                </c:pt>
                <c:pt idx="25">
                  <c:v>9.8008348240906376</c:v>
                </c:pt>
                <c:pt idx="26">
                  <c:v>11.870007262164124</c:v>
                </c:pt>
                <c:pt idx="27">
                  <c:v>2.5149364170687911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68-2C4D-88DD-EC81C417A9E5}"/>
            </c:ext>
          </c:extLst>
        </c:ser>
        <c:ser>
          <c:idx val="3"/>
          <c:order val="3"/>
          <c:tx>
            <c:strRef>
              <c:f>Figure!$E$126</c:f>
              <c:strCache>
                <c:ptCount val="1"/>
                <c:pt idx="0">
                  <c:v>DCCE (CCID Update)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Figure!$A$127:$A$154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Figure!$E$127:$E$154</c:f>
              <c:numCache>
                <c:formatCode>_(* #,##0.000_);_(* \(#,##0.000\);_(* "-"??_);_(@_)</c:formatCode>
                <c:ptCount val="28"/>
                <c:pt idx="0">
                  <c:v>1.0136797502516075</c:v>
                </c:pt>
                <c:pt idx="1">
                  <c:v>1.0574729207195523</c:v>
                </c:pt>
                <c:pt idx="2">
                  <c:v>1.2635008959728378</c:v>
                </c:pt>
                <c:pt idx="3">
                  <c:v>1.0200097051351582</c:v>
                </c:pt>
                <c:pt idx="4">
                  <c:v>1.0430539703244741</c:v>
                </c:pt>
                <c:pt idx="5">
                  <c:v>1.1052065619685907</c:v>
                </c:pt>
                <c:pt idx="6">
                  <c:v>3.1562726088843873</c:v>
                </c:pt>
                <c:pt idx="7">
                  <c:v>1.0131466317812556</c:v>
                </c:pt>
                <c:pt idx="8">
                  <c:v>1.0020489802921226</c:v>
                </c:pt>
                <c:pt idx="9">
                  <c:v>1.0031275740103687</c:v>
                </c:pt>
                <c:pt idx="10">
                  <c:v>1.0420682182920173</c:v>
                </c:pt>
                <c:pt idx="11">
                  <c:v>1.1035955056179776</c:v>
                </c:pt>
                <c:pt idx="12">
                  <c:v>3.1095421480530594</c:v>
                </c:pt>
                <c:pt idx="13">
                  <c:v>1.0001954055058107</c:v>
                </c:pt>
                <c:pt idx="14">
                  <c:v>1.2308110528355438</c:v>
                </c:pt>
                <c:pt idx="15">
                  <c:v>11.767164179104478</c:v>
                </c:pt>
                <c:pt idx="16">
                  <c:v>2.6050654853620956</c:v>
                </c:pt>
                <c:pt idx="17">
                  <c:v>1.004354284021856</c:v>
                </c:pt>
                <c:pt idx="18">
                  <c:v>3.4643565867806441</c:v>
                </c:pt>
                <c:pt idx="19">
                  <c:v>1.4194858320145711</c:v>
                </c:pt>
                <c:pt idx="20">
                  <c:v>1.4185551558752998</c:v>
                </c:pt>
                <c:pt idx="21">
                  <c:v>1.0163824586691705</c:v>
                </c:pt>
                <c:pt idx="22">
                  <c:v>1.014132590280961</c:v>
                </c:pt>
                <c:pt idx="23">
                  <c:v>2.4225658062867366</c:v>
                </c:pt>
                <c:pt idx="24">
                  <c:v>1.0377653947708172</c:v>
                </c:pt>
                <c:pt idx="25">
                  <c:v>9.818723911747167</c:v>
                </c:pt>
                <c:pt idx="26">
                  <c:v>11.912854030501089</c:v>
                </c:pt>
                <c:pt idx="27">
                  <c:v>2.5184378277716348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68-2C4D-88DD-EC81C417A9E5}"/>
            </c:ext>
          </c:extLst>
        </c:ser>
        <c:ser>
          <c:idx val="4"/>
          <c:order val="4"/>
          <c:tx>
            <c:strRef>
              <c:f>Figure!$F$126</c:f>
              <c:strCache>
                <c:ptCount val="1"/>
                <c:pt idx="0">
                  <c:v>DrCCTProf (CCID Update+getCCID)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Figure!$A$127:$A$154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Figure!$F$127:$F$154</c:f>
              <c:numCache>
                <c:formatCode>_(* #,##0.000_);_(* \(#,##0.000\);_(* "-"??_);_(@_)</c:formatCode>
                <c:ptCount val="28"/>
                <c:pt idx="0">
                  <c:v>1.0898991647275269</c:v>
                </c:pt>
                <c:pt idx="1">
                  <c:v>1.4141508754233014</c:v>
                </c:pt>
                <c:pt idx="2">
                  <c:v>4.3382344619447331</c:v>
                </c:pt>
                <c:pt idx="3">
                  <c:v>1.1257576190068412</c:v>
                </c:pt>
                <c:pt idx="4">
                  <c:v>1.5107125387249307</c:v>
                </c:pt>
                <c:pt idx="5">
                  <c:v>1.7082124637391218</c:v>
                </c:pt>
                <c:pt idx="6">
                  <c:v>12.081319635363913</c:v>
                </c:pt>
                <c:pt idx="7">
                  <c:v>1.0731732265236795</c:v>
                </c:pt>
                <c:pt idx="8">
                  <c:v>1.0137177159884556</c:v>
                </c:pt>
                <c:pt idx="9">
                  <c:v>1.0206514366006105</c:v>
                </c:pt>
                <c:pt idx="10">
                  <c:v>1.5083378817625639</c:v>
                </c:pt>
                <c:pt idx="11">
                  <c:v>1.7057677902621722</c:v>
                </c:pt>
                <c:pt idx="12">
                  <c:v>11.908001711596063</c:v>
                </c:pt>
                <c:pt idx="13">
                  <c:v>1.0034276006084251</c:v>
                </c:pt>
                <c:pt idx="14">
                  <c:v>1.9003548568054989</c:v>
                </c:pt>
                <c:pt idx="15">
                  <c:v>2.5940298507462685</c:v>
                </c:pt>
                <c:pt idx="16">
                  <c:v>1.2327619414483821</c:v>
                </c:pt>
                <c:pt idx="17">
                  <c:v>1.000670207634075</c:v>
                </c:pt>
                <c:pt idx="18">
                  <c:v>1.3417798809342085</c:v>
                </c:pt>
                <c:pt idx="19">
                  <c:v>1.062255531336777</c:v>
                </c:pt>
                <c:pt idx="20">
                  <c:v>1.0627098321342925</c:v>
                </c:pt>
                <c:pt idx="21">
                  <c:v>1.0025665778447799</c:v>
                </c:pt>
                <c:pt idx="22">
                  <c:v>1.0022107827949884</c:v>
                </c:pt>
                <c:pt idx="23">
                  <c:v>1.0426965061516555</c:v>
                </c:pt>
                <c:pt idx="24">
                  <c:v>1.0058055756848829</c:v>
                </c:pt>
                <c:pt idx="25">
                  <c:v>2.2868217054263567</c:v>
                </c:pt>
                <c:pt idx="26">
                  <c:v>2.6412490922294842</c:v>
                </c:pt>
                <c:pt idx="27">
                  <c:v>1.3307751141660851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68-2C4D-88DD-EC81C417A9E5}"/>
            </c:ext>
          </c:extLst>
        </c:ser>
        <c:ser>
          <c:idx val="5"/>
          <c:order val="5"/>
          <c:tx>
            <c:strRef>
              <c:f>Figure!$G$126</c:f>
              <c:strCache>
                <c:ptCount val="1"/>
                <c:pt idx="0">
                  <c:v>DCCE (CCID Update+getCCID)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Figure!$A$127:$A$154</c:f>
              <c:strCache>
                <c:ptCount val="28"/>
                <c:pt idx="0">
                  <c:v>mcf_r</c:v>
                </c:pt>
                <c:pt idx="1">
                  <c:v>namd_r</c:v>
                </c:pt>
                <c:pt idx="2">
                  <c:v>parest_r</c:v>
                </c:pt>
                <c:pt idx="3">
                  <c:v>lbm_r</c:v>
                </c:pt>
                <c:pt idx="4">
                  <c:v>xalancbmk_r</c:v>
                </c:pt>
                <c:pt idx="5">
                  <c:v>x264_r</c:v>
                </c:pt>
                <c:pt idx="6">
                  <c:v>leela_r</c:v>
                </c:pt>
                <c:pt idx="7">
                  <c:v>xz_r</c:v>
                </c:pt>
                <c:pt idx="8">
                  <c:v>mcf_s</c:v>
                </c:pt>
                <c:pt idx="9">
                  <c:v>lbm_s</c:v>
                </c:pt>
                <c:pt idx="10">
                  <c:v>xalancbmk_s</c:v>
                </c:pt>
                <c:pt idx="11">
                  <c:v>x264_s</c:v>
                </c:pt>
                <c:pt idx="12">
                  <c:v>leela_s</c:v>
                </c:pt>
                <c:pt idx="13">
                  <c:v>xz_s</c:v>
                </c:pt>
                <c:pt idx="14">
                  <c:v>goemean - SPEC</c:v>
                </c:pt>
                <c:pt idx="15">
                  <c:v>BARNES</c:v>
                </c:pt>
                <c:pt idx="16">
                  <c:v>CHOLESKY</c:v>
                </c:pt>
                <c:pt idx="17">
                  <c:v>FFT</c:v>
                </c:pt>
                <c:pt idx="18">
                  <c:v>FMM</c:v>
                </c:pt>
                <c:pt idx="19">
                  <c:v>LU-CB</c:v>
                </c:pt>
                <c:pt idx="20">
                  <c:v>LU-NCB</c:v>
                </c:pt>
                <c:pt idx="21">
                  <c:v>OCEAN-CP</c:v>
                </c:pt>
                <c:pt idx="22">
                  <c:v>OCEAN-NCP</c:v>
                </c:pt>
                <c:pt idx="23">
                  <c:v>RADIOSITY</c:v>
                </c:pt>
                <c:pt idx="24">
                  <c:v>RADIX</c:v>
                </c:pt>
                <c:pt idx="25">
                  <c:v>WATER-NSQUARED</c:v>
                </c:pt>
                <c:pt idx="26">
                  <c:v>WATER-SPATIAL</c:v>
                </c:pt>
                <c:pt idx="27">
                  <c:v>geomean - Splash-3</c:v>
                </c:pt>
              </c:strCache>
            </c:strRef>
          </c:cat>
          <c:val>
            <c:numRef>
              <c:f>Figure!$G$127:$G$154</c:f>
              <c:numCache>
                <c:formatCode>_(* #,##0.000_);_(* \(#,##0.000\);_(* "-"??_);_(@_)</c:formatCode>
                <c:ptCount val="28"/>
                <c:pt idx="0">
                  <c:v>1.0138335993640903</c:v>
                </c:pt>
                <c:pt idx="1">
                  <c:v>1.0579052285227082</c:v>
                </c:pt>
                <c:pt idx="2">
                  <c:v>1.2671979628407055</c:v>
                </c:pt>
                <c:pt idx="3">
                  <c:v>1.0197052303066632</c:v>
                </c:pt>
                <c:pt idx="4">
                  <c:v>1.0462824066525354</c:v>
                </c:pt>
                <c:pt idx="5">
                  <c:v>1.1074322296689008</c:v>
                </c:pt>
                <c:pt idx="6">
                  <c:v>3.162349877007669</c:v>
                </c:pt>
                <c:pt idx="7">
                  <c:v>1.0132704534565089</c:v>
                </c:pt>
                <c:pt idx="8">
                  <c:v>1.0020627847791725</c:v>
                </c:pt>
                <c:pt idx="9">
                  <c:v>1.0031929841562091</c:v>
                </c:pt>
                <c:pt idx="10">
                  <c:v>1.0452616229338592</c:v>
                </c:pt>
                <c:pt idx="11">
                  <c:v>1.1058177278401997</c:v>
                </c:pt>
                <c:pt idx="12">
                  <c:v>3.1188132933960917</c:v>
                </c:pt>
                <c:pt idx="13">
                  <c:v>1.001386133984651</c:v>
                </c:pt>
                <c:pt idx="14">
                  <c:v>1.2325397047224376</c:v>
                </c:pt>
                <c:pt idx="15">
                  <c:v>2.5962686567164179</c:v>
                </c:pt>
                <c:pt idx="16">
                  <c:v>1.2331471494607087</c:v>
                </c:pt>
                <c:pt idx="17">
                  <c:v>1.0006689364958405</c:v>
                </c:pt>
                <c:pt idx="18">
                  <c:v>1.343459013891009</c:v>
                </c:pt>
                <c:pt idx="19">
                  <c:v>1.0626735540891583</c:v>
                </c:pt>
                <c:pt idx="20">
                  <c:v>1.0637290167865707</c:v>
                </c:pt>
                <c:pt idx="21">
                  <c:v>1.0025709858788627</c:v>
                </c:pt>
                <c:pt idx="22">
                  <c:v>1.0022186016554482</c:v>
                </c:pt>
                <c:pt idx="23">
                  <c:v>1.0429338103756709</c:v>
                </c:pt>
                <c:pt idx="24">
                  <c:v>1.0058749871588772</c:v>
                </c:pt>
                <c:pt idx="25">
                  <c:v>2.3136553369111508</c:v>
                </c:pt>
                <c:pt idx="26">
                  <c:v>2.6405228758169934</c:v>
                </c:pt>
                <c:pt idx="27">
                  <c:v>1.3324924789728769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68-2C4D-88DD-EC81C417A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1120351"/>
        <c:axId val="1279538191"/>
      </c:barChart>
      <c:catAx>
        <c:axId val="144112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279538191"/>
        <c:crosses val="autoZero"/>
        <c:auto val="1"/>
        <c:lblAlgn val="ctr"/>
        <c:lblOffset val="100"/>
        <c:noMultiLvlLbl val="0"/>
      </c:catAx>
      <c:valAx>
        <c:axId val="1279538191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w Cen MT" panose="020B0602020104020603" pitchFamily="34" charset="77"/>
                    <a:ea typeface="+mn-ea"/>
                    <a:cs typeface="+mn-cs"/>
                  </a:defRPr>
                </a:pPr>
                <a:r>
                  <a:rPr lang="en-US"/>
                  <a:t>Memory</a:t>
                </a:r>
                <a:r>
                  <a:rPr lang="en-US" baseline="0"/>
                  <a:t> Overhead</a:t>
                </a:r>
              </a:p>
              <a:p>
                <a:pPr>
                  <a:defRPr/>
                </a:pPr>
                <a:r>
                  <a:rPr lang="en-US" baseline="0"/>
                  <a:t>Relative to Navive (times)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w Cen MT" panose="020B0602020104020603" pitchFamily="34" charset="77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w Cen MT" panose="020B0602020104020603" pitchFamily="34" charset="77"/>
                <a:ea typeface="+mn-ea"/>
                <a:cs typeface="+mn-cs"/>
              </a:defRPr>
            </a:pPr>
            <a:endParaRPr lang="en-US"/>
          </a:p>
        </c:txPr>
        <c:crossAx val="1441120351"/>
        <c:crosses val="autoZero"/>
        <c:crossBetween val="between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9.4329022674249058E-2"/>
          <c:y val="9.2592592592592587E-3"/>
          <c:w val="0.85321973491157677"/>
          <c:h val="0.12475555568189135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w Cen MT" panose="020B0602020104020603" pitchFamily="34" charset="77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3600">
          <a:latin typeface="Tw Cen MT" panose="020B0602020104020603" pitchFamily="34" charset="77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330200</xdr:colOff>
      <xdr:row>5</xdr:row>
      <xdr:rowOff>215900</xdr:rowOff>
    </xdr:from>
    <xdr:to>
      <xdr:col>19</xdr:col>
      <xdr:colOff>704850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CEB8A-DB87-E9EA-90D8-E52B2D451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1365250</xdr:colOff>
      <xdr:row>7</xdr:row>
      <xdr:rowOff>88900</xdr:rowOff>
    </xdr:from>
    <xdr:to>
      <xdr:col>8</xdr:col>
      <xdr:colOff>558800</xdr:colOff>
      <xdr:row>33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14BF6C-2D16-20A2-4180-D80FCE6E7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1685637</xdr:colOff>
      <xdr:row>48</xdr:row>
      <xdr:rowOff>207819</xdr:rowOff>
    </xdr:from>
    <xdr:to>
      <xdr:col>19</xdr:col>
      <xdr:colOff>1685637</xdr:colOff>
      <xdr:row>68</xdr:row>
      <xdr:rowOff>138546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C521532-B251-9732-6EA0-535232192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1916546</xdr:colOff>
      <xdr:row>63</xdr:row>
      <xdr:rowOff>11545</xdr:rowOff>
    </xdr:from>
    <xdr:to>
      <xdr:col>14</xdr:col>
      <xdr:colOff>1408546</xdr:colOff>
      <xdr:row>82</xdr:row>
      <xdr:rowOff>196274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A0B1740-7DD7-6B49-FBD6-63F8C376F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1477818</xdr:colOff>
      <xdr:row>111</xdr:row>
      <xdr:rowOff>57728</xdr:rowOff>
    </xdr:from>
    <xdr:to>
      <xdr:col>8</xdr:col>
      <xdr:colOff>1674090</xdr:colOff>
      <xdr:row>129</xdr:row>
      <xdr:rowOff>101601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C75D8BB-4B03-95C5-7469-75A2436FC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23</xdr:row>
      <xdr:rowOff>165100</xdr:rowOff>
    </xdr:from>
    <xdr:to>
      <xdr:col>22</xdr:col>
      <xdr:colOff>406400</xdr:colOff>
      <xdr:row>54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DE877F5-F89A-ACE1-99B0-0A6A744C8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2089150</xdr:colOff>
      <xdr:row>13</xdr:row>
      <xdr:rowOff>190500</xdr:rowOff>
    </xdr:from>
    <xdr:to>
      <xdr:col>14</xdr:col>
      <xdr:colOff>635000</xdr:colOff>
      <xdr:row>37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C0B67F-4A38-FEB0-FFE7-435F2FFD5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137584</xdr:colOff>
      <xdr:row>60</xdr:row>
      <xdr:rowOff>25400</xdr:rowOff>
    </xdr:from>
    <xdr:to>
      <xdr:col>16</xdr:col>
      <xdr:colOff>215900</xdr:colOff>
      <xdr:row>81</xdr:row>
      <xdr:rowOff>196850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6D4E43-6496-4E88-148E-2B96A187EB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126999</xdr:colOff>
      <xdr:row>82</xdr:row>
      <xdr:rowOff>118533</xdr:rowOff>
    </xdr:from>
    <xdr:to>
      <xdr:col>16</xdr:col>
      <xdr:colOff>211666</xdr:colOff>
      <xdr:row>97</xdr:row>
      <xdr:rowOff>182034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3B5E27F-A4A5-C0BD-ECDC-9BC3C41A4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742376</xdr:colOff>
      <xdr:row>0</xdr:row>
      <xdr:rowOff>219530</xdr:rowOff>
    </xdr:from>
    <xdr:to>
      <xdr:col>10</xdr:col>
      <xdr:colOff>310576</xdr:colOff>
      <xdr:row>36</xdr:row>
      <xdr:rowOff>219530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8899D-EFB8-8E4A-995C-DB77286D8F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1257452</xdr:colOff>
      <xdr:row>30</xdr:row>
      <xdr:rowOff>81493</xdr:rowOff>
    </xdr:from>
    <xdr:to>
      <xdr:col>7</xdr:col>
      <xdr:colOff>1092200</xdr:colOff>
      <xdr:row>66</xdr:row>
      <xdr:rowOff>81493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1F3EAF-B2DF-C74D-BC5A-A4201BE9A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1409700</xdr:colOff>
      <xdr:row>79</xdr:row>
      <xdr:rowOff>88900</xdr:rowOff>
    </xdr:from>
    <xdr:to>
      <xdr:col>9</xdr:col>
      <xdr:colOff>2146148</xdr:colOff>
      <xdr:row>115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BDA52D-B690-0441-811C-4EF232C77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48683</xdr:colOff>
      <xdr:row>22</xdr:row>
      <xdr:rowOff>206375</xdr:rowOff>
    </xdr:from>
    <xdr:to>
      <xdr:col>28</xdr:col>
      <xdr:colOff>645583</xdr:colOff>
      <xdr:row>59</xdr:row>
      <xdr:rowOff>212725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BADE6-0732-C440-8F98-257F40AD20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347133</xdr:colOff>
      <xdr:row>45</xdr:row>
      <xdr:rowOff>125942</xdr:rowOff>
    </xdr:from>
    <xdr:to>
      <xdr:col>31</xdr:col>
      <xdr:colOff>121708</xdr:colOff>
      <xdr:row>81</xdr:row>
      <xdr:rowOff>125942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1BB322-E4D7-6544-BEBE-F6C3957F3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763664</xdr:colOff>
      <xdr:row>3</xdr:row>
      <xdr:rowOff>208339</xdr:rowOff>
    </xdr:from>
    <xdr:to>
      <xdr:col>10</xdr:col>
      <xdr:colOff>122314</xdr:colOff>
      <xdr:row>40</xdr:row>
      <xdr:rowOff>214689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1292F8-67D8-FC4C-824B-269FEEBC1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817940</xdr:colOff>
      <xdr:row>12</xdr:row>
      <xdr:rowOff>51857</xdr:rowOff>
    </xdr:from>
    <xdr:to>
      <xdr:col>24</xdr:col>
      <xdr:colOff>505127</xdr:colOff>
      <xdr:row>47</xdr:row>
      <xdr:rowOff>139548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F97879-95E8-5044-8317-25244218E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2025646</xdr:colOff>
      <xdr:row>5</xdr:row>
      <xdr:rowOff>6048</xdr:rowOff>
    </xdr:from>
    <xdr:to>
      <xdr:col>12</xdr:col>
      <xdr:colOff>273046</xdr:colOff>
      <xdr:row>39</xdr:row>
      <xdr:rowOff>216505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DA99E-0F1C-AB4E-92B6-D789A2186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1309310</xdr:colOff>
      <xdr:row>47</xdr:row>
      <xdr:rowOff>18141</xdr:rowOff>
    </xdr:from>
    <xdr:to>
      <xdr:col>26</xdr:col>
      <xdr:colOff>322037</xdr:colOff>
      <xdr:row>83</xdr:row>
      <xdr:rowOff>18141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D859AF-F730-324A-ACC6-5E0B5AF5F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437444</xdr:colOff>
      <xdr:row>2</xdr:row>
      <xdr:rowOff>199866</xdr:rowOff>
    </xdr:from>
    <xdr:to>
      <xdr:col>15</xdr:col>
      <xdr:colOff>544816</xdr:colOff>
      <xdr:row>39</xdr:row>
      <xdr:rowOff>51673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E0EEA-5435-DB1D-1822-B655D60BE5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874889</xdr:colOff>
      <xdr:row>36</xdr:row>
      <xdr:rowOff>132260</xdr:rowOff>
    </xdr:from>
    <xdr:to>
      <xdr:col>16</xdr:col>
      <xdr:colOff>503767</xdr:colOff>
      <xdr:row>73</xdr:row>
      <xdr:rowOff>12290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8829FF-E707-734F-B2DB-8325FB5A7C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723900</xdr:colOff>
      <xdr:row>82</xdr:row>
      <xdr:rowOff>0</xdr:rowOff>
    </xdr:from>
    <xdr:to>
      <xdr:col>21</xdr:col>
      <xdr:colOff>1143000</xdr:colOff>
      <xdr:row>118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52BE50-742E-A841-A991-57E4D62F4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1358900</xdr:colOff>
      <xdr:row>113</xdr:row>
      <xdr:rowOff>0</xdr:rowOff>
    </xdr:from>
    <xdr:to>
      <xdr:col>23</xdr:col>
      <xdr:colOff>342900</xdr:colOff>
      <xdr:row>150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208561-4BCE-B842-940C-C2CE31961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84B1-778E-FF4E-B21E-6E3A0225BC34}">
  <dimension ref="A1:G32"/>
  <sheetViews>
    <sheetView workbookViewId="0">
      <selection activeCell="B4" sqref="B4"/>
    </sheetView>
  </sheetViews>
  <sheetFormatPr baseColWidth="10" defaultColWidth="31" defaultRowHeight="18" x14ac:dyDescent="0.2"/>
  <cols>
    <col min="1" max="16384" width="31" style="1"/>
  </cols>
  <sheetData>
    <row r="1" spans="1:7" x14ac:dyDescent="0.2">
      <c r="B1" s="104" t="s">
        <v>0</v>
      </c>
      <c r="C1" s="104"/>
      <c r="D1" s="104"/>
      <c r="E1" s="104" t="s">
        <v>1</v>
      </c>
      <c r="F1" s="104"/>
      <c r="G1" s="104"/>
    </row>
    <row r="2" spans="1:7" x14ac:dyDescent="0.2">
      <c r="A2" s="2"/>
      <c r="B2" s="2" t="s">
        <v>2</v>
      </c>
      <c r="C2" s="2" t="s">
        <v>3</v>
      </c>
      <c r="D2" s="2" t="s">
        <v>4</v>
      </c>
      <c r="E2" s="2" t="s">
        <v>2</v>
      </c>
      <c r="F2" s="2" t="s">
        <v>3</v>
      </c>
      <c r="G2" s="2" t="s">
        <v>4</v>
      </c>
    </row>
    <row r="3" spans="1:7" x14ac:dyDescent="0.2">
      <c r="A3" s="2" t="s">
        <v>5</v>
      </c>
      <c r="B3" s="3">
        <v>101944</v>
      </c>
      <c r="C3" s="3">
        <v>818999</v>
      </c>
      <c r="D3" s="2">
        <f>C3/B3</f>
        <v>8.0338126814721811</v>
      </c>
      <c r="E3" s="3">
        <v>98501</v>
      </c>
      <c r="F3" s="3">
        <v>809954</v>
      </c>
      <c r="G3" s="2">
        <f>F3/E3</f>
        <v>8.2227997685302689</v>
      </c>
    </row>
    <row r="4" spans="1:7" x14ac:dyDescent="0.2">
      <c r="A4" s="4" t="s">
        <v>6</v>
      </c>
      <c r="B4" s="5">
        <v>1142584</v>
      </c>
      <c r="C4" s="5">
        <v>35170</v>
      </c>
      <c r="D4" s="4">
        <f t="shared" ref="D4:D15" si="0">C4/B4</f>
        <v>3.0781106684497597E-2</v>
      </c>
      <c r="E4" s="3">
        <v>1173327</v>
      </c>
      <c r="F4" s="3">
        <v>4494975</v>
      </c>
      <c r="G4" s="2">
        <f t="shared" ref="G4:G15" si="1">F4/E4</f>
        <v>3.8309652807785044</v>
      </c>
    </row>
    <row r="5" spans="1:7" x14ac:dyDescent="0.2">
      <c r="A5" s="2" t="s">
        <v>7</v>
      </c>
      <c r="B5" s="3">
        <v>1802901</v>
      </c>
      <c r="C5" s="3">
        <v>18869877</v>
      </c>
      <c r="D5" s="2">
        <f t="shared" si="0"/>
        <v>10.466396657387177</v>
      </c>
      <c r="E5" s="3">
        <v>1912258</v>
      </c>
      <c r="F5" s="3">
        <v>19082397</v>
      </c>
      <c r="G5" s="2">
        <f t="shared" si="1"/>
        <v>9.9789866220980645</v>
      </c>
    </row>
    <row r="6" spans="1:7" x14ac:dyDescent="0.2">
      <c r="A6" s="2" t="s">
        <v>8</v>
      </c>
      <c r="B6" s="3">
        <v>6461054</v>
      </c>
      <c r="C6" s="3">
        <v>13062885</v>
      </c>
      <c r="D6" s="2">
        <f t="shared" si="0"/>
        <v>2.0217885502891635</v>
      </c>
      <c r="E6" s="3">
        <v>6670799</v>
      </c>
      <c r="F6" s="3">
        <v>13070879</v>
      </c>
      <c r="G6" s="2">
        <f t="shared" si="1"/>
        <v>1.9594173051833821</v>
      </c>
    </row>
    <row r="7" spans="1:7" x14ac:dyDescent="0.2">
      <c r="A7" s="2" t="s">
        <v>9</v>
      </c>
      <c r="B7" s="3">
        <v>2993125</v>
      </c>
      <c r="C7" s="3">
        <v>3129927</v>
      </c>
      <c r="D7" s="2">
        <f t="shared" si="0"/>
        <v>1.0457054082271873</v>
      </c>
      <c r="E7" s="3">
        <v>2873689</v>
      </c>
      <c r="F7" s="3">
        <v>2847569</v>
      </c>
      <c r="G7" s="2">
        <f t="shared" si="1"/>
        <v>0.99091063785955957</v>
      </c>
    </row>
    <row r="8" spans="1:7" x14ac:dyDescent="0.2">
      <c r="A8" s="2" t="s">
        <v>10</v>
      </c>
      <c r="B8" s="3">
        <v>1280684</v>
      </c>
      <c r="C8" s="3">
        <v>12190915</v>
      </c>
      <c r="D8" s="2">
        <f t="shared" si="0"/>
        <v>9.5190655930737016</v>
      </c>
      <c r="E8" s="3">
        <v>1334268</v>
      </c>
      <c r="F8" s="3">
        <v>12345570</v>
      </c>
      <c r="G8" s="2">
        <f t="shared" si="1"/>
        <v>9.2526913633542893</v>
      </c>
    </row>
    <row r="9" spans="1:7" x14ac:dyDescent="0.2">
      <c r="A9" s="2" t="s">
        <v>11</v>
      </c>
      <c r="B9" s="3">
        <v>848168</v>
      </c>
      <c r="C9" s="3">
        <v>6151126</v>
      </c>
      <c r="D9" s="2">
        <f t="shared" si="0"/>
        <v>7.2522495543335754</v>
      </c>
      <c r="E9" s="3">
        <v>808898</v>
      </c>
      <c r="F9" s="3">
        <v>6075869</v>
      </c>
      <c r="G9" s="2">
        <f t="shared" si="1"/>
        <v>7.5112919057779841</v>
      </c>
    </row>
    <row r="10" spans="1:7" x14ac:dyDescent="0.2">
      <c r="A10" s="2" t="s">
        <v>12</v>
      </c>
      <c r="B10" s="3">
        <v>425669</v>
      </c>
      <c r="C10" s="3">
        <v>1545388</v>
      </c>
      <c r="D10" s="2">
        <f t="shared" si="0"/>
        <v>3.6304922369258743</v>
      </c>
      <c r="E10" s="3">
        <v>417002</v>
      </c>
      <c r="F10" s="3">
        <v>1585570</v>
      </c>
      <c r="G10" s="2">
        <f t="shared" si="1"/>
        <v>3.8023079025999875</v>
      </c>
    </row>
    <row r="11" spans="1:7" x14ac:dyDescent="0.2">
      <c r="A11" s="4" t="s">
        <v>13</v>
      </c>
      <c r="B11" s="5">
        <v>1502111</v>
      </c>
      <c r="C11" s="5">
        <v>47107</v>
      </c>
      <c r="D11" s="4">
        <f t="shared" si="0"/>
        <v>3.1360531944709814E-2</v>
      </c>
      <c r="E11" s="3">
        <v>1475028</v>
      </c>
      <c r="F11" s="3">
        <v>6732182</v>
      </c>
      <c r="G11" s="2">
        <f t="shared" si="1"/>
        <v>4.564104545812012</v>
      </c>
    </row>
    <row r="12" spans="1:7" x14ac:dyDescent="0.2">
      <c r="A12" s="2" t="s">
        <v>14</v>
      </c>
      <c r="B12" s="3">
        <v>31466568</v>
      </c>
      <c r="C12" s="3">
        <v>40245088</v>
      </c>
      <c r="D12" s="2">
        <f t="shared" si="0"/>
        <v>1.2789792645959992</v>
      </c>
      <c r="E12" s="3">
        <v>31952506</v>
      </c>
      <c r="F12" s="3">
        <v>40323858</v>
      </c>
      <c r="G12" s="2">
        <f t="shared" si="1"/>
        <v>1.2619935976226715</v>
      </c>
    </row>
    <row r="13" spans="1:7" x14ac:dyDescent="0.2">
      <c r="A13" s="2" t="s">
        <v>15</v>
      </c>
      <c r="B13" s="3">
        <v>1807025</v>
      </c>
      <c r="C13" s="3">
        <v>42216447</v>
      </c>
      <c r="D13" s="2">
        <f t="shared" si="0"/>
        <v>23.362403397850059</v>
      </c>
      <c r="E13" s="3">
        <v>1839930</v>
      </c>
      <c r="F13" s="3">
        <v>41846821</v>
      </c>
      <c r="G13" s="2">
        <f t="shared" si="1"/>
        <v>22.743702749561123</v>
      </c>
    </row>
    <row r="14" spans="1:7" x14ac:dyDescent="0.2">
      <c r="A14" s="2" t="s">
        <v>16</v>
      </c>
      <c r="B14" s="3">
        <v>6162145</v>
      </c>
      <c r="C14" s="3">
        <v>27247050</v>
      </c>
      <c r="D14" s="2">
        <f t="shared" si="0"/>
        <v>4.4216827095110549</v>
      </c>
      <c r="E14" s="3">
        <v>6122347</v>
      </c>
      <c r="F14" s="3">
        <v>26869851</v>
      </c>
      <c r="G14" s="2">
        <f t="shared" si="1"/>
        <v>4.3888154330357292</v>
      </c>
    </row>
    <row r="15" spans="1:7" x14ac:dyDescent="0.2">
      <c r="A15" s="2" t="s">
        <v>17</v>
      </c>
      <c r="B15" s="3">
        <v>20593</v>
      </c>
      <c r="C15" s="3">
        <v>33219</v>
      </c>
      <c r="D15" s="2">
        <f t="shared" si="0"/>
        <v>1.6131209634341768</v>
      </c>
      <c r="E15" s="3">
        <v>20555</v>
      </c>
      <c r="F15" s="3">
        <v>28571</v>
      </c>
      <c r="G15" s="2">
        <f t="shared" si="1"/>
        <v>1.3899781075164193</v>
      </c>
    </row>
    <row r="16" spans="1:7" x14ac:dyDescent="0.2">
      <c r="A16" s="1" t="s">
        <v>18</v>
      </c>
    </row>
    <row r="18" spans="1:3" x14ac:dyDescent="0.2">
      <c r="A18" s="2"/>
      <c r="B18" s="2" t="s">
        <v>19</v>
      </c>
      <c r="C18" s="2" t="s">
        <v>20</v>
      </c>
    </row>
    <row r="19" spans="1:3" x14ac:dyDescent="0.2">
      <c r="A19" s="2" t="s">
        <v>0</v>
      </c>
      <c r="B19" s="2" t="s">
        <v>21</v>
      </c>
      <c r="C19" s="2" t="s">
        <v>21</v>
      </c>
    </row>
    <row r="20" spans="1:3" x14ac:dyDescent="0.2">
      <c r="A20" s="2" t="s">
        <v>5</v>
      </c>
      <c r="B20" s="3">
        <v>473465</v>
      </c>
      <c r="C20" s="3">
        <v>473190</v>
      </c>
    </row>
    <row r="21" spans="1:3" x14ac:dyDescent="0.2">
      <c r="A21" s="2" t="s">
        <v>6</v>
      </c>
      <c r="B21" s="5">
        <v>16777216</v>
      </c>
      <c r="C21" s="3">
        <v>149044545</v>
      </c>
    </row>
    <row r="22" spans="1:3" x14ac:dyDescent="0.2">
      <c r="A22" s="2" t="s">
        <v>7</v>
      </c>
      <c r="B22" s="3">
        <v>7789</v>
      </c>
      <c r="C22" s="3">
        <v>7789</v>
      </c>
    </row>
    <row r="23" spans="1:3" x14ac:dyDescent="0.2">
      <c r="A23" s="2" t="s">
        <v>8</v>
      </c>
      <c r="B23" s="3">
        <v>603451</v>
      </c>
      <c r="C23" s="3">
        <v>603448</v>
      </c>
    </row>
    <row r="24" spans="1:3" x14ac:dyDescent="0.2">
      <c r="A24" s="2" t="s">
        <v>9</v>
      </c>
      <c r="B24" s="3">
        <v>942</v>
      </c>
      <c r="C24" s="3">
        <v>942</v>
      </c>
    </row>
    <row r="25" spans="1:3" x14ac:dyDescent="0.2">
      <c r="A25" s="2" t="s">
        <v>10</v>
      </c>
      <c r="B25" s="3">
        <v>236131</v>
      </c>
      <c r="C25" s="3">
        <v>236113</v>
      </c>
    </row>
    <row r="26" spans="1:3" x14ac:dyDescent="0.2">
      <c r="A26" s="2" t="s">
        <v>11</v>
      </c>
      <c r="B26" s="3">
        <v>155950</v>
      </c>
      <c r="C26" s="3">
        <v>155950</v>
      </c>
    </row>
    <row r="27" spans="1:3" x14ac:dyDescent="0.2">
      <c r="A27" s="2" t="s">
        <v>12</v>
      </c>
      <c r="B27" s="3">
        <v>44151</v>
      </c>
      <c r="C27" s="3">
        <v>44149</v>
      </c>
    </row>
    <row r="28" spans="1:3" x14ac:dyDescent="0.2">
      <c r="A28" s="2" t="s">
        <v>13</v>
      </c>
      <c r="B28" s="5">
        <v>16777216</v>
      </c>
      <c r="C28" s="3">
        <v>2147483647</v>
      </c>
    </row>
    <row r="29" spans="1:3" x14ac:dyDescent="0.2">
      <c r="A29" s="2" t="s">
        <v>14</v>
      </c>
      <c r="B29" s="3">
        <v>49506</v>
      </c>
      <c r="C29" s="3">
        <v>49505</v>
      </c>
    </row>
    <row r="30" spans="1:3" x14ac:dyDescent="0.2">
      <c r="A30" s="2" t="s">
        <v>15</v>
      </c>
      <c r="B30" s="3">
        <v>7860845</v>
      </c>
      <c r="C30" s="3">
        <v>7860845</v>
      </c>
    </row>
    <row r="31" spans="1:3" x14ac:dyDescent="0.2">
      <c r="A31" s="2" t="s">
        <v>16</v>
      </c>
      <c r="B31" s="3">
        <v>7987</v>
      </c>
      <c r="C31" s="3">
        <v>7987</v>
      </c>
    </row>
    <row r="32" spans="1:3" x14ac:dyDescent="0.2">
      <c r="A32" s="2" t="s">
        <v>17</v>
      </c>
      <c r="B32" s="3">
        <v>954</v>
      </c>
      <c r="C32" s="3">
        <v>954</v>
      </c>
    </row>
  </sheetData>
  <mergeCells count="2">
    <mergeCell ref="B1:D1"/>
    <mergeCell ref="E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2EF2-BB69-9D4D-AD17-97320A590628}">
  <dimension ref="A1:J17"/>
  <sheetViews>
    <sheetView zoomScale="120" zoomScaleNormal="120" workbookViewId="0">
      <selection activeCell="C2" sqref="C2:D17"/>
    </sheetView>
  </sheetViews>
  <sheetFormatPr baseColWidth="10" defaultColWidth="11" defaultRowHeight="16" x14ac:dyDescent="0.2"/>
  <cols>
    <col min="1" max="1" width="18" bestFit="1" customWidth="1"/>
    <col min="2" max="2" width="17.5" bestFit="1" customWidth="1"/>
    <col min="3" max="3" width="39.5" customWidth="1"/>
    <col min="4" max="4" width="37.33203125" customWidth="1"/>
    <col min="5" max="5" width="15.6640625" bestFit="1" customWidth="1"/>
  </cols>
  <sheetData>
    <row r="1" spans="1:10" ht="18" x14ac:dyDescent="0.2">
      <c r="B1" s="2" t="s">
        <v>22</v>
      </c>
      <c r="C1" s="2" t="s">
        <v>23</v>
      </c>
      <c r="D1" s="2" t="s">
        <v>24</v>
      </c>
      <c r="E1" s="14" t="s">
        <v>25</v>
      </c>
      <c r="J1" t="s">
        <v>26</v>
      </c>
    </row>
    <row r="2" spans="1:10" ht="18" x14ac:dyDescent="0.2">
      <c r="A2" s="2" t="s">
        <v>27</v>
      </c>
      <c r="B2" s="3"/>
      <c r="C2" s="3">
        <v>16227</v>
      </c>
      <c r="D2" s="3">
        <v>16228</v>
      </c>
      <c r="E2" s="3">
        <v>0</v>
      </c>
    </row>
    <row r="3" spans="1:10" ht="18" x14ac:dyDescent="0.2">
      <c r="A3" s="2" t="s">
        <v>28</v>
      </c>
      <c r="B3" s="3"/>
      <c r="C3" s="3"/>
      <c r="D3" s="3"/>
      <c r="E3" s="3"/>
    </row>
    <row r="4" spans="1:10" ht="18" x14ac:dyDescent="0.2">
      <c r="A4" s="2" t="s">
        <v>29</v>
      </c>
      <c r="B4" s="3"/>
      <c r="C4" s="3"/>
      <c r="D4" s="3"/>
      <c r="E4" s="3"/>
    </row>
    <row r="5" spans="1:10" ht="18" x14ac:dyDescent="0.2">
      <c r="A5" s="2" t="s">
        <v>30</v>
      </c>
      <c r="B5" s="3">
        <v>473190</v>
      </c>
      <c r="C5" s="3">
        <v>3.06981975971586E+81</v>
      </c>
      <c r="D5" s="3">
        <v>1.08198293515357E+65</v>
      </c>
      <c r="E5" s="3">
        <v>11699</v>
      </c>
    </row>
    <row r="6" spans="1:10" ht="18" x14ac:dyDescent="0.2">
      <c r="A6" s="2" t="s">
        <v>31</v>
      </c>
      <c r="B6" s="3">
        <v>149044545</v>
      </c>
      <c r="C6" s="3"/>
      <c r="D6" s="3"/>
      <c r="E6" s="3"/>
    </row>
    <row r="7" spans="1:10" ht="18" x14ac:dyDescent="0.2">
      <c r="A7" s="2" t="s">
        <v>32</v>
      </c>
      <c r="B7" s="3">
        <v>7789</v>
      </c>
      <c r="C7" s="3">
        <v>274</v>
      </c>
      <c r="D7" s="3">
        <v>304</v>
      </c>
      <c r="E7" s="3">
        <v>1</v>
      </c>
    </row>
    <row r="8" spans="1:10" ht="18" x14ac:dyDescent="0.2">
      <c r="A8" s="2" t="s">
        <v>33</v>
      </c>
      <c r="B8" s="3">
        <v>603448</v>
      </c>
      <c r="C8" s="3"/>
      <c r="D8" s="3"/>
      <c r="E8" s="3"/>
    </row>
    <row r="9" spans="1:10" ht="18" x14ac:dyDescent="0.2">
      <c r="A9" s="2" t="s">
        <v>34</v>
      </c>
      <c r="B9" s="3">
        <v>942</v>
      </c>
      <c r="C9" s="3">
        <v>95</v>
      </c>
      <c r="D9" s="3">
        <v>96</v>
      </c>
      <c r="E9" s="3">
        <v>0</v>
      </c>
    </row>
    <row r="10" spans="1:10" ht="18" x14ac:dyDescent="0.2">
      <c r="A10" s="2" t="s">
        <v>35</v>
      </c>
      <c r="B10" s="3">
        <v>236113</v>
      </c>
      <c r="C10" s="3"/>
      <c r="D10" s="3"/>
      <c r="E10" s="3"/>
    </row>
    <row r="11" spans="1:10" ht="18" x14ac:dyDescent="0.2">
      <c r="A11" s="2" t="s">
        <v>36</v>
      </c>
      <c r="B11" s="3">
        <v>155950</v>
      </c>
      <c r="C11" s="3">
        <v>1.25891791780648E+16</v>
      </c>
      <c r="D11" s="3">
        <v>19894985784</v>
      </c>
      <c r="E11" s="3">
        <v>327</v>
      </c>
    </row>
    <row r="12" spans="1:10" ht="18" x14ac:dyDescent="0.2">
      <c r="A12" s="2" t="s">
        <v>37</v>
      </c>
      <c r="B12" s="3">
        <v>44149</v>
      </c>
      <c r="C12" s="3">
        <v>21350563</v>
      </c>
      <c r="D12" s="3">
        <v>21368452</v>
      </c>
      <c r="E12" s="3">
        <v>1</v>
      </c>
    </row>
    <row r="13" spans="1:10" ht="18" x14ac:dyDescent="0.2">
      <c r="A13" s="2" t="s">
        <v>38</v>
      </c>
      <c r="B13" s="3">
        <v>2147483647</v>
      </c>
      <c r="C13" s="3">
        <v>31931071</v>
      </c>
      <c r="D13" s="3">
        <v>219943</v>
      </c>
      <c r="E13" s="3">
        <v>12</v>
      </c>
    </row>
    <row r="14" spans="1:10" ht="18" x14ac:dyDescent="0.2">
      <c r="A14" s="2" t="s">
        <v>39</v>
      </c>
      <c r="B14" s="3">
        <v>49505</v>
      </c>
      <c r="C14" s="3">
        <v>1.63322164404046E+47</v>
      </c>
      <c r="D14" s="3">
        <v>2.56145893539846E+20</v>
      </c>
      <c r="E14" s="3">
        <v>854</v>
      </c>
    </row>
    <row r="15" spans="1:10" ht="18" x14ac:dyDescent="0.2">
      <c r="A15" s="2" t="s">
        <v>40</v>
      </c>
      <c r="B15" s="3">
        <v>7860845</v>
      </c>
      <c r="C15" s="3">
        <v>22464</v>
      </c>
      <c r="D15" s="3">
        <v>17574</v>
      </c>
      <c r="E15" s="3">
        <v>18</v>
      </c>
    </row>
    <row r="16" spans="1:10" ht="18" x14ac:dyDescent="0.2">
      <c r="A16" s="2" t="s">
        <v>41</v>
      </c>
      <c r="B16" s="3">
        <v>7987</v>
      </c>
      <c r="C16" s="3">
        <v>103553</v>
      </c>
      <c r="D16" s="3">
        <v>34703</v>
      </c>
      <c r="E16" s="3">
        <v>24</v>
      </c>
    </row>
    <row r="17" spans="1:5" ht="18" x14ac:dyDescent="0.2">
      <c r="A17" s="2" t="s">
        <v>42</v>
      </c>
      <c r="B17" s="3">
        <v>954</v>
      </c>
      <c r="C17" s="3">
        <v>3666</v>
      </c>
      <c r="D17" s="3">
        <v>3618</v>
      </c>
      <c r="E17" s="3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70B8-7FFF-5742-BC94-044DCFE9B19E}">
  <dimension ref="A1:R59"/>
  <sheetViews>
    <sheetView topLeftCell="A24" workbookViewId="0">
      <selection activeCell="C28" sqref="C28"/>
    </sheetView>
  </sheetViews>
  <sheetFormatPr baseColWidth="10" defaultColWidth="11" defaultRowHeight="16" x14ac:dyDescent="0.2"/>
  <cols>
    <col min="1" max="1" width="3.6640625" bestFit="1" customWidth="1"/>
    <col min="2" max="2" width="17.83203125" bestFit="1" customWidth="1"/>
    <col min="3" max="3" width="14.6640625" bestFit="1" customWidth="1"/>
    <col min="4" max="4" width="8.33203125" bestFit="1" customWidth="1"/>
    <col min="5" max="5" width="17.33203125" bestFit="1" customWidth="1"/>
    <col min="6" max="6" width="15" bestFit="1" customWidth="1"/>
    <col min="7" max="7" width="9.6640625" bestFit="1" customWidth="1"/>
    <col min="8" max="8" width="24" customWidth="1"/>
    <col min="9" max="9" width="16.6640625" bestFit="1" customWidth="1"/>
    <col min="10" max="10" width="9.6640625" bestFit="1" customWidth="1"/>
    <col min="11" max="11" width="17.5" bestFit="1" customWidth="1"/>
    <col min="12" max="12" width="12.6640625" bestFit="1" customWidth="1"/>
    <col min="13" max="13" width="18.5" customWidth="1"/>
    <col min="14" max="14" width="23.6640625" customWidth="1"/>
    <col min="15" max="15" width="9.6640625" bestFit="1" customWidth="1"/>
    <col min="16" max="16" width="11" bestFit="1" customWidth="1"/>
    <col min="17" max="17" width="13.6640625" bestFit="1" customWidth="1"/>
  </cols>
  <sheetData>
    <row r="1" spans="2:17" ht="18" x14ac:dyDescent="0.2">
      <c r="B1" s="6"/>
      <c r="C1" s="6"/>
      <c r="D1" s="8"/>
      <c r="E1" s="109" t="s">
        <v>43</v>
      </c>
      <c r="F1" s="110"/>
      <c r="G1" s="110"/>
      <c r="H1" s="110"/>
      <c r="I1" s="110"/>
      <c r="J1" s="110"/>
      <c r="K1" s="110"/>
      <c r="L1" s="111"/>
      <c r="M1" s="18" t="s">
        <v>44</v>
      </c>
      <c r="N1" s="18" t="s">
        <v>45</v>
      </c>
      <c r="O1" s="112" t="s">
        <v>46</v>
      </c>
      <c r="P1" s="113"/>
      <c r="Q1" s="114"/>
    </row>
    <row r="2" spans="2:17" ht="18" x14ac:dyDescent="0.2">
      <c r="B2" s="6"/>
      <c r="C2" s="6"/>
      <c r="D2" s="8"/>
      <c r="E2" s="117" t="s">
        <v>47</v>
      </c>
      <c r="F2" s="118"/>
      <c r="G2" s="119"/>
      <c r="H2" s="110"/>
      <c r="I2" s="110"/>
      <c r="J2" s="111"/>
      <c r="K2" s="9"/>
      <c r="L2" s="122" t="s">
        <v>48</v>
      </c>
      <c r="M2" s="115" t="s">
        <v>49</v>
      </c>
      <c r="N2" s="115" t="s">
        <v>50</v>
      </c>
      <c r="O2" s="120" t="s">
        <v>47</v>
      </c>
      <c r="P2" s="120" t="s">
        <v>51</v>
      </c>
      <c r="Q2" s="120" t="s">
        <v>52</v>
      </c>
    </row>
    <row r="3" spans="2:17" ht="18" x14ac:dyDescent="0.2">
      <c r="B3" s="6"/>
      <c r="C3" s="8" t="s">
        <v>53</v>
      </c>
      <c r="D3" s="8" t="s">
        <v>54</v>
      </c>
      <c r="E3" s="20" t="s">
        <v>55</v>
      </c>
      <c r="F3" s="10" t="s">
        <v>56</v>
      </c>
      <c r="G3" s="10" t="s">
        <v>57</v>
      </c>
      <c r="H3" s="11" t="s">
        <v>58</v>
      </c>
      <c r="I3" s="11" t="s">
        <v>59</v>
      </c>
      <c r="J3" s="11" t="s">
        <v>57</v>
      </c>
      <c r="K3" s="11" t="s">
        <v>60</v>
      </c>
      <c r="L3" s="123"/>
      <c r="M3" s="116"/>
      <c r="N3" s="116"/>
      <c r="O3" s="121"/>
      <c r="P3" s="121"/>
      <c r="Q3" s="121"/>
    </row>
    <row r="4" spans="2:17" ht="18" x14ac:dyDescent="0.2">
      <c r="B4" s="2" t="s">
        <v>27</v>
      </c>
      <c r="C4" s="8" t="s">
        <v>61</v>
      </c>
      <c r="D4" s="7">
        <v>8</v>
      </c>
      <c r="E4" s="12">
        <f>G4-F4</f>
        <v>118</v>
      </c>
      <c r="F4" s="12">
        <v>29</v>
      </c>
      <c r="G4" s="12">
        <v>147</v>
      </c>
      <c r="H4" s="12">
        <v>83</v>
      </c>
      <c r="I4" s="12">
        <v>1976</v>
      </c>
      <c r="J4" s="12">
        <v>2501</v>
      </c>
      <c r="K4" s="12">
        <v>6</v>
      </c>
      <c r="L4" s="12">
        <v>0</v>
      </c>
      <c r="M4" s="19">
        <v>16227</v>
      </c>
      <c r="N4" s="19">
        <v>16228</v>
      </c>
      <c r="O4" s="13">
        <v>61</v>
      </c>
      <c r="P4" s="13">
        <v>553</v>
      </c>
      <c r="Q4" s="13">
        <v>0</v>
      </c>
    </row>
    <row r="5" spans="2:17" ht="18" x14ac:dyDescent="0.2">
      <c r="B5" s="15" t="s">
        <v>28</v>
      </c>
      <c r="C5" s="16" t="s">
        <v>61</v>
      </c>
      <c r="D5" s="17">
        <v>427</v>
      </c>
      <c r="E5" s="12"/>
      <c r="F5" s="12"/>
      <c r="G5" s="12"/>
      <c r="H5" s="12"/>
      <c r="I5" s="12"/>
      <c r="J5" s="12"/>
      <c r="K5" s="12"/>
      <c r="L5" s="12"/>
      <c r="M5" s="19"/>
      <c r="N5" s="19"/>
      <c r="O5" s="13">
        <v>1315</v>
      </c>
      <c r="P5" s="13">
        <v>15080</v>
      </c>
      <c r="Q5" s="13">
        <v>200</v>
      </c>
    </row>
    <row r="6" spans="2:17" ht="18" x14ac:dyDescent="0.2">
      <c r="B6" s="15" t="s">
        <v>29</v>
      </c>
      <c r="C6" s="16" t="s">
        <v>62</v>
      </c>
      <c r="D6" s="17">
        <v>170</v>
      </c>
      <c r="E6" s="12"/>
      <c r="F6" s="12"/>
      <c r="G6" s="12"/>
      <c r="H6" s="12"/>
      <c r="I6" s="12"/>
      <c r="J6" s="12"/>
      <c r="K6" s="12"/>
      <c r="L6" s="12"/>
      <c r="M6" s="19"/>
      <c r="N6" s="19"/>
      <c r="O6" s="13">
        <v>519</v>
      </c>
      <c r="P6" s="13">
        <v>825</v>
      </c>
      <c r="Q6" s="13">
        <v>2380</v>
      </c>
    </row>
    <row r="7" spans="2:17" ht="18" x14ac:dyDescent="0.2">
      <c r="B7" s="2" t="s">
        <v>30</v>
      </c>
      <c r="C7" s="8" t="s">
        <v>63</v>
      </c>
      <c r="D7" s="3">
        <v>362</v>
      </c>
      <c r="E7" s="12">
        <f t="shared" ref="E7:E19" si="0">G7-F7</f>
        <v>2019</v>
      </c>
      <c r="F7" s="12">
        <v>342</v>
      </c>
      <c r="G7" s="12">
        <v>2361</v>
      </c>
      <c r="H7" s="12">
        <v>44557</v>
      </c>
      <c r="I7" s="12">
        <v>68965</v>
      </c>
      <c r="J7" s="12">
        <v>70468</v>
      </c>
      <c r="K7" s="12">
        <v>326</v>
      </c>
      <c r="L7" s="12">
        <v>11699</v>
      </c>
      <c r="M7" s="19">
        <v>3.06981975971586E+81</v>
      </c>
      <c r="N7" s="19">
        <v>1.08198293515357E+65</v>
      </c>
      <c r="O7" s="13"/>
      <c r="P7" s="13"/>
      <c r="Q7" s="13"/>
    </row>
    <row r="8" spans="2:17" ht="18" x14ac:dyDescent="0.2">
      <c r="B8" s="15" t="s">
        <v>31</v>
      </c>
      <c r="C8" s="16" t="s">
        <v>63</v>
      </c>
      <c r="D8" s="17">
        <v>1304</v>
      </c>
      <c r="E8" s="12"/>
      <c r="F8" s="12"/>
      <c r="G8" s="12"/>
      <c r="H8" s="12"/>
      <c r="I8" s="12"/>
      <c r="J8" s="12"/>
      <c r="K8" s="12"/>
      <c r="L8" s="12"/>
      <c r="M8" s="19"/>
      <c r="N8" s="19"/>
      <c r="O8" s="13">
        <v>19011</v>
      </c>
      <c r="P8" s="13">
        <v>131388</v>
      </c>
      <c r="Q8" s="13">
        <v>28330</v>
      </c>
    </row>
    <row r="9" spans="2:17" ht="18" x14ac:dyDescent="0.2">
      <c r="B9" s="2" t="s">
        <v>32</v>
      </c>
      <c r="C9" s="8" t="s">
        <v>63</v>
      </c>
      <c r="D9" s="3">
        <v>3</v>
      </c>
      <c r="E9" s="12">
        <f t="shared" si="0"/>
        <v>46</v>
      </c>
      <c r="F9" s="12">
        <v>4</v>
      </c>
      <c r="G9" s="12">
        <v>50</v>
      </c>
      <c r="H9" s="12">
        <v>60</v>
      </c>
      <c r="I9" s="12">
        <v>179</v>
      </c>
      <c r="J9" s="12">
        <v>189</v>
      </c>
      <c r="K9" s="12">
        <v>2</v>
      </c>
      <c r="L9" s="12">
        <v>1</v>
      </c>
      <c r="M9" s="19">
        <v>274</v>
      </c>
      <c r="N9" s="19">
        <v>304</v>
      </c>
      <c r="O9" s="13">
        <v>32</v>
      </c>
      <c r="P9" s="13">
        <v>126</v>
      </c>
      <c r="Q9" s="13">
        <v>1</v>
      </c>
    </row>
    <row r="10" spans="2:17" ht="18" x14ac:dyDescent="0.2">
      <c r="B10" s="15" t="s">
        <v>33</v>
      </c>
      <c r="C10" s="16" t="s">
        <v>64</v>
      </c>
      <c r="D10" s="17">
        <v>257</v>
      </c>
      <c r="E10" s="12"/>
      <c r="F10" s="12"/>
      <c r="G10" s="12"/>
      <c r="H10" s="12"/>
      <c r="I10" s="12"/>
      <c r="J10" s="12"/>
      <c r="K10" s="12"/>
      <c r="L10" s="12"/>
      <c r="M10" s="19"/>
      <c r="N10" s="19"/>
      <c r="O10" s="13">
        <v>1048</v>
      </c>
      <c r="P10" s="13">
        <v>22820</v>
      </c>
      <c r="Q10" s="13">
        <v>67</v>
      </c>
    </row>
    <row r="11" spans="2:17" ht="18" x14ac:dyDescent="0.2">
      <c r="B11" s="2" t="s">
        <v>34</v>
      </c>
      <c r="C11" s="8" t="s">
        <v>63</v>
      </c>
      <c r="D11" s="3">
        <v>1</v>
      </c>
      <c r="E11" s="12">
        <f t="shared" si="0"/>
        <v>31</v>
      </c>
      <c r="F11" s="12">
        <v>12</v>
      </c>
      <c r="G11" s="12">
        <v>43</v>
      </c>
      <c r="H11" s="12">
        <v>0</v>
      </c>
      <c r="I11" s="12">
        <v>73</v>
      </c>
      <c r="J11" s="12">
        <v>94</v>
      </c>
      <c r="K11" s="12">
        <v>0</v>
      </c>
      <c r="L11" s="12">
        <v>0</v>
      </c>
      <c r="M11" s="19">
        <v>95</v>
      </c>
      <c r="N11" s="19">
        <v>96</v>
      </c>
      <c r="O11" s="13">
        <v>17</v>
      </c>
      <c r="P11" s="13">
        <v>27</v>
      </c>
      <c r="Q11" s="13">
        <v>0</v>
      </c>
    </row>
    <row r="12" spans="2:17" ht="18" x14ac:dyDescent="0.2">
      <c r="B12" s="15" t="s">
        <v>35</v>
      </c>
      <c r="C12" s="16" t="s">
        <v>61</v>
      </c>
      <c r="D12" s="17">
        <v>134</v>
      </c>
      <c r="E12" s="12"/>
      <c r="F12" s="12"/>
      <c r="G12" s="12"/>
      <c r="H12" s="12"/>
      <c r="I12" s="12"/>
      <c r="J12" s="12"/>
      <c r="K12" s="12"/>
      <c r="L12" s="12"/>
      <c r="M12" s="19"/>
      <c r="N12" s="19"/>
      <c r="O12" s="13"/>
      <c r="P12" s="13"/>
      <c r="Q12" s="13"/>
    </row>
    <row r="13" spans="2:17" ht="18" x14ac:dyDescent="0.2">
      <c r="B13" s="2" t="s">
        <v>36</v>
      </c>
      <c r="C13" s="8" t="s">
        <v>61</v>
      </c>
      <c r="D13" s="3">
        <v>520</v>
      </c>
      <c r="E13" s="12">
        <f t="shared" si="0"/>
        <v>1125</v>
      </c>
      <c r="F13" s="12">
        <v>9351</v>
      </c>
      <c r="G13" s="12">
        <v>10476</v>
      </c>
      <c r="H13" s="12">
        <v>6914</v>
      </c>
      <c r="I13" s="12">
        <v>6245</v>
      </c>
      <c r="J13" s="12">
        <v>54332</v>
      </c>
      <c r="K13" s="12">
        <v>57</v>
      </c>
      <c r="L13" s="12">
        <v>327</v>
      </c>
      <c r="M13" s="19">
        <v>1.25891791780648E+16</v>
      </c>
      <c r="N13" s="19">
        <v>19894985784</v>
      </c>
      <c r="O13" s="13">
        <v>4055</v>
      </c>
      <c r="P13" s="13">
        <v>22848</v>
      </c>
      <c r="Q13" s="13">
        <v>1566</v>
      </c>
    </row>
    <row r="14" spans="2:17" ht="18" x14ac:dyDescent="0.2">
      <c r="B14" s="2" t="s">
        <v>37</v>
      </c>
      <c r="C14" s="8" t="s">
        <v>63</v>
      </c>
      <c r="D14" s="3">
        <v>96</v>
      </c>
      <c r="E14" s="12">
        <f t="shared" si="0"/>
        <v>519</v>
      </c>
      <c r="F14" s="12">
        <v>5</v>
      </c>
      <c r="G14" s="12">
        <v>524</v>
      </c>
      <c r="H14" s="12">
        <v>17731</v>
      </c>
      <c r="I14" s="12">
        <v>21213</v>
      </c>
      <c r="J14" s="12">
        <v>21228</v>
      </c>
      <c r="K14" s="12">
        <v>36</v>
      </c>
      <c r="L14" s="12">
        <v>1</v>
      </c>
      <c r="M14" s="19">
        <v>21350563</v>
      </c>
      <c r="N14" s="19">
        <v>21368452</v>
      </c>
      <c r="O14" s="13">
        <v>367</v>
      </c>
      <c r="P14" s="13">
        <v>2318</v>
      </c>
      <c r="Q14" s="13">
        <v>2</v>
      </c>
    </row>
    <row r="15" spans="2:17" ht="18" x14ac:dyDescent="0.2">
      <c r="B15" s="2" t="s">
        <v>38</v>
      </c>
      <c r="C15" s="8" t="s">
        <v>61</v>
      </c>
      <c r="D15" s="7">
        <v>10</v>
      </c>
      <c r="E15" s="12">
        <f t="shared" si="0"/>
        <v>100</v>
      </c>
      <c r="F15" s="12">
        <v>24</v>
      </c>
      <c r="G15" s="12">
        <v>124</v>
      </c>
      <c r="H15" s="12">
        <v>0</v>
      </c>
      <c r="I15" s="12">
        <v>642</v>
      </c>
      <c r="J15" s="12">
        <v>759</v>
      </c>
      <c r="K15" s="12">
        <v>0</v>
      </c>
      <c r="L15" s="12">
        <v>12</v>
      </c>
      <c r="M15" s="19">
        <v>31931071</v>
      </c>
      <c r="N15" s="19">
        <v>219943</v>
      </c>
      <c r="O15" s="13">
        <v>87</v>
      </c>
      <c r="P15" s="13">
        <v>573</v>
      </c>
      <c r="Q15" s="13">
        <v>12</v>
      </c>
    </row>
    <row r="16" spans="2:17" ht="18" x14ac:dyDescent="0.2">
      <c r="B16" s="2" t="s">
        <v>39</v>
      </c>
      <c r="C16" s="8" t="s">
        <v>63</v>
      </c>
      <c r="D16" s="3">
        <v>259</v>
      </c>
      <c r="E16" s="12">
        <f t="shared" si="0"/>
        <v>1069</v>
      </c>
      <c r="F16" s="12">
        <v>1219</v>
      </c>
      <c r="G16" s="12">
        <v>2288</v>
      </c>
      <c r="H16" s="12">
        <v>545</v>
      </c>
      <c r="I16" s="12">
        <v>21560</v>
      </c>
      <c r="J16" s="12">
        <v>34003</v>
      </c>
      <c r="K16" s="12">
        <v>19</v>
      </c>
      <c r="L16" s="12">
        <v>854</v>
      </c>
      <c r="M16" s="19">
        <v>1.63322164404046E+47</v>
      </c>
      <c r="N16" s="19">
        <v>2.56145893539846E+20</v>
      </c>
      <c r="O16" s="13">
        <v>915</v>
      </c>
      <c r="P16" s="13">
        <v>18864</v>
      </c>
      <c r="Q16" s="13">
        <v>524</v>
      </c>
    </row>
    <row r="17" spans="1:18" ht="18" x14ac:dyDescent="0.2">
      <c r="B17" s="2" t="s">
        <v>40</v>
      </c>
      <c r="C17" s="8" t="s">
        <v>61</v>
      </c>
      <c r="D17" s="3">
        <v>21</v>
      </c>
      <c r="E17" s="12">
        <f t="shared" si="0"/>
        <v>242</v>
      </c>
      <c r="F17" s="12">
        <v>104</v>
      </c>
      <c r="G17" s="12">
        <v>346</v>
      </c>
      <c r="H17" s="12">
        <v>78</v>
      </c>
      <c r="I17" s="12">
        <v>1122</v>
      </c>
      <c r="J17" s="12">
        <v>2072</v>
      </c>
      <c r="K17" s="12">
        <v>1</v>
      </c>
      <c r="L17" s="12">
        <v>18</v>
      </c>
      <c r="M17" s="19">
        <v>22464</v>
      </c>
      <c r="N17" s="19">
        <v>17574</v>
      </c>
      <c r="O17" s="13">
        <v>204</v>
      </c>
      <c r="P17" s="13">
        <v>1013</v>
      </c>
      <c r="Q17" s="13">
        <v>23</v>
      </c>
    </row>
    <row r="18" spans="1:18" ht="18" x14ac:dyDescent="0.2">
      <c r="B18" s="2" t="s">
        <v>41</v>
      </c>
      <c r="C18" s="8" t="s">
        <v>63</v>
      </c>
      <c r="D18" s="3">
        <v>24</v>
      </c>
      <c r="E18" s="12">
        <f t="shared" si="0"/>
        <v>122</v>
      </c>
      <c r="F18" s="12">
        <v>151</v>
      </c>
      <c r="G18" s="12">
        <v>273</v>
      </c>
      <c r="H18" s="12">
        <v>7</v>
      </c>
      <c r="I18" s="12">
        <v>1353</v>
      </c>
      <c r="J18" s="12">
        <v>3010</v>
      </c>
      <c r="K18" s="12">
        <v>1</v>
      </c>
      <c r="L18" s="12">
        <v>24</v>
      </c>
      <c r="M18" s="19">
        <v>103553</v>
      </c>
      <c r="N18" s="19">
        <v>34703</v>
      </c>
      <c r="O18" s="13">
        <v>79</v>
      </c>
      <c r="P18" s="13">
        <v>730</v>
      </c>
      <c r="Q18" s="13">
        <v>25</v>
      </c>
    </row>
    <row r="19" spans="1:18" ht="18" x14ac:dyDescent="0.2">
      <c r="B19" s="2" t="s">
        <v>42</v>
      </c>
      <c r="C19" s="8" t="s">
        <v>63</v>
      </c>
      <c r="D19" s="3">
        <v>33</v>
      </c>
      <c r="E19" s="12">
        <f t="shared" si="0"/>
        <v>160</v>
      </c>
      <c r="F19" s="12">
        <v>193</v>
      </c>
      <c r="G19" s="12">
        <v>353</v>
      </c>
      <c r="H19" s="12">
        <v>97</v>
      </c>
      <c r="I19" s="12">
        <v>561</v>
      </c>
      <c r="J19" s="12">
        <v>1431</v>
      </c>
      <c r="K19" s="12">
        <v>8</v>
      </c>
      <c r="L19" s="12">
        <v>13</v>
      </c>
      <c r="M19" s="19">
        <v>3666</v>
      </c>
      <c r="N19" s="19">
        <v>3618</v>
      </c>
      <c r="O19" s="13">
        <v>149</v>
      </c>
      <c r="P19" s="13">
        <v>359</v>
      </c>
      <c r="Q19" s="13">
        <v>18</v>
      </c>
    </row>
    <row r="23" spans="1:18" x14ac:dyDescent="0.2">
      <c r="B23" t="s">
        <v>65</v>
      </c>
      <c r="C23">
        <f>POWER(2, 64)</f>
        <v>1.8446744073709552E+19</v>
      </c>
      <c r="M23" s="21"/>
    </row>
    <row r="24" spans="1:18" x14ac:dyDescent="0.2">
      <c r="C24" t="s">
        <v>47</v>
      </c>
      <c r="H24" s="22"/>
      <c r="I24" s="105" t="s">
        <v>47</v>
      </c>
      <c r="J24" s="105"/>
      <c r="K24" s="105"/>
      <c r="L24" s="22" t="s">
        <v>51</v>
      </c>
      <c r="M24" s="23"/>
      <c r="N24" s="22"/>
      <c r="O24" s="22"/>
      <c r="P24" s="22"/>
      <c r="Q24" s="22"/>
      <c r="R24" s="22"/>
    </row>
    <row r="25" spans="1:18" x14ac:dyDescent="0.2">
      <c r="B25" t="s">
        <v>66</v>
      </c>
      <c r="E25" t="s">
        <v>57</v>
      </c>
      <c r="H25" s="22"/>
      <c r="I25" s="22" t="s">
        <v>67</v>
      </c>
      <c r="J25" s="22" t="s">
        <v>55</v>
      </c>
      <c r="K25" s="22" t="s">
        <v>68</v>
      </c>
      <c r="L25" s="22" t="s">
        <v>57</v>
      </c>
      <c r="M25" s="23" t="s">
        <v>59</v>
      </c>
      <c r="N25" s="22" t="s">
        <v>69</v>
      </c>
      <c r="O25" s="22" t="s">
        <v>70</v>
      </c>
      <c r="P25" s="22" t="s">
        <v>60</v>
      </c>
      <c r="Q25" s="22" t="s">
        <v>49</v>
      </c>
      <c r="R25" s="22" t="s">
        <v>71</v>
      </c>
    </row>
    <row r="26" spans="1:18" ht="17" customHeight="1" x14ac:dyDescent="0.2">
      <c r="A26" s="106" t="s">
        <v>72</v>
      </c>
      <c r="B26" s="15" t="s">
        <v>73</v>
      </c>
      <c r="H26" s="15" t="s">
        <v>73</v>
      </c>
      <c r="I26" s="22">
        <v>2362</v>
      </c>
      <c r="J26" s="22">
        <v>2026</v>
      </c>
      <c r="K26" s="22">
        <f>I26-J26</f>
        <v>336</v>
      </c>
      <c r="L26" s="22">
        <v>73187</v>
      </c>
      <c r="M26" s="22">
        <v>71717</v>
      </c>
      <c r="N26" s="22">
        <v>46433</v>
      </c>
      <c r="O26" s="22">
        <v>14474</v>
      </c>
      <c r="P26" s="22">
        <v>326</v>
      </c>
      <c r="Q26" s="22">
        <v>7.8777715310521399E+65</v>
      </c>
      <c r="R26" s="22">
        <v>3.72720719823441E+67</v>
      </c>
    </row>
    <row r="27" spans="1:18" ht="18" x14ac:dyDescent="0.2">
      <c r="A27" s="107"/>
      <c r="B27" s="15" t="s">
        <v>74</v>
      </c>
      <c r="H27" s="2" t="s">
        <v>75</v>
      </c>
      <c r="I27" s="22">
        <v>49</v>
      </c>
      <c r="J27" s="22">
        <v>46</v>
      </c>
      <c r="K27" s="22">
        <f t="shared" ref="K27:K45" si="1">I27-J27</f>
        <v>3</v>
      </c>
      <c r="L27" s="22">
        <v>194</v>
      </c>
      <c r="M27" s="22">
        <v>184</v>
      </c>
      <c r="N27" s="22">
        <v>60</v>
      </c>
      <c r="O27" s="22">
        <v>1</v>
      </c>
      <c r="P27" s="22">
        <v>2</v>
      </c>
      <c r="Q27" s="22">
        <v>255</v>
      </c>
      <c r="R27" s="22">
        <v>309</v>
      </c>
    </row>
    <row r="28" spans="1:18" ht="18" x14ac:dyDescent="0.2">
      <c r="A28" s="107"/>
      <c r="B28" s="2" t="s">
        <v>75</v>
      </c>
      <c r="H28" s="2" t="s">
        <v>27</v>
      </c>
      <c r="I28" s="22">
        <v>147</v>
      </c>
      <c r="J28" s="22">
        <v>118</v>
      </c>
      <c r="K28" s="22">
        <f t="shared" si="1"/>
        <v>29</v>
      </c>
      <c r="L28" s="22">
        <v>2501</v>
      </c>
      <c r="M28" s="22">
        <v>1976</v>
      </c>
      <c r="N28" s="22">
        <v>83</v>
      </c>
      <c r="O28" s="22">
        <v>0</v>
      </c>
      <c r="P28" s="22">
        <v>6</v>
      </c>
      <c r="Q28" s="22">
        <v>16227</v>
      </c>
      <c r="R28" s="22">
        <v>16228</v>
      </c>
    </row>
    <row r="29" spans="1:18" ht="18" x14ac:dyDescent="0.2">
      <c r="A29" s="107"/>
      <c r="B29" s="15" t="s">
        <v>76</v>
      </c>
      <c r="H29" s="15" t="s">
        <v>28</v>
      </c>
      <c r="I29" s="22">
        <v>12849</v>
      </c>
      <c r="J29" s="22">
        <v>1297</v>
      </c>
      <c r="K29" s="22">
        <f t="shared" si="1"/>
        <v>11552</v>
      </c>
      <c r="L29" s="22">
        <v>164154</v>
      </c>
      <c r="M29" s="22">
        <v>13531</v>
      </c>
      <c r="N29" s="22">
        <v>3646</v>
      </c>
      <c r="O29" s="22">
        <v>34</v>
      </c>
      <c r="P29" s="22">
        <v>83</v>
      </c>
      <c r="Q29" s="22">
        <v>1595874</v>
      </c>
      <c r="R29" s="22">
        <v>1613309</v>
      </c>
    </row>
    <row r="30" spans="1:18" ht="18" x14ac:dyDescent="0.2">
      <c r="A30" s="107"/>
      <c r="B30" s="2" t="s">
        <v>77</v>
      </c>
      <c r="H30" s="2" t="s">
        <v>78</v>
      </c>
      <c r="I30" s="22">
        <v>32</v>
      </c>
      <c r="J30" s="22">
        <v>30</v>
      </c>
      <c r="K30" s="22">
        <f t="shared" si="1"/>
        <v>2</v>
      </c>
      <c r="L30" s="22">
        <v>73</v>
      </c>
      <c r="M30" s="22">
        <v>67</v>
      </c>
      <c r="N30" s="22">
        <v>0</v>
      </c>
      <c r="O30" s="22">
        <v>0</v>
      </c>
      <c r="P30" s="22">
        <v>0</v>
      </c>
      <c r="Q30" s="22">
        <v>85</v>
      </c>
      <c r="R30" s="22">
        <v>86</v>
      </c>
    </row>
    <row r="31" spans="1:18" ht="18" x14ac:dyDescent="0.2">
      <c r="A31" s="107"/>
      <c r="B31" s="15" t="s">
        <v>79</v>
      </c>
      <c r="H31" s="2" t="s">
        <v>77</v>
      </c>
      <c r="I31" s="22">
        <v>10464</v>
      </c>
      <c r="J31" s="22">
        <v>1154</v>
      </c>
      <c r="K31" s="22">
        <f t="shared" si="1"/>
        <v>9310</v>
      </c>
      <c r="L31" s="22">
        <v>53970</v>
      </c>
      <c r="M31" s="22">
        <v>6272</v>
      </c>
      <c r="N31" s="22">
        <v>911</v>
      </c>
      <c r="O31" s="22">
        <v>341</v>
      </c>
      <c r="P31" s="22">
        <v>57</v>
      </c>
      <c r="Q31" s="22">
        <v>19372811709</v>
      </c>
      <c r="R31" s="22">
        <v>6751104025</v>
      </c>
    </row>
    <row r="32" spans="1:18" ht="18" x14ac:dyDescent="0.2">
      <c r="A32" s="107"/>
      <c r="B32" s="2" t="s">
        <v>80</v>
      </c>
      <c r="H32" s="2" t="s">
        <v>80</v>
      </c>
      <c r="I32" s="22">
        <v>124</v>
      </c>
      <c r="J32" s="22">
        <v>100</v>
      </c>
      <c r="K32" s="22">
        <f t="shared" si="1"/>
        <v>24</v>
      </c>
      <c r="L32" s="22">
        <v>757</v>
      </c>
      <c r="M32" s="22">
        <v>640</v>
      </c>
      <c r="N32" s="22">
        <v>0</v>
      </c>
      <c r="O32" s="22">
        <v>12</v>
      </c>
      <c r="P32" s="22">
        <v>0</v>
      </c>
      <c r="Q32" s="22">
        <v>153231</v>
      </c>
      <c r="R32" s="22">
        <v>206671</v>
      </c>
    </row>
    <row r="33" spans="1:18" ht="18" x14ac:dyDescent="0.2">
      <c r="A33" s="107"/>
      <c r="B33" s="2" t="s">
        <v>81</v>
      </c>
      <c r="H33" s="15" t="s">
        <v>82</v>
      </c>
      <c r="I33" s="22">
        <v>2096</v>
      </c>
      <c r="J33" s="22">
        <v>1072</v>
      </c>
      <c r="K33" s="22">
        <f t="shared" si="1"/>
        <v>1024</v>
      </c>
      <c r="L33" s="22">
        <v>32679</v>
      </c>
      <c r="M33" s="22">
        <v>21980</v>
      </c>
      <c r="N33" s="22">
        <v>920</v>
      </c>
      <c r="O33" s="22">
        <v>667</v>
      </c>
      <c r="P33" s="22">
        <v>21</v>
      </c>
      <c r="Q33" s="22">
        <v>6.2015216856664699E+24</v>
      </c>
      <c r="R33" s="22">
        <v>1.15120292731846E+22</v>
      </c>
    </row>
    <row r="34" spans="1:18" ht="18" x14ac:dyDescent="0.2">
      <c r="A34" s="108"/>
      <c r="B34" s="2" t="s">
        <v>83</v>
      </c>
      <c r="H34" s="2" t="s">
        <v>81</v>
      </c>
      <c r="I34" s="22">
        <v>343</v>
      </c>
      <c r="J34" s="22">
        <v>240</v>
      </c>
      <c r="K34" s="22">
        <f t="shared" si="1"/>
        <v>103</v>
      </c>
      <c r="L34" s="22">
        <v>2080</v>
      </c>
      <c r="M34" s="22">
        <v>1135</v>
      </c>
      <c r="N34" s="22">
        <v>53</v>
      </c>
      <c r="O34" s="22">
        <v>18</v>
      </c>
      <c r="P34" s="22">
        <v>1</v>
      </c>
      <c r="Q34" s="22">
        <v>8864</v>
      </c>
      <c r="R34" s="22">
        <v>18377</v>
      </c>
    </row>
    <row r="35" spans="1:18" ht="17" customHeight="1" x14ac:dyDescent="0.2">
      <c r="A35" s="106" t="s">
        <v>84</v>
      </c>
      <c r="B35" s="2" t="s">
        <v>27</v>
      </c>
      <c r="H35" s="2" t="s">
        <v>85</v>
      </c>
      <c r="I35" s="22">
        <v>255</v>
      </c>
      <c r="J35" s="22">
        <v>115</v>
      </c>
      <c r="K35" s="22">
        <f t="shared" si="1"/>
        <v>140</v>
      </c>
      <c r="L35" s="22">
        <v>2916</v>
      </c>
      <c r="M35" s="22">
        <v>1342</v>
      </c>
      <c r="N35" s="22">
        <v>7</v>
      </c>
      <c r="O35" s="22">
        <v>25</v>
      </c>
      <c r="P35" s="22">
        <v>1</v>
      </c>
      <c r="Q35" s="22">
        <v>33328</v>
      </c>
      <c r="R35" s="22">
        <v>34377</v>
      </c>
    </row>
    <row r="36" spans="1:18" ht="18" x14ac:dyDescent="0.2">
      <c r="A36" s="107"/>
      <c r="B36" s="2" t="s">
        <v>28</v>
      </c>
      <c r="H36" s="2" t="s">
        <v>83</v>
      </c>
      <c r="I36" s="22">
        <v>364</v>
      </c>
      <c r="J36" s="22">
        <v>233</v>
      </c>
      <c r="K36" s="22">
        <f t="shared" si="1"/>
        <v>131</v>
      </c>
      <c r="L36" s="22">
        <v>2032</v>
      </c>
      <c r="M36" s="22">
        <v>1260</v>
      </c>
      <c r="N36" s="22">
        <v>711</v>
      </c>
      <c r="O36" s="22">
        <v>91</v>
      </c>
      <c r="P36" s="22">
        <v>27</v>
      </c>
      <c r="Q36" s="22">
        <v>26403529</v>
      </c>
      <c r="R36" s="22">
        <v>70022394</v>
      </c>
    </row>
    <row r="37" spans="1:18" ht="18" x14ac:dyDescent="0.2">
      <c r="A37" s="107"/>
      <c r="B37" s="15" t="s">
        <v>29</v>
      </c>
      <c r="H37" s="15" t="s">
        <v>30</v>
      </c>
      <c r="I37" s="22">
        <v>2362</v>
      </c>
      <c r="J37" s="22">
        <v>2025</v>
      </c>
      <c r="K37" s="22">
        <f t="shared" si="1"/>
        <v>337</v>
      </c>
      <c r="L37" s="22">
        <v>74823</v>
      </c>
      <c r="M37" s="22">
        <v>73347</v>
      </c>
      <c r="N37" s="22">
        <v>48063</v>
      </c>
      <c r="O37" s="22">
        <v>14976</v>
      </c>
      <c r="P37" s="22">
        <v>326</v>
      </c>
      <c r="Q37" s="22">
        <v>3.7025629983269398E+60</v>
      </c>
      <c r="R37" s="22">
        <v>1.7867622726467999E+67</v>
      </c>
    </row>
    <row r="38" spans="1:18" ht="18" x14ac:dyDescent="0.2">
      <c r="A38" s="107"/>
      <c r="B38" s="2" t="s">
        <v>78</v>
      </c>
      <c r="H38" s="2" t="s">
        <v>32</v>
      </c>
      <c r="I38" s="22">
        <v>49</v>
      </c>
      <c r="J38" s="22">
        <v>46</v>
      </c>
      <c r="K38" s="22">
        <f t="shared" si="1"/>
        <v>3</v>
      </c>
      <c r="L38" s="22">
        <v>194</v>
      </c>
      <c r="M38" s="22">
        <v>184</v>
      </c>
      <c r="N38" s="22">
        <v>60</v>
      </c>
      <c r="O38" s="22">
        <v>1</v>
      </c>
      <c r="P38" s="22">
        <v>2</v>
      </c>
      <c r="Q38" s="22">
        <v>255</v>
      </c>
      <c r="R38" s="22">
        <v>309</v>
      </c>
    </row>
    <row r="39" spans="1:18" ht="18" x14ac:dyDescent="0.2">
      <c r="A39" s="107"/>
      <c r="B39" s="15" t="s">
        <v>86</v>
      </c>
      <c r="H39" s="2" t="s">
        <v>34</v>
      </c>
      <c r="I39" s="22">
        <v>43</v>
      </c>
      <c r="J39" s="22">
        <v>31</v>
      </c>
      <c r="K39" s="22">
        <f t="shared" si="1"/>
        <v>12</v>
      </c>
      <c r="L39" s="22">
        <v>94</v>
      </c>
      <c r="M39" s="22">
        <v>73</v>
      </c>
      <c r="N39" s="22">
        <v>0</v>
      </c>
      <c r="O39" s="22">
        <v>0</v>
      </c>
      <c r="P39" s="22">
        <v>0</v>
      </c>
      <c r="Q39" s="22">
        <v>95</v>
      </c>
      <c r="R39" s="22">
        <v>96</v>
      </c>
    </row>
    <row r="40" spans="1:18" ht="18" x14ac:dyDescent="0.2">
      <c r="A40" s="107"/>
      <c r="B40" s="15" t="s">
        <v>82</v>
      </c>
      <c r="H40" s="2" t="s">
        <v>36</v>
      </c>
      <c r="I40" s="22">
        <v>10465</v>
      </c>
      <c r="J40" s="22">
        <v>1179</v>
      </c>
      <c r="K40" s="22">
        <f t="shared" si="1"/>
        <v>9286</v>
      </c>
      <c r="L40" s="22">
        <v>53831</v>
      </c>
      <c r="M40" s="22">
        <v>6409</v>
      </c>
      <c r="N40" s="22">
        <v>923</v>
      </c>
      <c r="O40" s="22">
        <v>330</v>
      </c>
      <c r="P40" s="22">
        <v>57</v>
      </c>
      <c r="Q40" s="22">
        <v>28828683857</v>
      </c>
      <c r="R40" s="22">
        <v>18686859296</v>
      </c>
    </row>
    <row r="41" spans="1:18" ht="18" x14ac:dyDescent="0.2">
      <c r="A41" s="108"/>
      <c r="B41" s="2" t="s">
        <v>85</v>
      </c>
      <c r="H41" s="2" t="s">
        <v>38</v>
      </c>
      <c r="I41" s="22">
        <v>124</v>
      </c>
      <c r="J41" s="22">
        <v>100</v>
      </c>
      <c r="K41" s="22">
        <f t="shared" si="1"/>
        <v>24</v>
      </c>
      <c r="L41" s="22">
        <v>757</v>
      </c>
      <c r="M41" s="22">
        <v>640</v>
      </c>
      <c r="N41" s="22">
        <v>0</v>
      </c>
      <c r="O41" s="22">
        <v>12</v>
      </c>
      <c r="P41" s="22">
        <v>0</v>
      </c>
      <c r="Q41" s="22">
        <v>153231</v>
      </c>
      <c r="R41" s="22">
        <v>206671</v>
      </c>
    </row>
    <row r="42" spans="1:18" ht="17" customHeight="1" x14ac:dyDescent="0.2">
      <c r="A42" s="106" t="s">
        <v>87</v>
      </c>
      <c r="B42" s="15" t="s">
        <v>30</v>
      </c>
      <c r="H42" s="15" t="s">
        <v>39</v>
      </c>
      <c r="I42" s="22">
        <v>2295</v>
      </c>
      <c r="J42" s="22">
        <v>1085</v>
      </c>
      <c r="K42" s="22">
        <f t="shared" si="1"/>
        <v>1210</v>
      </c>
      <c r="L42" s="22">
        <v>34437</v>
      </c>
      <c r="M42" s="22">
        <v>21969</v>
      </c>
      <c r="N42" s="22">
        <v>737</v>
      </c>
      <c r="O42" s="22">
        <v>615</v>
      </c>
      <c r="P42" s="22">
        <v>21</v>
      </c>
      <c r="Q42" s="22">
        <v>2.3393131707155601E+21</v>
      </c>
      <c r="R42" s="22">
        <v>1.1958196129611E+21</v>
      </c>
    </row>
    <row r="43" spans="1:18" ht="18" x14ac:dyDescent="0.2">
      <c r="A43" s="107"/>
      <c r="B43" s="15" t="s">
        <v>31</v>
      </c>
      <c r="H43" s="2" t="s">
        <v>40</v>
      </c>
      <c r="I43" s="22">
        <v>343</v>
      </c>
      <c r="J43" s="22">
        <v>240</v>
      </c>
      <c r="K43" s="22">
        <f t="shared" si="1"/>
        <v>103</v>
      </c>
      <c r="L43" s="22">
        <v>2080</v>
      </c>
      <c r="M43" s="22">
        <v>1135</v>
      </c>
      <c r="N43" s="22">
        <v>53</v>
      </c>
      <c r="O43" s="22">
        <v>18</v>
      </c>
      <c r="P43" s="22">
        <v>1</v>
      </c>
      <c r="Q43" s="22">
        <v>8864</v>
      </c>
      <c r="R43" s="22">
        <v>18377</v>
      </c>
    </row>
    <row r="44" spans="1:18" ht="18" x14ac:dyDescent="0.2">
      <c r="A44" s="107"/>
      <c r="B44" s="2" t="s">
        <v>32</v>
      </c>
      <c r="H44" s="2" t="s">
        <v>41</v>
      </c>
      <c r="I44" s="22">
        <v>273</v>
      </c>
      <c r="J44" s="22">
        <v>122</v>
      </c>
      <c r="K44" s="22">
        <f t="shared" si="1"/>
        <v>151</v>
      </c>
      <c r="L44" s="22">
        <v>3014</v>
      </c>
      <c r="M44" s="22">
        <v>1358</v>
      </c>
      <c r="N44" s="22">
        <v>7</v>
      </c>
      <c r="O44" s="22">
        <v>24</v>
      </c>
      <c r="P44" s="22">
        <v>1</v>
      </c>
      <c r="Q44" s="22">
        <v>33658</v>
      </c>
      <c r="R44" s="22">
        <v>34706</v>
      </c>
    </row>
    <row r="45" spans="1:18" ht="18" x14ac:dyDescent="0.2">
      <c r="A45" s="107"/>
      <c r="B45" s="15" t="s">
        <v>35</v>
      </c>
      <c r="H45" s="2" t="s">
        <v>42</v>
      </c>
      <c r="I45" s="22">
        <v>375</v>
      </c>
      <c r="J45" s="22">
        <v>232</v>
      </c>
      <c r="K45" s="22">
        <f t="shared" si="1"/>
        <v>143</v>
      </c>
      <c r="L45" s="22">
        <v>2090</v>
      </c>
      <c r="M45" s="22">
        <v>1255</v>
      </c>
      <c r="N45" s="22">
        <v>681</v>
      </c>
      <c r="O45" s="22">
        <v>77</v>
      </c>
      <c r="P45" s="22">
        <v>27</v>
      </c>
      <c r="Q45" s="22">
        <v>13491326</v>
      </c>
      <c r="R45" s="22">
        <v>18576438</v>
      </c>
    </row>
    <row r="46" spans="1:18" ht="18" x14ac:dyDescent="0.2">
      <c r="A46" s="107"/>
      <c r="B46" s="2" t="s">
        <v>36</v>
      </c>
    </row>
    <row r="47" spans="1:18" ht="18" x14ac:dyDescent="0.2">
      <c r="A47" s="107"/>
      <c r="B47" s="15" t="s">
        <v>37</v>
      </c>
    </row>
    <row r="48" spans="1:18" ht="18" x14ac:dyDescent="0.2">
      <c r="A48" s="107"/>
      <c r="B48" s="2" t="s">
        <v>38</v>
      </c>
      <c r="M48" t="s">
        <v>65</v>
      </c>
      <c r="N48">
        <f>POWER(2, 64)</f>
        <v>1.8446744073709552E+19</v>
      </c>
    </row>
    <row r="49" spans="1:9" ht="18" x14ac:dyDescent="0.2">
      <c r="A49" s="107"/>
      <c r="B49" s="2" t="s">
        <v>40</v>
      </c>
    </row>
    <row r="50" spans="1:9" ht="18" x14ac:dyDescent="0.2">
      <c r="A50" s="108"/>
      <c r="B50" s="2" t="s">
        <v>42</v>
      </c>
    </row>
    <row r="51" spans="1:9" ht="17" customHeight="1" x14ac:dyDescent="0.2">
      <c r="A51" s="106" t="s">
        <v>88</v>
      </c>
      <c r="B51" s="2" t="s">
        <v>34</v>
      </c>
    </row>
    <row r="52" spans="1:9" ht="18" x14ac:dyDescent="0.2">
      <c r="A52" s="107"/>
      <c r="B52" s="15" t="s">
        <v>39</v>
      </c>
    </row>
    <row r="53" spans="1:9" ht="18" x14ac:dyDescent="0.2">
      <c r="A53" s="108"/>
      <c r="B53" s="2" t="s">
        <v>41</v>
      </c>
    </row>
    <row r="59" spans="1:9" x14ac:dyDescent="0.2">
      <c r="I59" t="s">
        <v>89</v>
      </c>
    </row>
  </sheetData>
  <mergeCells count="15">
    <mergeCell ref="E1:L1"/>
    <mergeCell ref="O1:Q1"/>
    <mergeCell ref="M2:M3"/>
    <mergeCell ref="N2:N3"/>
    <mergeCell ref="E2:G2"/>
    <mergeCell ref="Q2:Q3"/>
    <mergeCell ref="H2:J2"/>
    <mergeCell ref="L2:L3"/>
    <mergeCell ref="O2:O3"/>
    <mergeCell ref="P2:P3"/>
    <mergeCell ref="I24:K24"/>
    <mergeCell ref="A26:A34"/>
    <mergeCell ref="A35:A41"/>
    <mergeCell ref="A42:A50"/>
    <mergeCell ref="A51:A53"/>
  </mergeCells>
  <conditionalFormatting sqref="Q26:R45">
    <cfRule type="cellIs" dxfId="4" priority="1" operator="greaterThan">
      <formula>$N$48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BD43B-80A0-5243-B8DD-9A0E38426358}">
  <dimension ref="A1:U90"/>
  <sheetViews>
    <sheetView zoomScale="90" zoomScaleNormal="90" workbookViewId="0">
      <selection activeCell="F21" sqref="F21"/>
    </sheetView>
  </sheetViews>
  <sheetFormatPr baseColWidth="10" defaultColWidth="11" defaultRowHeight="16" x14ac:dyDescent="0.2"/>
  <cols>
    <col min="1" max="1" width="10.5" customWidth="1"/>
    <col min="2" max="2" width="18.83203125" bestFit="1" customWidth="1"/>
    <col min="3" max="3" width="17.1640625" bestFit="1" customWidth="1"/>
    <col min="4" max="4" width="53.83203125" bestFit="1" customWidth="1"/>
    <col min="5" max="5" width="20.6640625" bestFit="1" customWidth="1"/>
    <col min="6" max="6" width="23.83203125" bestFit="1" customWidth="1"/>
    <col min="7" max="7" width="27" bestFit="1" customWidth="1"/>
    <col min="8" max="8" width="20.6640625" bestFit="1" customWidth="1"/>
    <col min="9" max="9" width="50.6640625" bestFit="1" customWidth="1"/>
  </cols>
  <sheetData>
    <row r="1" spans="1:21" ht="18" x14ac:dyDescent="0.2">
      <c r="A1" s="24"/>
      <c r="B1" s="25" t="s">
        <v>90</v>
      </c>
      <c r="C1" s="25" t="s">
        <v>53</v>
      </c>
      <c r="D1" s="25" t="s">
        <v>91</v>
      </c>
      <c r="E1" s="25" t="s">
        <v>92</v>
      </c>
      <c r="F1" s="25" t="s">
        <v>93</v>
      </c>
      <c r="G1" s="25" t="s">
        <v>94</v>
      </c>
      <c r="H1" s="25" t="s">
        <v>95</v>
      </c>
      <c r="I1" s="25" t="s">
        <v>96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</row>
    <row r="2" spans="1:21" ht="18" x14ac:dyDescent="0.2">
      <c r="A2" s="124" t="s">
        <v>72</v>
      </c>
      <c r="B2" s="31" t="s">
        <v>73</v>
      </c>
      <c r="C2" s="25" t="s">
        <v>63</v>
      </c>
      <c r="D2" s="37"/>
      <c r="E2" s="25"/>
      <c r="F2" s="31" t="s">
        <v>97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</row>
    <row r="3" spans="1:21" ht="18" x14ac:dyDescent="0.2">
      <c r="A3" s="125"/>
      <c r="B3" s="29" t="s">
        <v>74</v>
      </c>
      <c r="C3" s="26" t="s">
        <v>63</v>
      </c>
      <c r="D3" s="37"/>
      <c r="E3" s="26"/>
      <c r="F3" s="26"/>
      <c r="G3" s="26"/>
      <c r="H3" s="26"/>
      <c r="I3" s="25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</row>
    <row r="4" spans="1:21" ht="18" x14ac:dyDescent="0.2">
      <c r="A4" s="125"/>
      <c r="B4" s="33" t="s">
        <v>75</v>
      </c>
      <c r="C4" s="26" t="s">
        <v>63</v>
      </c>
      <c r="D4" s="37"/>
      <c r="E4" s="26"/>
      <c r="F4" s="26"/>
      <c r="G4" s="26"/>
      <c r="H4" s="26"/>
      <c r="I4" s="26" t="s">
        <v>98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21" ht="18" x14ac:dyDescent="0.2">
      <c r="A5" s="125"/>
      <c r="B5" s="29" t="s">
        <v>76</v>
      </c>
      <c r="C5" s="26" t="s">
        <v>61</v>
      </c>
      <c r="D5" s="37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</row>
    <row r="6" spans="1:21" ht="18" x14ac:dyDescent="0.2">
      <c r="A6" s="125"/>
      <c r="B6" s="26" t="s">
        <v>77</v>
      </c>
      <c r="C6" s="26" t="s">
        <v>61</v>
      </c>
      <c r="D6" s="37"/>
      <c r="E6" s="26" t="s">
        <v>99</v>
      </c>
      <c r="F6" s="26"/>
      <c r="G6" s="26"/>
      <c r="H6" s="26" t="s">
        <v>99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 spans="1:21" ht="18" x14ac:dyDescent="0.2">
      <c r="A7" s="125"/>
      <c r="B7" s="29" t="s">
        <v>79</v>
      </c>
      <c r="C7" s="26" t="s">
        <v>63</v>
      </c>
      <c r="D7" s="37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 spans="1:21" ht="18" x14ac:dyDescent="0.2">
      <c r="A8" s="125"/>
      <c r="B8" s="33" t="s">
        <v>80</v>
      </c>
      <c r="C8" s="26" t="s">
        <v>61</v>
      </c>
      <c r="D8" s="37"/>
      <c r="E8" s="26"/>
      <c r="F8" s="26"/>
      <c r="G8" s="26"/>
      <c r="H8" s="26"/>
      <c r="I8" s="26" t="s">
        <v>98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 spans="1:21" ht="18" x14ac:dyDescent="0.2">
      <c r="A9" s="125"/>
      <c r="B9" s="33" t="s">
        <v>81</v>
      </c>
      <c r="C9" s="26" t="s">
        <v>61</v>
      </c>
      <c r="D9" s="37"/>
      <c r="E9" s="26"/>
      <c r="F9" s="26"/>
      <c r="G9" s="26"/>
      <c r="H9" s="26"/>
      <c r="I9" s="26" t="s">
        <v>98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 spans="1:21" ht="18" x14ac:dyDescent="0.2">
      <c r="A10" s="125"/>
      <c r="B10" s="29" t="s">
        <v>100</v>
      </c>
      <c r="C10" s="29" t="s">
        <v>101</v>
      </c>
      <c r="D10" s="25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</row>
    <row r="11" spans="1:21" ht="18" x14ac:dyDescent="0.2">
      <c r="A11" s="126"/>
      <c r="B11" s="33" t="s">
        <v>83</v>
      </c>
      <c r="C11" s="26" t="s">
        <v>63</v>
      </c>
      <c r="D11" s="37"/>
      <c r="E11" s="26"/>
      <c r="F11" s="26"/>
      <c r="G11" s="26"/>
      <c r="H11" s="26"/>
      <c r="I11" s="26" t="s">
        <v>98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</row>
    <row r="12" spans="1:21" ht="18" x14ac:dyDescent="0.2">
      <c r="A12" s="127" t="s">
        <v>84</v>
      </c>
      <c r="B12" s="29" t="s">
        <v>102</v>
      </c>
      <c r="C12" s="29" t="s">
        <v>101</v>
      </c>
      <c r="D12" s="25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21" ht="18" x14ac:dyDescent="0.2">
      <c r="A13" s="125"/>
      <c r="B13" s="29" t="s">
        <v>103</v>
      </c>
      <c r="C13" s="29" t="s">
        <v>104</v>
      </c>
      <c r="D13" s="25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</row>
    <row r="14" spans="1:21" ht="18" customHeight="1" x14ac:dyDescent="0.2">
      <c r="A14" s="125"/>
      <c r="B14" s="33" t="s">
        <v>27</v>
      </c>
      <c r="C14" s="26" t="s">
        <v>61</v>
      </c>
      <c r="D14" s="37"/>
      <c r="E14" s="26"/>
      <c r="F14" s="26"/>
      <c r="G14" s="26"/>
      <c r="H14" s="26"/>
      <c r="I14" s="26" t="s">
        <v>98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</row>
    <row r="15" spans="1:21" ht="18" x14ac:dyDescent="0.2">
      <c r="A15" s="125"/>
      <c r="B15" s="36" t="s">
        <v>28</v>
      </c>
      <c r="C15" s="26" t="s">
        <v>61</v>
      </c>
      <c r="D15" s="37"/>
      <c r="E15" s="29" t="s">
        <v>105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</row>
    <row r="16" spans="1:21" ht="18" x14ac:dyDescent="0.2">
      <c r="A16" s="125"/>
      <c r="B16" s="29" t="s">
        <v>29</v>
      </c>
      <c r="C16" s="26" t="s">
        <v>106</v>
      </c>
      <c r="D16" s="37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</row>
    <row r="17" spans="1:21" ht="18" x14ac:dyDescent="0.2">
      <c r="A17" s="125"/>
      <c r="B17" s="33" t="s">
        <v>78</v>
      </c>
      <c r="C17" s="26" t="s">
        <v>63</v>
      </c>
      <c r="D17" s="37"/>
      <c r="E17" s="26"/>
      <c r="F17" s="26"/>
      <c r="G17" s="26"/>
      <c r="H17" s="26"/>
      <c r="I17" s="26" t="s">
        <v>98</v>
      </c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</row>
    <row r="18" spans="1:21" ht="18" x14ac:dyDescent="0.2">
      <c r="A18" s="125"/>
      <c r="B18" s="29" t="s">
        <v>107</v>
      </c>
      <c r="C18" s="29" t="s">
        <v>108</v>
      </c>
      <c r="D18" s="25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</row>
    <row r="19" spans="1:21" ht="18" x14ac:dyDescent="0.2">
      <c r="A19" s="125"/>
      <c r="B19" s="29" t="s">
        <v>86</v>
      </c>
      <c r="C19" s="26" t="s">
        <v>106</v>
      </c>
      <c r="D19" s="37"/>
      <c r="E19" s="29" t="s">
        <v>105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1" ht="18" x14ac:dyDescent="0.2">
      <c r="A20" s="125"/>
      <c r="B20" s="29" t="s">
        <v>109</v>
      </c>
      <c r="C20" s="29" t="s">
        <v>108</v>
      </c>
      <c r="D20" s="25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</row>
    <row r="21" spans="1:21" ht="18" x14ac:dyDescent="0.2">
      <c r="A21" s="125"/>
      <c r="B21" s="29" t="s">
        <v>82</v>
      </c>
      <c r="C21" s="26" t="s">
        <v>63</v>
      </c>
      <c r="D21" s="37"/>
      <c r="E21" s="26"/>
      <c r="F21" s="31" t="s">
        <v>97</v>
      </c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</row>
    <row r="22" spans="1:21" ht="18" x14ac:dyDescent="0.2">
      <c r="A22" s="125"/>
      <c r="B22" s="33" t="s">
        <v>85</v>
      </c>
      <c r="C22" s="26" t="s">
        <v>63</v>
      </c>
      <c r="D22" s="37"/>
      <c r="E22" s="26"/>
      <c r="F22" s="26"/>
      <c r="G22" s="26"/>
      <c r="H22" s="26"/>
      <c r="I22" s="26" t="s">
        <v>98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</row>
    <row r="23" spans="1:21" ht="18" x14ac:dyDescent="0.2">
      <c r="A23" s="125"/>
      <c r="B23" s="29" t="s">
        <v>110</v>
      </c>
      <c r="C23" s="29" t="s">
        <v>101</v>
      </c>
      <c r="D23" s="2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</row>
    <row r="24" spans="1:21" ht="18" x14ac:dyDescent="0.2">
      <c r="A24" s="126"/>
      <c r="B24" s="29" t="s">
        <v>111</v>
      </c>
      <c r="C24" s="29" t="s">
        <v>101</v>
      </c>
      <c r="D24" s="25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</row>
    <row r="25" spans="1:21" ht="18" x14ac:dyDescent="0.2">
      <c r="A25" s="127" t="s">
        <v>87</v>
      </c>
      <c r="B25" s="29" t="s">
        <v>30</v>
      </c>
      <c r="C25" s="26" t="s">
        <v>63</v>
      </c>
      <c r="D25" s="25"/>
      <c r="E25" s="26"/>
      <c r="F25" s="31" t="s">
        <v>97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</row>
    <row r="26" spans="1:21" ht="18" x14ac:dyDescent="0.2">
      <c r="A26" s="125"/>
      <c r="B26" s="29" t="s">
        <v>31</v>
      </c>
      <c r="C26" s="26" t="s">
        <v>63</v>
      </c>
      <c r="D26" s="31" t="s">
        <v>112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</row>
    <row r="27" spans="1:21" ht="18" x14ac:dyDescent="0.2">
      <c r="A27" s="125"/>
      <c r="B27" s="33" t="s">
        <v>32</v>
      </c>
      <c r="C27" s="26" t="s">
        <v>63</v>
      </c>
      <c r="D27" s="25"/>
      <c r="E27" s="26"/>
      <c r="F27" s="26"/>
      <c r="G27" s="26"/>
      <c r="H27" s="26"/>
      <c r="I27" s="26" t="s">
        <v>113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</row>
    <row r="28" spans="1:21" ht="18" x14ac:dyDescent="0.2">
      <c r="A28" s="125"/>
      <c r="B28" s="29" t="s">
        <v>35</v>
      </c>
      <c r="C28" s="26" t="s">
        <v>61</v>
      </c>
      <c r="D28" s="31" t="s">
        <v>114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</row>
    <row r="29" spans="1:21" ht="18" x14ac:dyDescent="0.2">
      <c r="A29" s="125"/>
      <c r="B29" s="26" t="s">
        <v>36</v>
      </c>
      <c r="C29" s="26" t="s">
        <v>61</v>
      </c>
      <c r="D29" s="25"/>
      <c r="E29" s="26" t="s">
        <v>99</v>
      </c>
      <c r="F29" s="26"/>
      <c r="G29" s="26"/>
      <c r="H29" s="26" t="s">
        <v>99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</row>
    <row r="30" spans="1:21" ht="18" x14ac:dyDescent="0.2">
      <c r="A30" s="125"/>
      <c r="B30" s="29" t="s">
        <v>37</v>
      </c>
      <c r="C30" s="26" t="s">
        <v>63</v>
      </c>
      <c r="D30" s="31" t="s">
        <v>112</v>
      </c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</row>
    <row r="31" spans="1:21" ht="18" x14ac:dyDescent="0.2">
      <c r="A31" s="125"/>
      <c r="B31" s="33" t="s">
        <v>38</v>
      </c>
      <c r="C31" s="26" t="s">
        <v>61</v>
      </c>
      <c r="D31" s="25"/>
      <c r="E31" s="26"/>
      <c r="F31" s="26"/>
      <c r="G31" s="26"/>
      <c r="H31" s="26"/>
      <c r="I31" s="26" t="s">
        <v>98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</row>
    <row r="32" spans="1:21" ht="18" x14ac:dyDescent="0.2">
      <c r="A32" s="125"/>
      <c r="B32" s="33" t="s">
        <v>40</v>
      </c>
      <c r="C32" s="26" t="s">
        <v>61</v>
      </c>
      <c r="D32" s="25"/>
      <c r="E32" s="26"/>
      <c r="F32" s="26"/>
      <c r="G32" s="26"/>
      <c r="H32" s="26"/>
      <c r="I32" s="26" t="s">
        <v>98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</row>
    <row r="33" spans="1:21" ht="18" x14ac:dyDescent="0.2">
      <c r="A33" s="125"/>
      <c r="B33" s="29" t="s">
        <v>115</v>
      </c>
      <c r="C33" s="29" t="s">
        <v>101</v>
      </c>
      <c r="D33" s="25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</row>
    <row r="34" spans="1:21" ht="18" x14ac:dyDescent="0.2">
      <c r="A34" s="125"/>
      <c r="B34" s="34" t="s">
        <v>42</v>
      </c>
      <c r="C34" s="27" t="s">
        <v>63</v>
      </c>
      <c r="D34" s="25"/>
      <c r="E34" s="27"/>
      <c r="F34" s="27"/>
      <c r="G34" s="27"/>
      <c r="H34" s="27"/>
      <c r="I34" s="26" t="s">
        <v>113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  <row r="35" spans="1:21" ht="18" customHeight="1" x14ac:dyDescent="0.2">
      <c r="A35" s="128" t="s">
        <v>88</v>
      </c>
      <c r="B35" s="30" t="s">
        <v>116</v>
      </c>
      <c r="C35" s="30" t="s">
        <v>101</v>
      </c>
      <c r="D35" s="2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6" spans="1:21" ht="18" x14ac:dyDescent="0.2">
      <c r="A36" s="128"/>
      <c r="B36" s="30" t="s">
        <v>33</v>
      </c>
      <c r="C36" s="30" t="s">
        <v>104</v>
      </c>
      <c r="D36" s="25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spans="1:21" ht="18" x14ac:dyDescent="0.2">
      <c r="A37" s="128"/>
      <c r="B37" s="35" t="s">
        <v>34</v>
      </c>
      <c r="C37" s="28" t="s">
        <v>63</v>
      </c>
      <c r="D37" s="25"/>
      <c r="E37" s="28"/>
      <c r="F37" s="28"/>
      <c r="G37" s="28"/>
      <c r="H37" s="28"/>
      <c r="I37" s="26" t="s">
        <v>98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8" x14ac:dyDescent="0.2">
      <c r="A38" s="128"/>
      <c r="B38" s="30" t="s">
        <v>117</v>
      </c>
      <c r="C38" s="30" t="s">
        <v>108</v>
      </c>
      <c r="D38" s="25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8" x14ac:dyDescent="0.2">
      <c r="A39" s="128"/>
      <c r="B39" s="30" t="s">
        <v>118</v>
      </c>
      <c r="C39" s="30" t="s">
        <v>108</v>
      </c>
      <c r="D39" s="25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  <row r="40" spans="1:21" ht="18" x14ac:dyDescent="0.2">
      <c r="A40" s="128"/>
      <c r="B40" s="30" t="s">
        <v>119</v>
      </c>
      <c r="C40" s="30" t="s">
        <v>108</v>
      </c>
      <c r="D40" s="25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</row>
    <row r="41" spans="1:21" ht="18" x14ac:dyDescent="0.2">
      <c r="A41" s="128"/>
      <c r="B41" s="30" t="s">
        <v>39</v>
      </c>
      <c r="C41" s="28" t="s">
        <v>63</v>
      </c>
      <c r="D41" s="25"/>
      <c r="E41" s="28"/>
      <c r="F41" s="31" t="s">
        <v>97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</row>
    <row r="42" spans="1:21" ht="18" x14ac:dyDescent="0.2">
      <c r="A42" s="128"/>
      <c r="B42" s="35" t="s">
        <v>41</v>
      </c>
      <c r="C42" s="28" t="s">
        <v>63</v>
      </c>
      <c r="D42" s="25"/>
      <c r="E42" s="28"/>
      <c r="F42" s="28"/>
      <c r="G42" s="28"/>
      <c r="H42" s="28"/>
      <c r="I42" s="26" t="s">
        <v>113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</row>
    <row r="43" spans="1:21" ht="18" x14ac:dyDescent="0.2">
      <c r="A43" s="128"/>
      <c r="B43" s="30" t="s">
        <v>120</v>
      </c>
      <c r="C43" s="30" t="s">
        <v>101</v>
      </c>
      <c r="D43" s="25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</row>
    <row r="44" spans="1:21" ht="18" x14ac:dyDescent="0.2">
      <c r="A44" s="128"/>
      <c r="B44" s="30" t="s">
        <v>121</v>
      </c>
      <c r="C44" s="30" t="s">
        <v>101</v>
      </c>
      <c r="D44" s="25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51" spans="1:6" x14ac:dyDescent="0.2">
      <c r="A51" s="22" t="s">
        <v>122</v>
      </c>
      <c r="B51" s="22" t="s">
        <v>123</v>
      </c>
      <c r="C51" s="22" t="s">
        <v>124</v>
      </c>
      <c r="D51" s="22" t="s">
        <v>125</v>
      </c>
      <c r="E51" s="22" t="s">
        <v>126</v>
      </c>
      <c r="F51" s="32" t="s">
        <v>127</v>
      </c>
    </row>
    <row r="52" spans="1:6" ht="18" x14ac:dyDescent="0.2">
      <c r="A52" s="2" t="s">
        <v>75</v>
      </c>
      <c r="B52" s="22" t="s">
        <v>128</v>
      </c>
      <c r="C52" s="22" t="s">
        <v>128</v>
      </c>
      <c r="D52" s="22" t="s">
        <v>128</v>
      </c>
      <c r="E52" s="22" t="s">
        <v>128</v>
      </c>
    </row>
    <row r="53" spans="1:6" ht="18" x14ac:dyDescent="0.2">
      <c r="A53" s="2" t="s">
        <v>27</v>
      </c>
      <c r="B53" s="22" t="s">
        <v>128</v>
      </c>
      <c r="C53" s="22" t="s">
        <v>128</v>
      </c>
      <c r="D53" s="22" t="s">
        <v>128</v>
      </c>
      <c r="E53" s="22" t="s">
        <v>128</v>
      </c>
    </row>
    <row r="54" spans="1:6" ht="18" x14ac:dyDescent="0.2">
      <c r="A54" s="2" t="s">
        <v>78</v>
      </c>
      <c r="B54" s="22" t="s">
        <v>128</v>
      </c>
      <c r="C54" s="22" t="s">
        <v>128</v>
      </c>
      <c r="D54" s="22" t="s">
        <v>128</v>
      </c>
      <c r="E54" s="22" t="s">
        <v>128</v>
      </c>
    </row>
    <row r="55" spans="1:6" ht="18" x14ac:dyDescent="0.2">
      <c r="A55" s="2" t="s">
        <v>77</v>
      </c>
      <c r="B55" s="22" t="s">
        <v>128</v>
      </c>
      <c r="C55" s="22" t="s">
        <v>128</v>
      </c>
      <c r="D55" s="22" t="s">
        <v>128</v>
      </c>
      <c r="E55" s="22" t="s">
        <v>128</v>
      </c>
    </row>
    <row r="56" spans="1:6" ht="18" x14ac:dyDescent="0.2">
      <c r="A56" s="2" t="s">
        <v>80</v>
      </c>
      <c r="B56" s="22" t="s">
        <v>128</v>
      </c>
      <c r="C56" s="22" t="s">
        <v>128</v>
      </c>
      <c r="D56" s="22" t="s">
        <v>128</v>
      </c>
      <c r="E56" s="22" t="s">
        <v>128</v>
      </c>
    </row>
    <row r="57" spans="1:6" ht="18" x14ac:dyDescent="0.2">
      <c r="A57" s="2" t="s">
        <v>81</v>
      </c>
      <c r="B57" s="22" t="s">
        <v>128</v>
      </c>
      <c r="C57" s="22" t="s">
        <v>128</v>
      </c>
      <c r="D57" s="22" t="s">
        <v>128</v>
      </c>
      <c r="E57" s="22" t="s">
        <v>128</v>
      </c>
    </row>
    <row r="58" spans="1:6" ht="18" x14ac:dyDescent="0.2">
      <c r="A58" s="2" t="s">
        <v>85</v>
      </c>
      <c r="B58" s="22" t="s">
        <v>128</v>
      </c>
      <c r="C58" s="22" t="s">
        <v>128</v>
      </c>
      <c r="D58" s="22" t="s">
        <v>128</v>
      </c>
      <c r="E58" s="22" t="s">
        <v>128</v>
      </c>
    </row>
    <row r="59" spans="1:6" ht="18" x14ac:dyDescent="0.2">
      <c r="A59" s="2" t="s">
        <v>83</v>
      </c>
      <c r="B59" s="22" t="s">
        <v>128</v>
      </c>
      <c r="C59" s="22" t="s">
        <v>128</v>
      </c>
      <c r="D59" s="22" t="s">
        <v>128</v>
      </c>
      <c r="E59" s="22" t="s">
        <v>128</v>
      </c>
    </row>
    <row r="60" spans="1:6" ht="18" x14ac:dyDescent="0.2">
      <c r="A60" s="2" t="s">
        <v>32</v>
      </c>
      <c r="B60" s="22" t="s">
        <v>128</v>
      </c>
      <c r="C60" s="22" t="s">
        <v>128</v>
      </c>
      <c r="D60" s="22" t="s">
        <v>128</v>
      </c>
      <c r="E60" s="22" t="s">
        <v>128</v>
      </c>
    </row>
    <row r="61" spans="1:6" ht="18" x14ac:dyDescent="0.2">
      <c r="A61" s="2" t="s">
        <v>34</v>
      </c>
      <c r="B61" s="22" t="s">
        <v>128</v>
      </c>
      <c r="C61" s="22" t="s">
        <v>128</v>
      </c>
      <c r="D61" s="22" t="s">
        <v>128</v>
      </c>
      <c r="E61" s="22" t="s">
        <v>128</v>
      </c>
    </row>
    <row r="62" spans="1:6" ht="18" x14ac:dyDescent="0.2">
      <c r="A62" s="2" t="s">
        <v>36</v>
      </c>
      <c r="B62" s="22" t="s">
        <v>128</v>
      </c>
      <c r="C62" s="22" t="s">
        <v>128</v>
      </c>
      <c r="D62" s="22" t="s">
        <v>128</v>
      </c>
      <c r="E62" s="22" t="s">
        <v>128</v>
      </c>
    </row>
    <row r="63" spans="1:6" ht="18" x14ac:dyDescent="0.2">
      <c r="A63" s="2" t="s">
        <v>38</v>
      </c>
      <c r="B63" s="22" t="s">
        <v>128</v>
      </c>
      <c r="C63" s="22" t="s">
        <v>128</v>
      </c>
      <c r="D63" s="22" t="s">
        <v>128</v>
      </c>
      <c r="E63" s="22" t="s">
        <v>128</v>
      </c>
    </row>
    <row r="64" spans="1:6" ht="18" x14ac:dyDescent="0.2">
      <c r="A64" s="2" t="s">
        <v>40</v>
      </c>
      <c r="B64" s="22" t="s">
        <v>128</v>
      </c>
      <c r="C64" s="22" t="s">
        <v>128</v>
      </c>
      <c r="D64" s="22" t="s">
        <v>128</v>
      </c>
      <c r="E64" s="22" t="s">
        <v>128</v>
      </c>
    </row>
    <row r="65" spans="1:5" ht="18" x14ac:dyDescent="0.2">
      <c r="A65" s="2" t="s">
        <v>41</v>
      </c>
      <c r="B65" s="22" t="s">
        <v>128</v>
      </c>
      <c r="C65" s="22" t="s">
        <v>128</v>
      </c>
      <c r="D65" s="22" t="s">
        <v>128</v>
      </c>
      <c r="E65" s="22" t="s">
        <v>128</v>
      </c>
    </row>
    <row r="66" spans="1:5" ht="18" x14ac:dyDescent="0.2">
      <c r="A66" s="2" t="s">
        <v>42</v>
      </c>
      <c r="B66" s="22" t="s">
        <v>128</v>
      </c>
      <c r="C66" s="22" t="s">
        <v>128</v>
      </c>
      <c r="D66" s="22" t="s">
        <v>128</v>
      </c>
      <c r="E66" s="22" t="s">
        <v>128</v>
      </c>
    </row>
    <row r="80" spans="1:5" x14ac:dyDescent="0.2">
      <c r="A80" s="22" t="s">
        <v>129</v>
      </c>
      <c r="B80" s="22" t="s">
        <v>123</v>
      </c>
      <c r="C80" s="22" t="s">
        <v>124</v>
      </c>
      <c r="D80" s="22" t="s">
        <v>125</v>
      </c>
      <c r="E80" s="22" t="s">
        <v>126</v>
      </c>
    </row>
    <row r="81" spans="1:5" ht="18" x14ac:dyDescent="0.2">
      <c r="A81" s="2" t="s">
        <v>75</v>
      </c>
      <c r="B81" s="22" t="s">
        <v>128</v>
      </c>
      <c r="C81" s="22" t="s">
        <v>128</v>
      </c>
      <c r="D81" s="22" t="s">
        <v>128</v>
      </c>
      <c r="E81" s="22" t="s">
        <v>128</v>
      </c>
    </row>
    <row r="82" spans="1:5" ht="18" x14ac:dyDescent="0.2">
      <c r="A82" s="2" t="s">
        <v>27</v>
      </c>
      <c r="B82" s="22" t="s">
        <v>128</v>
      </c>
      <c r="C82" s="22" t="s">
        <v>128</v>
      </c>
      <c r="D82" s="22" t="s">
        <v>128</v>
      </c>
      <c r="E82" s="22" t="s">
        <v>128</v>
      </c>
    </row>
    <row r="83" spans="1:5" ht="18" x14ac:dyDescent="0.2">
      <c r="A83" s="2" t="s">
        <v>78</v>
      </c>
      <c r="B83" s="22" t="s">
        <v>128</v>
      </c>
      <c r="C83" s="22" t="s">
        <v>128</v>
      </c>
      <c r="D83" s="22" t="s">
        <v>128</v>
      </c>
      <c r="E83" s="22" t="s">
        <v>128</v>
      </c>
    </row>
    <row r="84" spans="1:5" ht="18" x14ac:dyDescent="0.2">
      <c r="A84" s="2" t="s">
        <v>77</v>
      </c>
      <c r="B84" s="22" t="s">
        <v>128</v>
      </c>
      <c r="C84" s="22" t="s">
        <v>128</v>
      </c>
      <c r="D84" s="22" t="s">
        <v>128</v>
      </c>
      <c r="E84" s="22" t="s">
        <v>128</v>
      </c>
    </row>
    <row r="85" spans="1:5" ht="18" x14ac:dyDescent="0.2">
      <c r="A85" s="2" t="s">
        <v>80</v>
      </c>
      <c r="B85" s="22" t="s">
        <v>128</v>
      </c>
      <c r="C85" s="22" t="s">
        <v>128</v>
      </c>
      <c r="D85" s="22" t="s">
        <v>128</v>
      </c>
      <c r="E85" s="22" t="s">
        <v>128</v>
      </c>
    </row>
    <row r="86" spans="1:5" ht="18" x14ac:dyDescent="0.2">
      <c r="A86" s="2" t="s">
        <v>81</v>
      </c>
      <c r="B86" s="22" t="s">
        <v>128</v>
      </c>
      <c r="C86" s="22" t="s">
        <v>128</v>
      </c>
      <c r="D86" s="22" t="s">
        <v>128</v>
      </c>
      <c r="E86" s="22" t="s">
        <v>128</v>
      </c>
    </row>
    <row r="87" spans="1:5" ht="18" x14ac:dyDescent="0.2">
      <c r="A87" s="2" t="s">
        <v>85</v>
      </c>
      <c r="B87" s="22" t="s">
        <v>128</v>
      </c>
      <c r="C87" s="22" t="s">
        <v>128</v>
      </c>
      <c r="D87" s="22" t="s">
        <v>128</v>
      </c>
      <c r="E87" s="22" t="s">
        <v>128</v>
      </c>
    </row>
    <row r="88" spans="1:5" ht="18" x14ac:dyDescent="0.2">
      <c r="A88" s="2" t="s">
        <v>83</v>
      </c>
      <c r="B88" s="22" t="s">
        <v>128</v>
      </c>
      <c r="C88" s="22" t="s">
        <v>128</v>
      </c>
      <c r="D88" s="22" t="s">
        <v>128</v>
      </c>
      <c r="E88" s="22" t="s">
        <v>128</v>
      </c>
    </row>
    <row r="89" spans="1:5" ht="18" x14ac:dyDescent="0.2">
      <c r="A89" s="2"/>
      <c r="B89" s="22"/>
      <c r="C89" s="22"/>
      <c r="D89" s="22"/>
      <c r="E89" s="22"/>
    </row>
    <row r="90" spans="1:5" ht="18" x14ac:dyDescent="0.2">
      <c r="A90" s="2"/>
      <c r="B90" s="22"/>
      <c r="C90" s="22"/>
      <c r="D90" s="22"/>
      <c r="E90" s="22"/>
    </row>
  </sheetData>
  <mergeCells count="4">
    <mergeCell ref="A2:A11"/>
    <mergeCell ref="A25:A34"/>
    <mergeCell ref="A12:A24"/>
    <mergeCell ref="A35:A44"/>
  </mergeCells>
  <conditionalFormatting sqref="I2:I44">
    <cfRule type="cellIs" dxfId="3" priority="1" operator="equal">
      <formula>"Pass"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57A8-3BD2-4A43-8F6A-C3E315ED7C35}">
  <dimension ref="A1:V44"/>
  <sheetViews>
    <sheetView topLeftCell="B1" zoomScale="90" zoomScaleNormal="90" workbookViewId="0">
      <selection activeCell="G31" sqref="G31"/>
    </sheetView>
  </sheetViews>
  <sheetFormatPr baseColWidth="10" defaultColWidth="11" defaultRowHeight="16" x14ac:dyDescent="0.2"/>
  <cols>
    <col min="1" max="1" width="10.5" customWidth="1"/>
    <col min="2" max="2" width="18.83203125" bestFit="1" customWidth="1"/>
    <col min="3" max="3" width="17.1640625" bestFit="1" customWidth="1"/>
    <col min="4" max="4" width="29.83203125" customWidth="1"/>
    <col min="5" max="5" width="136.5" bestFit="1" customWidth="1"/>
    <col min="6" max="6" width="23.83203125" bestFit="1" customWidth="1"/>
    <col min="7" max="7" width="27" bestFit="1" customWidth="1"/>
    <col min="8" max="8" width="27" customWidth="1"/>
    <col min="9" max="9" width="20.6640625" bestFit="1" customWidth="1"/>
    <col min="10" max="10" width="50.6640625" bestFit="1" customWidth="1"/>
  </cols>
  <sheetData>
    <row r="1" spans="1:22" ht="18" x14ac:dyDescent="0.2">
      <c r="A1" s="24"/>
      <c r="B1" s="25" t="s">
        <v>90</v>
      </c>
      <c r="C1" s="25" t="s">
        <v>53</v>
      </c>
      <c r="D1" s="25" t="s">
        <v>130</v>
      </c>
      <c r="E1" s="25" t="s">
        <v>92</v>
      </c>
      <c r="F1" s="25" t="s">
        <v>93</v>
      </c>
      <c r="G1" s="25" t="s">
        <v>94</v>
      </c>
      <c r="H1" s="25" t="s">
        <v>148</v>
      </c>
      <c r="I1" s="25" t="s">
        <v>149</v>
      </c>
      <c r="J1" s="25" t="s">
        <v>153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</row>
    <row r="2" spans="1:22" ht="18" x14ac:dyDescent="0.2">
      <c r="A2" s="124" t="s">
        <v>72</v>
      </c>
      <c r="B2" s="31" t="s">
        <v>73</v>
      </c>
      <c r="C2" s="25" t="s">
        <v>63</v>
      </c>
      <c r="D2" s="25" t="s">
        <v>157</v>
      </c>
      <c r="E2" s="25" t="s">
        <v>157</v>
      </c>
      <c r="F2" s="25" t="s">
        <v>157</v>
      </c>
      <c r="G2" s="31" t="s">
        <v>204</v>
      </c>
      <c r="H2" s="31"/>
      <c r="I2" s="31"/>
      <c r="J2" s="31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</row>
    <row r="3" spans="1:22" ht="18" x14ac:dyDescent="0.2">
      <c r="A3" s="125"/>
      <c r="B3" s="40" t="s">
        <v>74</v>
      </c>
      <c r="C3" s="26" t="s">
        <v>63</v>
      </c>
      <c r="D3" s="25" t="s">
        <v>157</v>
      </c>
      <c r="E3" s="40" t="s">
        <v>203</v>
      </c>
      <c r="F3" s="41"/>
      <c r="G3" s="25" t="s">
        <v>157</v>
      </c>
      <c r="H3" s="41"/>
      <c r="I3" s="41"/>
      <c r="J3" s="41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</row>
    <row r="4" spans="1:22" ht="18" x14ac:dyDescent="0.2">
      <c r="A4" s="125"/>
      <c r="B4" s="26" t="s">
        <v>75</v>
      </c>
      <c r="C4" s="26" t="s">
        <v>63</v>
      </c>
      <c r="D4" s="25" t="s">
        <v>157</v>
      </c>
      <c r="E4" s="25" t="s">
        <v>157</v>
      </c>
      <c r="F4" s="25" t="s">
        <v>157</v>
      </c>
      <c r="G4" s="33"/>
      <c r="H4" s="33"/>
      <c r="I4" s="33"/>
      <c r="J4" s="33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</row>
    <row r="5" spans="1:22" ht="18" x14ac:dyDescent="0.2">
      <c r="A5" s="125"/>
      <c r="B5" s="29" t="s">
        <v>76</v>
      </c>
      <c r="C5" s="26" t="s">
        <v>61</v>
      </c>
      <c r="D5" s="25" t="s">
        <v>157</v>
      </c>
      <c r="E5" s="31" t="s">
        <v>131</v>
      </c>
      <c r="F5" s="29"/>
      <c r="G5" s="29"/>
      <c r="H5" s="29"/>
      <c r="I5" s="29"/>
      <c r="J5" s="29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1:22" ht="18" x14ac:dyDescent="0.2">
      <c r="A6" s="125"/>
      <c r="B6" s="26" t="s">
        <v>77</v>
      </c>
      <c r="C6" s="26" t="s">
        <v>61</v>
      </c>
      <c r="D6" s="25" t="s">
        <v>157</v>
      </c>
      <c r="E6" s="25" t="s">
        <v>157</v>
      </c>
      <c r="F6" s="25" t="s">
        <v>157</v>
      </c>
      <c r="G6" s="25" t="s">
        <v>157</v>
      </c>
      <c r="H6" s="41"/>
      <c r="I6" s="41"/>
      <c r="J6" s="41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 spans="1:22" ht="18" x14ac:dyDescent="0.2">
      <c r="A7" s="125"/>
      <c r="B7" s="26" t="s">
        <v>79</v>
      </c>
      <c r="C7" s="26" t="s">
        <v>63</v>
      </c>
      <c r="D7" s="25" t="s">
        <v>157</v>
      </c>
      <c r="E7" s="25" t="s">
        <v>157</v>
      </c>
      <c r="F7" s="25" t="s">
        <v>157</v>
      </c>
      <c r="G7" s="25" t="s">
        <v>157</v>
      </c>
      <c r="H7" s="41"/>
      <c r="I7" s="41"/>
      <c r="J7" s="41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</row>
    <row r="8" spans="1:22" ht="18" x14ac:dyDescent="0.2">
      <c r="A8" s="125"/>
      <c r="B8" s="26" t="s">
        <v>80</v>
      </c>
      <c r="C8" s="26" t="s">
        <v>61</v>
      </c>
      <c r="D8" s="25" t="s">
        <v>157</v>
      </c>
      <c r="E8" s="25" t="s">
        <v>157</v>
      </c>
      <c r="F8" s="25" t="s">
        <v>157</v>
      </c>
      <c r="G8" s="25" t="s">
        <v>157</v>
      </c>
      <c r="H8" s="33"/>
      <c r="I8" s="33"/>
      <c r="J8" s="33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 spans="1:22" ht="18" x14ac:dyDescent="0.2">
      <c r="A9" s="125"/>
      <c r="B9" s="26" t="s">
        <v>81</v>
      </c>
      <c r="C9" s="26" t="s">
        <v>61</v>
      </c>
      <c r="D9" s="25" t="s">
        <v>157</v>
      </c>
      <c r="E9" s="25" t="s">
        <v>157</v>
      </c>
      <c r="F9" s="25" t="s">
        <v>157</v>
      </c>
      <c r="G9" s="25" t="s">
        <v>157</v>
      </c>
      <c r="H9" s="29" t="s">
        <v>150</v>
      </c>
      <c r="I9" s="29"/>
      <c r="J9" s="29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spans="1:22" ht="18" x14ac:dyDescent="0.2">
      <c r="A10" s="125"/>
      <c r="B10" s="29" t="s">
        <v>100</v>
      </c>
      <c r="C10" s="29" t="s">
        <v>101</v>
      </c>
      <c r="D10" s="31"/>
      <c r="E10" s="39"/>
      <c r="F10" s="29"/>
      <c r="G10" s="29"/>
      <c r="H10" s="29"/>
      <c r="I10" s="29"/>
      <c r="J10" s="29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1:22" ht="18" x14ac:dyDescent="0.2">
      <c r="A11" s="126"/>
      <c r="B11" s="26" t="s">
        <v>83</v>
      </c>
      <c r="C11" s="26" t="s">
        <v>63</v>
      </c>
      <c r="D11" s="25" t="s">
        <v>157</v>
      </c>
      <c r="E11" s="25" t="s">
        <v>157</v>
      </c>
      <c r="F11" s="25" t="s">
        <v>157</v>
      </c>
      <c r="G11" s="25" t="s">
        <v>157</v>
      </c>
      <c r="H11" s="33"/>
      <c r="I11" s="33"/>
      <c r="J11" s="33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 spans="1:22" ht="18" x14ac:dyDescent="0.2">
      <c r="A12" s="127" t="s">
        <v>84</v>
      </c>
      <c r="B12" s="29" t="s">
        <v>102</v>
      </c>
      <c r="C12" s="29" t="s">
        <v>101</v>
      </c>
      <c r="D12" s="31"/>
      <c r="E12" s="39"/>
      <c r="F12" s="29"/>
      <c r="G12" s="29"/>
      <c r="H12" s="29"/>
      <c r="I12" s="29"/>
      <c r="J12" s="29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 spans="1:22" ht="18" x14ac:dyDescent="0.2">
      <c r="A13" s="125"/>
      <c r="B13" s="29" t="s">
        <v>103</v>
      </c>
      <c r="C13" s="29" t="s">
        <v>104</v>
      </c>
      <c r="D13" s="31"/>
      <c r="E13" s="39"/>
      <c r="F13" s="29"/>
      <c r="G13" s="29"/>
      <c r="H13" s="29"/>
      <c r="I13" s="29"/>
      <c r="J13" s="29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</row>
    <row r="14" spans="1:22" ht="18" customHeight="1" x14ac:dyDescent="0.2">
      <c r="A14" s="125"/>
      <c r="B14" s="26" t="s">
        <v>27</v>
      </c>
      <c r="C14" s="26" t="s">
        <v>61</v>
      </c>
      <c r="D14" s="25" t="s">
        <v>157</v>
      </c>
      <c r="E14" s="25" t="s">
        <v>157</v>
      </c>
      <c r="F14" s="25" t="s">
        <v>157</v>
      </c>
      <c r="G14" s="25" t="s">
        <v>157</v>
      </c>
      <c r="H14" s="41"/>
      <c r="I14" s="41"/>
      <c r="J14" s="41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 spans="1:22" ht="18" x14ac:dyDescent="0.2">
      <c r="A15" s="125"/>
      <c r="B15" s="26" t="s">
        <v>28</v>
      </c>
      <c r="C15" s="26" t="s">
        <v>61</v>
      </c>
      <c r="D15" s="25" t="s">
        <v>157</v>
      </c>
      <c r="E15" s="25" t="s">
        <v>157</v>
      </c>
      <c r="F15" s="25" t="s">
        <v>157</v>
      </c>
      <c r="G15" s="25" t="s">
        <v>157</v>
      </c>
      <c r="H15" s="41"/>
      <c r="I15" s="41"/>
      <c r="J15" s="41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1:22" ht="18" x14ac:dyDescent="0.2">
      <c r="A16" s="125"/>
      <c r="B16" s="29" t="s">
        <v>29</v>
      </c>
      <c r="C16" s="26" t="s">
        <v>106</v>
      </c>
      <c r="D16" s="25" t="s">
        <v>157</v>
      </c>
      <c r="E16" s="31" t="s">
        <v>131</v>
      </c>
      <c r="F16" s="29"/>
      <c r="G16" s="29"/>
      <c r="H16" s="29"/>
      <c r="I16" s="29"/>
      <c r="J16" s="29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1:22" ht="18" x14ac:dyDescent="0.2">
      <c r="A17" s="125"/>
      <c r="B17" s="26" t="s">
        <v>78</v>
      </c>
      <c r="C17" s="26" t="s">
        <v>63</v>
      </c>
      <c r="D17" s="25" t="s">
        <v>157</v>
      </c>
      <c r="E17" s="25" t="s">
        <v>157</v>
      </c>
      <c r="F17" s="25" t="s">
        <v>157</v>
      </c>
      <c r="G17" s="25" t="s">
        <v>157</v>
      </c>
      <c r="H17" s="33"/>
      <c r="I17" s="33"/>
      <c r="J17" s="33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1:22" ht="18" x14ac:dyDescent="0.2">
      <c r="A18" s="125"/>
      <c r="B18" s="29" t="s">
        <v>107</v>
      </c>
      <c r="C18" s="29" t="s">
        <v>108</v>
      </c>
      <c r="D18" s="31"/>
      <c r="E18" s="39"/>
      <c r="F18" s="29"/>
      <c r="G18" s="29"/>
      <c r="H18" s="29"/>
      <c r="I18" s="29"/>
      <c r="J18" s="29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">
      <c r="A19" s="125"/>
      <c r="B19" s="40" t="s">
        <v>86</v>
      </c>
      <c r="C19" s="26" t="s">
        <v>106</v>
      </c>
      <c r="D19" s="25" t="s">
        <v>157</v>
      </c>
      <c r="E19" s="40" t="s">
        <v>203</v>
      </c>
      <c r="F19" s="41"/>
      <c r="G19" s="41"/>
      <c r="H19" s="41"/>
      <c r="I19" s="41"/>
      <c r="J19" s="41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spans="1:22" ht="18" x14ac:dyDescent="0.2">
      <c r="A20" s="125"/>
      <c r="B20" s="29" t="s">
        <v>109</v>
      </c>
      <c r="C20" s="29" t="s">
        <v>108</v>
      </c>
      <c r="D20" s="31"/>
      <c r="E20" s="39"/>
      <c r="F20" s="29"/>
      <c r="G20" s="29"/>
      <c r="H20" s="29"/>
      <c r="I20" s="29"/>
      <c r="J20" s="29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spans="1:22" ht="18" x14ac:dyDescent="0.2">
      <c r="A21" s="125"/>
      <c r="B21" s="40" t="s">
        <v>82</v>
      </c>
      <c r="C21" s="26" t="s">
        <v>63</v>
      </c>
      <c r="D21" s="25" t="s">
        <v>157</v>
      </c>
      <c r="E21" s="40" t="s">
        <v>203</v>
      </c>
      <c r="F21" s="41"/>
      <c r="G21" s="41"/>
      <c r="H21" s="41"/>
      <c r="I21" s="41"/>
      <c r="J21" s="41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spans="1:22" ht="18" x14ac:dyDescent="0.2">
      <c r="A22" s="125"/>
      <c r="B22" s="26" t="s">
        <v>85</v>
      </c>
      <c r="C22" s="26" t="s">
        <v>63</v>
      </c>
      <c r="D22" s="25" t="s">
        <v>157</v>
      </c>
      <c r="E22" s="25" t="s">
        <v>157</v>
      </c>
      <c r="F22" s="25" t="s">
        <v>157</v>
      </c>
      <c r="G22" s="25" t="s">
        <v>157</v>
      </c>
      <c r="H22" s="33"/>
      <c r="I22" s="33"/>
      <c r="J22" s="33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spans="1:22" ht="18" x14ac:dyDescent="0.2">
      <c r="A23" s="125"/>
      <c r="B23" s="29" t="s">
        <v>110</v>
      </c>
      <c r="C23" s="29" t="s">
        <v>101</v>
      </c>
      <c r="D23" s="31"/>
      <c r="E23" s="29"/>
      <c r="F23" s="29"/>
      <c r="G23" s="29"/>
      <c r="H23" s="29"/>
      <c r="I23" s="29"/>
      <c r="J23" s="29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spans="1:22" ht="18" x14ac:dyDescent="0.2">
      <c r="A24" s="126"/>
      <c r="B24" s="29" t="s">
        <v>111</v>
      </c>
      <c r="C24" s="29" t="s">
        <v>101</v>
      </c>
      <c r="D24" s="31"/>
      <c r="E24" s="29"/>
      <c r="F24" s="29"/>
      <c r="G24" s="29"/>
      <c r="H24" s="29"/>
      <c r="I24" s="29"/>
      <c r="J24" s="29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spans="1:22" ht="18" x14ac:dyDescent="0.2">
      <c r="A25" s="127" t="s">
        <v>87</v>
      </c>
      <c r="B25" s="26" t="s">
        <v>30</v>
      </c>
      <c r="C25" s="26" t="s">
        <v>63</v>
      </c>
      <c r="D25" s="25" t="s">
        <v>157</v>
      </c>
      <c r="E25" s="25" t="s">
        <v>157</v>
      </c>
      <c r="F25" s="25" t="s">
        <v>157</v>
      </c>
      <c r="G25" s="41"/>
      <c r="H25" s="41"/>
      <c r="I25" s="41"/>
      <c r="J25" s="41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spans="1:22" ht="18" x14ac:dyDescent="0.2">
      <c r="A26" s="125"/>
      <c r="B26" s="40" t="s">
        <v>31</v>
      </c>
      <c r="C26" s="26" t="s">
        <v>63</v>
      </c>
      <c r="D26" s="25" t="s">
        <v>157</v>
      </c>
      <c r="E26" s="40" t="s">
        <v>203</v>
      </c>
      <c r="F26" s="41"/>
      <c r="G26" s="41"/>
      <c r="H26" s="41"/>
      <c r="I26" s="41"/>
      <c r="J26" s="41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spans="1:22" ht="18" x14ac:dyDescent="0.2">
      <c r="A27" s="125"/>
      <c r="B27" s="26" t="s">
        <v>32</v>
      </c>
      <c r="C27" s="26" t="s">
        <v>63</v>
      </c>
      <c r="D27" s="25" t="s">
        <v>157</v>
      </c>
      <c r="E27" s="25" t="s">
        <v>157</v>
      </c>
      <c r="F27" s="25" t="s">
        <v>157</v>
      </c>
      <c r="G27" s="33"/>
      <c r="H27" s="33"/>
      <c r="I27" s="33"/>
      <c r="J27" s="33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 spans="1:22" ht="18" x14ac:dyDescent="0.2">
      <c r="A28" s="125"/>
      <c r="B28" s="29" t="s">
        <v>35</v>
      </c>
      <c r="C28" s="26" t="s">
        <v>61</v>
      </c>
      <c r="D28" s="25" t="s">
        <v>157</v>
      </c>
      <c r="E28" s="29" t="s">
        <v>131</v>
      </c>
      <c r="F28" s="29"/>
      <c r="G28" s="29"/>
      <c r="H28" s="29"/>
      <c r="I28" s="29"/>
      <c r="J28" s="29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 spans="1:22" ht="18" x14ac:dyDescent="0.2">
      <c r="A29" s="125"/>
      <c r="B29" s="26" t="s">
        <v>36</v>
      </c>
      <c r="C29" s="26" t="s">
        <v>61</v>
      </c>
      <c r="D29" s="25" t="s">
        <v>157</v>
      </c>
      <c r="E29" s="25" t="s">
        <v>157</v>
      </c>
      <c r="F29" s="25" t="s">
        <v>157</v>
      </c>
      <c r="G29" s="41"/>
      <c r="H29" s="41"/>
      <c r="I29" s="41"/>
      <c r="J29" s="41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</row>
    <row r="30" spans="1:22" ht="18" x14ac:dyDescent="0.2">
      <c r="A30" s="125"/>
      <c r="B30" s="26" t="s">
        <v>37</v>
      </c>
      <c r="C30" s="26" t="s">
        <v>63</v>
      </c>
      <c r="D30" s="25" t="s">
        <v>157</v>
      </c>
      <c r="E30" s="25" t="s">
        <v>157</v>
      </c>
      <c r="F30" s="25" t="s">
        <v>157</v>
      </c>
      <c r="G30" s="41"/>
      <c r="H30" s="41"/>
      <c r="I30" s="41"/>
      <c r="J30" s="41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 spans="1:22" ht="18" x14ac:dyDescent="0.2">
      <c r="A31" s="125"/>
      <c r="B31" s="26" t="s">
        <v>38</v>
      </c>
      <c r="C31" s="26" t="s">
        <v>61</v>
      </c>
      <c r="D31" s="25" t="s">
        <v>157</v>
      </c>
      <c r="E31" s="25" t="s">
        <v>157</v>
      </c>
      <c r="F31" s="25" t="s">
        <v>157</v>
      </c>
      <c r="G31" s="33"/>
      <c r="H31" s="33"/>
      <c r="I31" s="33"/>
      <c r="J31" s="33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</row>
    <row r="32" spans="1:22" ht="18" x14ac:dyDescent="0.2">
      <c r="A32" s="125"/>
      <c r="B32" s="26" t="s">
        <v>40</v>
      </c>
      <c r="C32" s="26" t="s">
        <v>61</v>
      </c>
      <c r="D32" s="25" t="s">
        <v>157</v>
      </c>
      <c r="E32" s="25" t="s">
        <v>157</v>
      </c>
      <c r="F32" s="25" t="s">
        <v>157</v>
      </c>
      <c r="G32" s="33"/>
      <c r="H32" s="29" t="s">
        <v>150</v>
      </c>
      <c r="I32" s="29"/>
      <c r="J32" s="29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</row>
    <row r="33" spans="1:22" ht="18" x14ac:dyDescent="0.2">
      <c r="A33" s="125"/>
      <c r="B33" s="29" t="s">
        <v>115</v>
      </c>
      <c r="C33" s="29" t="s">
        <v>101</v>
      </c>
      <c r="D33" s="31"/>
      <c r="E33" s="29"/>
      <c r="F33" s="29"/>
      <c r="G33" s="29"/>
      <c r="H33" s="29"/>
      <c r="I33" s="29"/>
      <c r="J33" s="29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 spans="1:22" ht="18" x14ac:dyDescent="0.2">
      <c r="A34" s="125"/>
      <c r="B34" s="27" t="s">
        <v>42</v>
      </c>
      <c r="C34" s="27" t="s">
        <v>63</v>
      </c>
      <c r="D34" s="25" t="s">
        <v>157</v>
      </c>
      <c r="E34" s="25" t="s">
        <v>157</v>
      </c>
      <c r="F34" s="25" t="s">
        <v>157</v>
      </c>
      <c r="G34" s="34"/>
      <c r="H34" s="34"/>
      <c r="I34" s="34"/>
      <c r="J34" s="40" t="s">
        <v>151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spans="1:22" ht="18" customHeight="1" x14ac:dyDescent="0.2">
      <c r="A35" s="128" t="s">
        <v>88</v>
      </c>
      <c r="B35" s="30" t="s">
        <v>116</v>
      </c>
      <c r="C35" s="30" t="s">
        <v>101</v>
      </c>
      <c r="D35" s="31"/>
      <c r="E35" s="30"/>
      <c r="F35" s="30"/>
      <c r="G35" s="30"/>
      <c r="H35" s="30"/>
      <c r="I35" s="30"/>
      <c r="J35" s="30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8" x14ac:dyDescent="0.2">
      <c r="A36" s="128"/>
      <c r="B36" s="30" t="s">
        <v>33</v>
      </c>
      <c r="C36" s="30" t="s">
        <v>104</v>
      </c>
      <c r="D36" s="31"/>
      <c r="E36" s="30"/>
      <c r="F36" s="30"/>
      <c r="G36" s="30"/>
      <c r="H36" s="30"/>
      <c r="I36" s="30"/>
      <c r="J36" s="30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8" x14ac:dyDescent="0.2">
      <c r="A37" s="128"/>
      <c r="B37" s="28" t="s">
        <v>34</v>
      </c>
      <c r="C37" s="28" t="s">
        <v>63</v>
      </c>
      <c r="D37" s="25" t="s">
        <v>157</v>
      </c>
      <c r="E37" s="25" t="s">
        <v>157</v>
      </c>
      <c r="F37" s="25" t="s">
        <v>157</v>
      </c>
      <c r="G37" s="35"/>
      <c r="H37" s="35"/>
      <c r="I37" s="35"/>
      <c r="J37" s="40" t="s">
        <v>151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8" x14ac:dyDescent="0.2">
      <c r="A38" s="128"/>
      <c r="B38" s="30" t="s">
        <v>117</v>
      </c>
      <c r="C38" s="30" t="s">
        <v>108</v>
      </c>
      <c r="D38" s="31"/>
      <c r="E38" s="30"/>
      <c r="F38" s="30"/>
      <c r="G38" s="30"/>
      <c r="H38" s="30"/>
      <c r="I38" s="30"/>
      <c r="J38" s="30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ht="18" x14ac:dyDescent="0.2">
      <c r="A39" s="128"/>
      <c r="B39" s="30" t="s">
        <v>118</v>
      </c>
      <c r="C39" s="30" t="s">
        <v>108</v>
      </c>
      <c r="D39" s="31"/>
      <c r="E39" s="30"/>
      <c r="F39" s="30"/>
      <c r="G39" s="30"/>
      <c r="H39" s="30"/>
      <c r="I39" s="30"/>
      <c r="J39" s="30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ht="18" x14ac:dyDescent="0.2">
      <c r="A40" s="128"/>
      <c r="B40" s="30" t="s">
        <v>119</v>
      </c>
      <c r="C40" s="30" t="s">
        <v>108</v>
      </c>
      <c r="D40" s="31"/>
      <c r="E40" s="30"/>
      <c r="F40" s="30"/>
      <c r="G40" s="30"/>
      <c r="H40" s="30"/>
      <c r="I40" s="30"/>
      <c r="J40" s="30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ht="18" x14ac:dyDescent="0.2">
      <c r="A41" s="128"/>
      <c r="B41" s="28" t="s">
        <v>39</v>
      </c>
      <c r="C41" s="28" t="s">
        <v>63</v>
      </c>
      <c r="D41" s="25" t="s">
        <v>157</v>
      </c>
      <c r="E41" s="25" t="s">
        <v>157</v>
      </c>
      <c r="F41" s="25" t="s">
        <v>157</v>
      </c>
      <c r="G41" s="41"/>
      <c r="H41" s="41"/>
      <c r="I41" s="41"/>
      <c r="J41" s="41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18" x14ac:dyDescent="0.2">
      <c r="A42" s="128"/>
      <c r="B42" s="28" t="s">
        <v>41</v>
      </c>
      <c r="C42" s="28" t="s">
        <v>63</v>
      </c>
      <c r="D42" s="25" t="s">
        <v>157</v>
      </c>
      <c r="E42" s="25" t="s">
        <v>157</v>
      </c>
      <c r="F42" s="25" t="s">
        <v>157</v>
      </c>
      <c r="G42" s="35"/>
      <c r="H42" s="35"/>
      <c r="I42" s="35"/>
      <c r="J42" s="40" t="s">
        <v>151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18" x14ac:dyDescent="0.2">
      <c r="A43" s="128"/>
      <c r="B43" s="30" t="s">
        <v>120</v>
      </c>
      <c r="C43" s="30" t="s">
        <v>101</v>
      </c>
      <c r="D43" s="31"/>
      <c r="E43" s="30"/>
      <c r="F43" s="30"/>
      <c r="G43" s="30"/>
      <c r="H43" s="30"/>
      <c r="I43" s="30"/>
      <c r="J43" s="30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ht="18" x14ac:dyDescent="0.2">
      <c r="A44" s="128"/>
      <c r="B44" s="30" t="s">
        <v>121</v>
      </c>
      <c r="C44" s="30" t="s">
        <v>101</v>
      </c>
      <c r="D44" s="31"/>
      <c r="E44" s="30"/>
      <c r="F44" s="30"/>
      <c r="G44" s="30"/>
      <c r="H44" s="30"/>
      <c r="I44" s="30"/>
      <c r="J44" s="30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</sheetData>
  <mergeCells count="4">
    <mergeCell ref="A2:A11"/>
    <mergeCell ref="A12:A24"/>
    <mergeCell ref="A25:A34"/>
    <mergeCell ref="A35:A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3078-02FC-1E4E-B360-69C55FAA4392}">
  <dimension ref="A1:M180"/>
  <sheetViews>
    <sheetView topLeftCell="K46" zoomScale="110" zoomScaleNormal="110" workbookViewId="0">
      <selection activeCell="J80" sqref="J80"/>
    </sheetView>
  </sheetViews>
  <sheetFormatPr baseColWidth="10" defaultColWidth="28.6640625" defaultRowHeight="16" x14ac:dyDescent="0.2"/>
  <cols>
    <col min="1" max="1" width="18.83203125" customWidth="1"/>
    <col min="2" max="2" width="36.6640625" bestFit="1" customWidth="1"/>
    <col min="3" max="3" width="41.83203125" customWidth="1"/>
    <col min="4" max="4" width="30.83203125" bestFit="1" customWidth="1"/>
    <col min="5" max="5" width="23.5" bestFit="1" customWidth="1"/>
    <col min="6" max="6" width="37" bestFit="1" customWidth="1"/>
    <col min="7" max="7" width="23.5" bestFit="1" customWidth="1"/>
    <col min="8" max="8" width="32.5" bestFit="1" customWidth="1"/>
  </cols>
  <sheetData>
    <row r="1" spans="1:9" ht="18" x14ac:dyDescent="0.2">
      <c r="A1" s="28" t="s">
        <v>167</v>
      </c>
      <c r="B1" s="2" t="s">
        <v>132</v>
      </c>
      <c r="C1" s="2" t="s">
        <v>133</v>
      </c>
      <c r="D1" s="2" t="s">
        <v>162</v>
      </c>
      <c r="E1" s="2" t="s">
        <v>163</v>
      </c>
      <c r="F1" s="2" t="s">
        <v>164</v>
      </c>
      <c r="G1" s="2" t="s">
        <v>165</v>
      </c>
      <c r="H1" s="2" t="s">
        <v>134</v>
      </c>
      <c r="I1" s="2" t="s">
        <v>152</v>
      </c>
    </row>
    <row r="2" spans="1:9" ht="18" x14ac:dyDescent="0.2">
      <c r="A2" s="28" t="s">
        <v>166</v>
      </c>
      <c r="B2" s="7">
        <v>5</v>
      </c>
      <c r="C2" s="7">
        <v>55</v>
      </c>
      <c r="D2" s="7">
        <v>108</v>
      </c>
      <c r="E2" s="7">
        <v>1224</v>
      </c>
      <c r="F2" s="7">
        <v>35724</v>
      </c>
      <c r="G2" s="7">
        <v>45</v>
      </c>
      <c r="H2" s="7">
        <v>290</v>
      </c>
      <c r="I2" s="66">
        <f t="shared" ref="I2:I13" si="0">H2/G2</f>
        <v>6.4444444444444446</v>
      </c>
    </row>
    <row r="3" spans="1:9" ht="18" x14ac:dyDescent="0.2">
      <c r="A3" s="28" t="s">
        <v>135</v>
      </c>
      <c r="B3" s="7">
        <v>9</v>
      </c>
      <c r="C3" s="7">
        <v>96</v>
      </c>
      <c r="D3" s="7">
        <v>193</v>
      </c>
      <c r="E3" s="7">
        <v>1259</v>
      </c>
      <c r="F3" s="7">
        <v>33996</v>
      </c>
      <c r="G3" s="7">
        <v>46</v>
      </c>
      <c r="H3" s="7">
        <v>278</v>
      </c>
      <c r="I3" s="66">
        <f t="shared" si="0"/>
        <v>6.0434782608695654</v>
      </c>
    </row>
    <row r="4" spans="1:9" ht="18" x14ac:dyDescent="0.2">
      <c r="A4" s="28" t="s">
        <v>136</v>
      </c>
      <c r="B4" s="7">
        <v>9</v>
      </c>
      <c r="C4" s="7">
        <v>65</v>
      </c>
      <c r="D4" s="7">
        <v>123</v>
      </c>
      <c r="E4" s="7">
        <v>1251</v>
      </c>
      <c r="F4" s="7">
        <v>34060</v>
      </c>
      <c r="G4" s="7">
        <v>57</v>
      </c>
      <c r="H4" s="7">
        <v>255</v>
      </c>
      <c r="I4" s="66">
        <f t="shared" si="0"/>
        <v>4.4736842105263159</v>
      </c>
    </row>
    <row r="5" spans="1:9" ht="18" x14ac:dyDescent="0.2">
      <c r="A5" s="28" t="s">
        <v>137</v>
      </c>
      <c r="B5" s="7">
        <v>8</v>
      </c>
      <c r="C5" s="7">
        <v>58</v>
      </c>
      <c r="D5" s="7">
        <v>136</v>
      </c>
      <c r="E5" s="7">
        <v>1265</v>
      </c>
      <c r="F5" s="7">
        <v>34863</v>
      </c>
      <c r="G5" s="7">
        <v>48</v>
      </c>
      <c r="H5" s="7">
        <v>283</v>
      </c>
      <c r="I5" s="66">
        <f t="shared" si="0"/>
        <v>5.895833333333333</v>
      </c>
    </row>
    <row r="6" spans="1:9" ht="18" x14ac:dyDescent="0.2">
      <c r="A6" s="28" t="s">
        <v>138</v>
      </c>
      <c r="B6" s="7">
        <v>5</v>
      </c>
      <c r="C6" s="7">
        <v>65</v>
      </c>
      <c r="D6" s="7">
        <v>176</v>
      </c>
      <c r="E6" s="7">
        <v>1287</v>
      </c>
      <c r="F6" s="7">
        <v>34939</v>
      </c>
      <c r="G6" s="7">
        <v>110</v>
      </c>
      <c r="H6" s="7">
        <v>226</v>
      </c>
      <c r="I6" s="66">
        <f t="shared" si="0"/>
        <v>2.0545454545454547</v>
      </c>
    </row>
    <row r="7" spans="1:9" ht="18" x14ac:dyDescent="0.2">
      <c r="A7" s="28" t="s">
        <v>139</v>
      </c>
      <c r="B7" s="7">
        <v>8</v>
      </c>
      <c r="C7" s="7">
        <v>55</v>
      </c>
      <c r="D7" s="7">
        <v>112</v>
      </c>
      <c r="E7" s="7">
        <v>1271</v>
      </c>
      <c r="F7" s="7">
        <v>35037</v>
      </c>
      <c r="G7" s="7">
        <v>47</v>
      </c>
      <c r="H7" s="7">
        <v>301</v>
      </c>
      <c r="I7" s="66">
        <f t="shared" si="0"/>
        <v>6.4042553191489358</v>
      </c>
    </row>
    <row r="8" spans="1:9" ht="18" x14ac:dyDescent="0.2">
      <c r="A8" s="28" t="s">
        <v>140</v>
      </c>
      <c r="B8" s="7">
        <v>8</v>
      </c>
      <c r="C8" s="7">
        <v>57</v>
      </c>
      <c r="D8" s="7">
        <v>176</v>
      </c>
      <c r="E8" s="7">
        <v>1296</v>
      </c>
      <c r="F8" s="7">
        <v>34544</v>
      </c>
      <c r="G8" s="7">
        <v>48</v>
      </c>
      <c r="H8" s="7">
        <v>223</v>
      </c>
      <c r="I8" s="66">
        <f t="shared" si="0"/>
        <v>4.645833333333333</v>
      </c>
    </row>
    <row r="9" spans="1:9" ht="18" x14ac:dyDescent="0.2">
      <c r="A9" s="28" t="s">
        <v>141</v>
      </c>
      <c r="B9" s="7">
        <v>4</v>
      </c>
      <c r="C9" s="7">
        <v>58</v>
      </c>
      <c r="D9" s="7">
        <v>103</v>
      </c>
      <c r="E9" s="7">
        <v>1335</v>
      </c>
      <c r="F9" s="7">
        <v>36295</v>
      </c>
      <c r="G9" s="7">
        <v>75</v>
      </c>
      <c r="H9" s="7">
        <v>288</v>
      </c>
      <c r="I9" s="66">
        <f t="shared" si="0"/>
        <v>3.84</v>
      </c>
    </row>
    <row r="10" spans="1:9" ht="18" x14ac:dyDescent="0.2">
      <c r="A10" s="28" t="s">
        <v>142</v>
      </c>
      <c r="B10" s="7">
        <v>8</v>
      </c>
      <c r="C10" s="7">
        <v>58</v>
      </c>
      <c r="D10" s="7">
        <v>183</v>
      </c>
      <c r="E10" s="7">
        <v>1360</v>
      </c>
      <c r="F10" s="7">
        <v>34669</v>
      </c>
      <c r="G10" s="7">
        <v>45</v>
      </c>
      <c r="H10" s="7">
        <v>262</v>
      </c>
      <c r="I10" s="66">
        <f t="shared" si="0"/>
        <v>5.822222222222222</v>
      </c>
    </row>
    <row r="11" spans="1:9" ht="18" x14ac:dyDescent="0.2">
      <c r="A11" s="28" t="s">
        <v>143</v>
      </c>
      <c r="B11" s="7">
        <v>3390</v>
      </c>
      <c r="C11" s="7">
        <v>14370</v>
      </c>
      <c r="D11" s="7">
        <v>24984</v>
      </c>
      <c r="E11" s="7" t="s">
        <v>144</v>
      </c>
      <c r="F11" s="7" t="s">
        <v>144</v>
      </c>
      <c r="G11" s="7">
        <v>303244</v>
      </c>
      <c r="H11" s="7">
        <v>321950</v>
      </c>
      <c r="I11" s="66">
        <f t="shared" si="0"/>
        <v>1.0616862988220708</v>
      </c>
    </row>
    <row r="12" spans="1:9" ht="18" x14ac:dyDescent="0.2">
      <c r="A12" s="28" t="s">
        <v>145</v>
      </c>
      <c r="B12" s="7">
        <v>60</v>
      </c>
      <c r="C12" s="7">
        <v>310</v>
      </c>
      <c r="D12" s="7">
        <v>549</v>
      </c>
      <c r="E12" s="7">
        <v>9203</v>
      </c>
      <c r="F12" s="7">
        <v>989686</v>
      </c>
      <c r="G12" s="7">
        <v>698</v>
      </c>
      <c r="H12" s="7">
        <v>991</v>
      </c>
      <c r="I12" s="66">
        <f t="shared" si="0"/>
        <v>1.4197707736389684</v>
      </c>
    </row>
    <row r="13" spans="1:9" ht="18" x14ac:dyDescent="0.2">
      <c r="A13" s="28" t="s">
        <v>75</v>
      </c>
      <c r="B13" s="7">
        <f>17*60000+32818</f>
        <v>1052818</v>
      </c>
      <c r="C13" s="7">
        <v>2031012</v>
      </c>
      <c r="D13" s="7">
        <v>2659960</v>
      </c>
      <c r="E13" s="7" t="s">
        <v>144</v>
      </c>
      <c r="F13" s="7" t="s">
        <v>146</v>
      </c>
      <c r="G13" s="7">
        <v>7253092</v>
      </c>
      <c r="H13" s="7">
        <v>9994200</v>
      </c>
      <c r="I13" s="66">
        <f t="shared" si="0"/>
        <v>1.3779226845599091</v>
      </c>
    </row>
    <row r="14" spans="1:9" ht="18" x14ac:dyDescent="0.2">
      <c r="A14" s="28" t="s">
        <v>27</v>
      </c>
      <c r="B14" s="7">
        <f>13*60000+36693</f>
        <v>816693</v>
      </c>
      <c r="C14" s="7">
        <v>1550110</v>
      </c>
      <c r="D14" s="7">
        <v>1637836</v>
      </c>
      <c r="E14" s="7" t="s">
        <v>144</v>
      </c>
      <c r="F14" s="7" t="s">
        <v>146</v>
      </c>
      <c r="G14" s="7"/>
      <c r="H14" s="7">
        <v>2261877</v>
      </c>
      <c r="I14" s="66"/>
    </row>
    <row r="15" spans="1:9" ht="18" x14ac:dyDescent="0.2">
      <c r="A15" s="28" t="s">
        <v>78</v>
      </c>
      <c r="B15" s="67">
        <f>9*60000+21555</f>
        <v>561555</v>
      </c>
      <c r="C15" s="67">
        <v>1357122</v>
      </c>
      <c r="D15" s="67">
        <v>1467185</v>
      </c>
      <c r="E15" s="67" t="s">
        <v>144</v>
      </c>
      <c r="F15" s="67" t="s">
        <v>146</v>
      </c>
      <c r="G15" s="7">
        <v>528075</v>
      </c>
      <c r="H15" s="67">
        <v>1788415</v>
      </c>
      <c r="I15" s="68">
        <f>H15/G15</f>
        <v>3.3866685603370734</v>
      </c>
    </row>
    <row r="16" spans="1:9" ht="18" x14ac:dyDescent="0.2">
      <c r="A16" s="28" t="s">
        <v>80</v>
      </c>
      <c r="B16" s="67">
        <f>13*60000+36483</f>
        <v>816483</v>
      </c>
      <c r="C16" s="67">
        <v>1967186</v>
      </c>
      <c r="D16" s="67">
        <v>2954897</v>
      </c>
      <c r="E16" s="67" t="s">
        <v>144</v>
      </c>
      <c r="F16" s="67" t="s">
        <v>144</v>
      </c>
      <c r="G16" s="67">
        <v>2989952</v>
      </c>
      <c r="H16" s="67" t="s">
        <v>147</v>
      </c>
      <c r="I16" s="68"/>
    </row>
    <row r="17" spans="1:10" ht="18" x14ac:dyDescent="0.2">
      <c r="A17" s="28" t="s">
        <v>81</v>
      </c>
      <c r="B17" s="7">
        <f>16*60000+46630</f>
        <v>1006630</v>
      </c>
      <c r="C17" s="7">
        <v>2276682</v>
      </c>
      <c r="D17" s="7">
        <v>3537412</v>
      </c>
      <c r="E17" s="7" t="s">
        <v>144</v>
      </c>
      <c r="F17" s="7" t="s">
        <v>146</v>
      </c>
      <c r="G17" s="7"/>
      <c r="H17" s="7">
        <v>24130564</v>
      </c>
      <c r="I17" s="66"/>
    </row>
    <row r="18" spans="1:10" ht="18" x14ac:dyDescent="0.2">
      <c r="A18" s="28" t="s">
        <v>85</v>
      </c>
      <c r="B18" s="7">
        <f>22*60000+17959</f>
        <v>1337959</v>
      </c>
      <c r="C18" s="7">
        <v>2226512</v>
      </c>
      <c r="D18" s="7">
        <v>2754826</v>
      </c>
      <c r="E18" s="7" t="s">
        <v>144</v>
      </c>
      <c r="F18" s="7" t="s">
        <v>146</v>
      </c>
      <c r="G18" s="7">
        <v>3721130</v>
      </c>
      <c r="H18" s="7">
        <v>11302430</v>
      </c>
      <c r="I18" s="66">
        <f>H18/G18</f>
        <v>3.0373649939668863</v>
      </c>
    </row>
    <row r="19" spans="1:10" ht="18" x14ac:dyDescent="0.2">
      <c r="A19" s="28" t="s">
        <v>83</v>
      </c>
      <c r="B19" s="67">
        <f>5*60000+42885</f>
        <v>342885</v>
      </c>
      <c r="C19" s="67">
        <v>1045588</v>
      </c>
      <c r="D19" s="67">
        <v>1072676</v>
      </c>
      <c r="E19" s="67" t="s">
        <v>144</v>
      </c>
      <c r="F19" s="67" t="s">
        <v>146</v>
      </c>
      <c r="G19" s="67">
        <v>337705</v>
      </c>
      <c r="H19" s="67">
        <v>1641335</v>
      </c>
      <c r="I19" s="68">
        <f>H19/G19</f>
        <v>4.8602626552760544</v>
      </c>
    </row>
    <row r="20" spans="1:10" ht="18" x14ac:dyDescent="0.2">
      <c r="A20" s="28" t="s">
        <v>32</v>
      </c>
      <c r="B20" s="7">
        <f>35*60000+53501</f>
        <v>2153501</v>
      </c>
      <c r="C20" s="7">
        <v>3330912</v>
      </c>
      <c r="D20" s="7">
        <v>4458237</v>
      </c>
      <c r="E20" s="7" t="s">
        <v>144</v>
      </c>
      <c r="F20" s="7" t="s">
        <v>146</v>
      </c>
      <c r="G20" s="7">
        <v>15155255</v>
      </c>
      <c r="H20" s="7">
        <v>17469716</v>
      </c>
      <c r="I20" s="66">
        <f>H20/G20</f>
        <v>1.1527167309293047</v>
      </c>
    </row>
    <row r="21" spans="1:10" ht="18" x14ac:dyDescent="0.2">
      <c r="A21" s="28" t="s">
        <v>34</v>
      </c>
      <c r="B21" s="7">
        <f>4*60000+31695</f>
        <v>271695</v>
      </c>
      <c r="C21" s="7">
        <v>930676</v>
      </c>
      <c r="D21" s="7">
        <v>1011368</v>
      </c>
      <c r="E21" s="7" t="s">
        <v>144</v>
      </c>
      <c r="F21" s="7" t="s">
        <v>146</v>
      </c>
      <c r="G21" s="7">
        <v>733558</v>
      </c>
      <c r="H21" s="7">
        <v>1178330</v>
      </c>
      <c r="I21" s="66">
        <f>H21/G21</f>
        <v>1.606321517862255</v>
      </c>
    </row>
    <row r="22" spans="1:10" ht="18" x14ac:dyDescent="0.2">
      <c r="A22" s="28" t="s">
        <v>38</v>
      </c>
      <c r="B22" s="7">
        <f>17+60000+34340</f>
        <v>94357</v>
      </c>
      <c r="C22" s="7">
        <v>2202799</v>
      </c>
      <c r="D22" s="7">
        <v>3511199</v>
      </c>
      <c r="E22" s="7" t="s">
        <v>144</v>
      </c>
      <c r="F22" s="7" t="s">
        <v>144</v>
      </c>
      <c r="G22" s="7">
        <v>100878</v>
      </c>
      <c r="H22" s="7" t="s">
        <v>147</v>
      </c>
      <c r="I22" s="66"/>
    </row>
    <row r="23" spans="1:10" ht="18" x14ac:dyDescent="0.2">
      <c r="A23" s="28" t="s">
        <v>40</v>
      </c>
      <c r="B23" s="7">
        <f>16*60000+44444</f>
        <v>1004444</v>
      </c>
      <c r="C23" s="7">
        <v>2229043</v>
      </c>
      <c r="D23" s="7">
        <v>3458414</v>
      </c>
      <c r="E23" s="7" t="s">
        <v>144</v>
      </c>
      <c r="F23" s="7" t="s">
        <v>146</v>
      </c>
      <c r="G23" s="7"/>
      <c r="H23" s="7">
        <v>24391148</v>
      </c>
      <c r="I23" s="66"/>
    </row>
    <row r="24" spans="1:10" ht="18" x14ac:dyDescent="0.2">
      <c r="A24" s="28" t="s">
        <v>41</v>
      </c>
      <c r="B24" s="7">
        <f>10*60000+37591</f>
        <v>637591</v>
      </c>
      <c r="C24" s="7">
        <v>1210424</v>
      </c>
      <c r="D24" s="7">
        <v>1431238</v>
      </c>
      <c r="E24" s="7" t="s">
        <v>144</v>
      </c>
      <c r="F24" s="7" t="s">
        <v>146</v>
      </c>
      <c r="G24" s="7">
        <v>1777054</v>
      </c>
      <c r="H24" s="7">
        <v>4835889</v>
      </c>
      <c r="I24" s="66">
        <f>H24/G24</f>
        <v>2.7212954699181906</v>
      </c>
    </row>
    <row r="25" spans="1:10" ht="18" x14ac:dyDescent="0.2">
      <c r="A25" s="28" t="s">
        <v>42</v>
      </c>
      <c r="B25" s="7">
        <f>10*60000+4055</f>
        <v>604055</v>
      </c>
      <c r="C25" s="7">
        <v>1348431</v>
      </c>
      <c r="D25" s="7">
        <v>1493717</v>
      </c>
      <c r="E25" s="7" t="s">
        <v>144</v>
      </c>
      <c r="F25" s="7" t="s">
        <v>146</v>
      </c>
      <c r="G25" s="7">
        <v>438221</v>
      </c>
      <c r="H25" s="7">
        <v>2015262</v>
      </c>
      <c r="I25" s="66">
        <f>H25/G25</f>
        <v>4.5987344285189433</v>
      </c>
    </row>
    <row r="26" spans="1:10" ht="18" x14ac:dyDescent="0.2">
      <c r="B26" s="38"/>
      <c r="I26" s="66">
        <f>GEOMEAN(I13:I25)</f>
        <v>2.5141455792174088</v>
      </c>
      <c r="J26" t="s">
        <v>154</v>
      </c>
    </row>
    <row r="27" spans="1:10" ht="18" x14ac:dyDescent="0.2">
      <c r="B27" s="38"/>
      <c r="I27" s="72"/>
    </row>
    <row r="28" spans="1:10" ht="18" x14ac:dyDescent="0.2">
      <c r="B28" s="38"/>
      <c r="I28" s="72"/>
    </row>
    <row r="29" spans="1:10" ht="18" x14ac:dyDescent="0.2">
      <c r="B29" s="38"/>
      <c r="I29" s="72"/>
    </row>
    <row r="30" spans="1:10" ht="18" x14ac:dyDescent="0.2">
      <c r="B30" s="38"/>
      <c r="I30" s="72"/>
    </row>
    <row r="31" spans="1:10" ht="18" x14ac:dyDescent="0.2">
      <c r="B31" s="38"/>
      <c r="I31" s="72"/>
    </row>
    <row r="32" spans="1:10" ht="18" x14ac:dyDescent="0.2">
      <c r="B32" s="2" t="s">
        <v>132</v>
      </c>
      <c r="C32" s="2" t="s">
        <v>133</v>
      </c>
      <c r="D32" s="2" t="s">
        <v>162</v>
      </c>
      <c r="E32" s="2" t="s">
        <v>169</v>
      </c>
      <c r="F32" s="2" t="s">
        <v>134</v>
      </c>
      <c r="I32" s="72"/>
    </row>
    <row r="33" spans="1:9" ht="18" x14ac:dyDescent="0.2">
      <c r="A33" s="2" t="s">
        <v>75</v>
      </c>
      <c r="B33" s="7">
        <f>17*60000+32818</f>
        <v>1052818</v>
      </c>
      <c r="C33" s="7">
        <v>2031012</v>
      </c>
      <c r="D33" s="7">
        <v>2659960</v>
      </c>
      <c r="E33" s="22"/>
      <c r="F33" s="7">
        <v>9994200</v>
      </c>
      <c r="I33" s="72"/>
    </row>
    <row r="34" spans="1:9" ht="18" x14ac:dyDescent="0.2">
      <c r="A34" s="2" t="s">
        <v>27</v>
      </c>
      <c r="B34" s="7">
        <f>13*60000+36693</f>
        <v>816693</v>
      </c>
      <c r="C34" s="7">
        <v>1550110</v>
      </c>
      <c r="D34" s="7">
        <v>1637836</v>
      </c>
      <c r="E34" s="22"/>
      <c r="F34" s="7">
        <v>2261877</v>
      </c>
      <c r="I34" s="72"/>
    </row>
    <row r="35" spans="1:9" ht="18" x14ac:dyDescent="0.2">
      <c r="A35" s="2" t="s">
        <v>78</v>
      </c>
      <c r="B35" s="7">
        <f>9*60000+21555</f>
        <v>561555</v>
      </c>
      <c r="C35" s="7">
        <v>1357122</v>
      </c>
      <c r="D35" s="7">
        <v>1467185</v>
      </c>
      <c r="E35" s="22"/>
      <c r="F35" s="7">
        <v>1788415</v>
      </c>
      <c r="I35" s="72"/>
    </row>
    <row r="36" spans="1:9" ht="18" x14ac:dyDescent="0.2">
      <c r="A36" s="2" t="s">
        <v>80</v>
      </c>
      <c r="B36" s="7">
        <f>13*60000+36483</f>
        <v>816483</v>
      </c>
      <c r="C36" s="7">
        <v>1967186</v>
      </c>
      <c r="D36" s="7">
        <v>2954897</v>
      </c>
      <c r="E36" s="22"/>
      <c r="F36" s="7" t="s">
        <v>147</v>
      </c>
      <c r="I36" s="72"/>
    </row>
    <row r="37" spans="1:9" ht="18" x14ac:dyDescent="0.2">
      <c r="A37" s="2" t="s">
        <v>81</v>
      </c>
      <c r="B37" s="7">
        <f>16*60000+46630</f>
        <v>1006630</v>
      </c>
      <c r="C37" s="7">
        <v>2276682</v>
      </c>
      <c r="D37" s="7">
        <v>3537412</v>
      </c>
      <c r="E37" s="22"/>
      <c r="F37" s="7">
        <v>24130564</v>
      </c>
      <c r="I37" s="72"/>
    </row>
    <row r="38" spans="1:9" ht="18" x14ac:dyDescent="0.2">
      <c r="A38" s="2" t="s">
        <v>85</v>
      </c>
      <c r="B38" s="7">
        <f>22*60000+17959</f>
        <v>1337959</v>
      </c>
      <c r="C38" s="7">
        <v>2226512</v>
      </c>
      <c r="D38" s="7">
        <v>2754826</v>
      </c>
      <c r="E38" s="22"/>
      <c r="F38" s="7">
        <v>11302430</v>
      </c>
      <c r="I38" s="72"/>
    </row>
    <row r="39" spans="1:9" ht="18" x14ac:dyDescent="0.2">
      <c r="A39" s="2" t="s">
        <v>83</v>
      </c>
      <c r="B39" s="7">
        <f>5*60000+42885</f>
        <v>342885</v>
      </c>
      <c r="C39" s="7">
        <v>1045588</v>
      </c>
      <c r="D39" s="7">
        <v>1072676</v>
      </c>
      <c r="E39" s="22"/>
      <c r="F39" s="7">
        <v>1641335</v>
      </c>
      <c r="I39" s="72"/>
    </row>
    <row r="40" spans="1:9" ht="18" x14ac:dyDescent="0.2">
      <c r="A40" s="2" t="s">
        <v>32</v>
      </c>
      <c r="B40" s="7">
        <f>35*60000+53501</f>
        <v>2153501</v>
      </c>
      <c r="C40" s="7">
        <v>3330912</v>
      </c>
      <c r="D40" s="7">
        <v>4458237</v>
      </c>
      <c r="E40" s="22"/>
      <c r="F40" s="7">
        <v>17469716</v>
      </c>
      <c r="I40" s="72"/>
    </row>
    <row r="41" spans="1:9" ht="18" x14ac:dyDescent="0.2">
      <c r="A41" s="2" t="s">
        <v>34</v>
      </c>
      <c r="B41" s="7">
        <f>4*60000+31695</f>
        <v>271695</v>
      </c>
      <c r="C41" s="7">
        <v>930676</v>
      </c>
      <c r="D41" s="7">
        <v>1011368</v>
      </c>
      <c r="E41" s="22"/>
      <c r="F41" s="7">
        <v>1178330</v>
      </c>
      <c r="I41" s="72"/>
    </row>
    <row r="42" spans="1:9" ht="18" x14ac:dyDescent="0.2">
      <c r="A42" s="2" t="s">
        <v>38</v>
      </c>
      <c r="B42" s="7">
        <f>17+60000+34340</f>
        <v>94357</v>
      </c>
      <c r="C42" s="7">
        <v>2202799</v>
      </c>
      <c r="D42" s="7">
        <v>3511199</v>
      </c>
      <c r="E42" s="22"/>
      <c r="F42" s="7" t="s">
        <v>147</v>
      </c>
      <c r="I42" s="72"/>
    </row>
    <row r="43" spans="1:9" ht="18" x14ac:dyDescent="0.2">
      <c r="A43" s="2" t="s">
        <v>40</v>
      </c>
      <c r="B43" s="7">
        <f>16*60000+44444</f>
        <v>1004444</v>
      </c>
      <c r="C43" s="7">
        <v>2229043</v>
      </c>
      <c r="D43" s="7">
        <v>3458414</v>
      </c>
      <c r="E43" s="22"/>
      <c r="F43" s="7">
        <v>24391148</v>
      </c>
      <c r="I43" s="72"/>
    </row>
    <row r="44" spans="1:9" ht="18" x14ac:dyDescent="0.2">
      <c r="A44" s="2" t="s">
        <v>41</v>
      </c>
      <c r="B44" s="7">
        <f>10*60000+37591</f>
        <v>637591</v>
      </c>
      <c r="C44" s="7">
        <v>1210424</v>
      </c>
      <c r="D44" s="7">
        <v>1431238</v>
      </c>
      <c r="E44" s="22"/>
      <c r="F44" s="7">
        <v>4835889</v>
      </c>
      <c r="I44" s="72"/>
    </row>
    <row r="45" spans="1:9" ht="18" x14ac:dyDescent="0.2">
      <c r="A45" s="2" t="s">
        <v>42</v>
      </c>
      <c r="B45" s="7">
        <f>10*60000+4055</f>
        <v>604055</v>
      </c>
      <c r="C45" s="7">
        <v>1348431</v>
      </c>
      <c r="D45" s="7">
        <v>1493717</v>
      </c>
      <c r="E45" s="22"/>
      <c r="F45" s="7">
        <v>2015262</v>
      </c>
      <c r="I45" s="72"/>
    </row>
    <row r="46" spans="1:9" ht="18" x14ac:dyDescent="0.2">
      <c r="B46" s="38"/>
      <c r="I46" s="72"/>
    </row>
    <row r="47" spans="1:9" ht="18" x14ac:dyDescent="0.2">
      <c r="B47" s="38"/>
      <c r="I47" s="72"/>
    </row>
    <row r="48" spans="1:9" ht="18" x14ac:dyDescent="0.2">
      <c r="B48" s="38"/>
      <c r="I48" s="72"/>
    </row>
    <row r="49" spans="1:13" ht="18" x14ac:dyDescent="0.2">
      <c r="B49" s="38"/>
      <c r="I49" s="72"/>
    </row>
    <row r="52" spans="1:13" ht="18" x14ac:dyDescent="0.2">
      <c r="A52" s="2" t="s">
        <v>168</v>
      </c>
      <c r="B52" s="2" t="s">
        <v>132</v>
      </c>
      <c r="C52" s="2" t="s">
        <v>133</v>
      </c>
      <c r="D52" s="2" t="s">
        <v>162</v>
      </c>
      <c r="E52" s="2" t="s">
        <v>169</v>
      </c>
      <c r="F52" s="2" t="s">
        <v>134</v>
      </c>
      <c r="H52" s="2" t="s">
        <v>168</v>
      </c>
      <c r="I52" s="2" t="s">
        <v>133</v>
      </c>
      <c r="J52" s="2" t="s">
        <v>162</v>
      </c>
      <c r="K52" s="2" t="s">
        <v>169</v>
      </c>
      <c r="L52" s="2" t="s">
        <v>134</v>
      </c>
      <c r="M52" s="2" t="s">
        <v>171</v>
      </c>
    </row>
    <row r="53" spans="1:13" ht="18" x14ac:dyDescent="0.2">
      <c r="A53" s="69" t="s">
        <v>75</v>
      </c>
      <c r="B53" s="7">
        <v>1009406</v>
      </c>
      <c r="C53" s="7">
        <v>803281</v>
      </c>
      <c r="D53" s="7">
        <v>1398027</v>
      </c>
      <c r="E53" s="7">
        <v>6608963</v>
      </c>
      <c r="F53" s="7">
        <v>7098098</v>
      </c>
      <c r="H53" s="2" t="s">
        <v>75</v>
      </c>
      <c r="I53" s="66">
        <f>C53/$C53</f>
        <v>1</v>
      </c>
      <c r="J53" s="66">
        <f t="shared" ref="J53:L68" si="1">D53/$C53</f>
        <v>1.7403959511055285</v>
      </c>
      <c r="K53" s="66">
        <f t="shared" si="1"/>
        <v>8.2274608760819685</v>
      </c>
      <c r="L53" s="66">
        <f t="shared" si="1"/>
        <v>8.836382287144847</v>
      </c>
      <c r="M53" s="66">
        <f>F53/E53</f>
        <v>1.0740108546529916</v>
      </c>
    </row>
    <row r="54" spans="1:13" ht="18" x14ac:dyDescent="0.2">
      <c r="A54" s="69" t="s">
        <v>27</v>
      </c>
      <c r="B54" s="7">
        <v>820334</v>
      </c>
      <c r="C54" s="7">
        <v>427441</v>
      </c>
      <c r="D54" s="7">
        <v>437651</v>
      </c>
      <c r="E54" s="7">
        <v>594570</v>
      </c>
      <c r="F54" s="7">
        <v>621179</v>
      </c>
      <c r="H54" s="2" t="s">
        <v>27</v>
      </c>
      <c r="I54" s="66">
        <f t="shared" ref="I54:I70" si="2">C54/$C54</f>
        <v>1</v>
      </c>
      <c r="J54" s="66">
        <f t="shared" si="1"/>
        <v>1.0238863375296239</v>
      </c>
      <c r="K54" s="66">
        <f t="shared" si="1"/>
        <v>1.3909989916737047</v>
      </c>
      <c r="L54" s="66">
        <f t="shared" si="1"/>
        <v>1.4532508580131527</v>
      </c>
      <c r="M54" s="66">
        <f t="shared" ref="M54:M70" si="3">F54/E54</f>
        <v>1.0447533511613436</v>
      </c>
    </row>
    <row r="55" spans="1:13" ht="18" x14ac:dyDescent="0.2">
      <c r="A55" s="69" t="s">
        <v>28</v>
      </c>
      <c r="B55" s="7">
        <v>2302762</v>
      </c>
      <c r="C55" s="7">
        <v>1087868</v>
      </c>
      <c r="D55" s="7">
        <v>1200437</v>
      </c>
      <c r="E55" s="7">
        <v>2344441</v>
      </c>
      <c r="F55" s="7">
        <v>2446417</v>
      </c>
      <c r="H55" s="2" t="s">
        <v>28</v>
      </c>
      <c r="I55" s="66">
        <f t="shared" si="2"/>
        <v>1</v>
      </c>
      <c r="J55" s="66">
        <f t="shared" si="1"/>
        <v>1.1034767085712605</v>
      </c>
      <c r="K55" s="66">
        <f t="shared" si="1"/>
        <v>2.1550785573249698</v>
      </c>
      <c r="L55" s="66">
        <f t="shared" si="1"/>
        <v>2.2488178712858544</v>
      </c>
      <c r="M55" s="66">
        <f t="shared" si="3"/>
        <v>1.0434969359433657</v>
      </c>
    </row>
    <row r="56" spans="1:13" ht="18" x14ac:dyDescent="0.2">
      <c r="A56" s="69" t="s">
        <v>78</v>
      </c>
      <c r="B56" s="7">
        <v>631436</v>
      </c>
      <c r="C56" s="7">
        <v>522359</v>
      </c>
      <c r="D56" s="7">
        <v>524071</v>
      </c>
      <c r="E56" s="7">
        <v>525102</v>
      </c>
      <c r="F56" s="7">
        <v>524636</v>
      </c>
      <c r="H56" s="2" t="s">
        <v>78</v>
      </c>
      <c r="I56" s="66">
        <f t="shared" si="2"/>
        <v>1</v>
      </c>
      <c r="J56" s="66">
        <f t="shared" si="1"/>
        <v>1.0032774394621324</v>
      </c>
      <c r="K56" s="66">
        <f t="shared" si="1"/>
        <v>1.0052511778298068</v>
      </c>
      <c r="L56" s="66">
        <f t="shared" si="1"/>
        <v>1.0043590710603245</v>
      </c>
      <c r="M56" s="66">
        <f t="shared" si="3"/>
        <v>0.99911255337058325</v>
      </c>
    </row>
    <row r="57" spans="1:13" ht="18" x14ac:dyDescent="0.2">
      <c r="A57" s="69" t="s">
        <v>77</v>
      </c>
      <c r="B57" s="7">
        <v>988717</v>
      </c>
      <c r="C57" s="7">
        <v>636628</v>
      </c>
      <c r="D57" s="7">
        <v>979844</v>
      </c>
      <c r="E57" s="7">
        <v>3433690</v>
      </c>
      <c r="F57" s="7">
        <v>4032104</v>
      </c>
      <c r="H57" s="2" t="s">
        <v>77</v>
      </c>
      <c r="I57" s="66">
        <f t="shared" si="2"/>
        <v>1</v>
      </c>
      <c r="J57" s="66">
        <f t="shared" si="1"/>
        <v>1.539115464604133</v>
      </c>
      <c r="K57" s="66">
        <f t="shared" si="1"/>
        <v>5.3935579333613974</v>
      </c>
      <c r="L57" s="66">
        <f t="shared" si="1"/>
        <v>6.3335322982966504</v>
      </c>
      <c r="M57" s="66">
        <f t="shared" si="3"/>
        <v>1.1742772352775004</v>
      </c>
    </row>
    <row r="58" spans="1:13" ht="18" x14ac:dyDescent="0.2">
      <c r="A58" s="69" t="s">
        <v>79</v>
      </c>
      <c r="B58" s="7">
        <v>364988</v>
      </c>
      <c r="C58" s="7">
        <v>272984</v>
      </c>
      <c r="D58" s="7">
        <v>357157</v>
      </c>
      <c r="E58" s="7">
        <v>1179991</v>
      </c>
      <c r="F58" s="7">
        <v>1352037</v>
      </c>
      <c r="H58" s="2" t="s">
        <v>79</v>
      </c>
      <c r="I58" s="66">
        <f t="shared" si="2"/>
        <v>1</v>
      </c>
      <c r="J58" s="66">
        <f t="shared" si="1"/>
        <v>1.3083440787738476</v>
      </c>
      <c r="K58" s="66">
        <f t="shared" si="1"/>
        <v>4.3225646924361865</v>
      </c>
      <c r="L58" s="66">
        <f t="shared" si="1"/>
        <v>4.9528067579052255</v>
      </c>
      <c r="M58" s="66">
        <f t="shared" si="3"/>
        <v>1.1458028069705617</v>
      </c>
    </row>
    <row r="59" spans="1:13" ht="18" x14ac:dyDescent="0.2">
      <c r="A59" s="69" t="s">
        <v>80</v>
      </c>
      <c r="B59" s="7">
        <v>756137</v>
      </c>
      <c r="C59" s="7">
        <v>574802</v>
      </c>
      <c r="D59" s="7">
        <v>739670</v>
      </c>
      <c r="E59" s="7">
        <v>2786625</v>
      </c>
      <c r="F59" s="7">
        <v>3503532</v>
      </c>
      <c r="H59" s="2" t="s">
        <v>80</v>
      </c>
      <c r="I59" s="66">
        <f t="shared" si="2"/>
        <v>1</v>
      </c>
      <c r="J59" s="66">
        <f t="shared" si="1"/>
        <v>1.2868257243363801</v>
      </c>
      <c r="K59" s="66">
        <f t="shared" si="1"/>
        <v>4.8479737370433647</v>
      </c>
      <c r="L59" s="66">
        <f t="shared" si="1"/>
        <v>6.0951979986151752</v>
      </c>
      <c r="M59" s="66">
        <f t="shared" si="3"/>
        <v>1.2572671242093931</v>
      </c>
    </row>
    <row r="60" spans="1:13" ht="18" x14ac:dyDescent="0.2">
      <c r="A60" s="69" t="s">
        <v>81</v>
      </c>
      <c r="B60" s="7">
        <v>927558</v>
      </c>
      <c r="C60" s="7">
        <v>709865</v>
      </c>
      <c r="D60" s="7">
        <v>908102</v>
      </c>
      <c r="E60" s="7">
        <v>3838960</v>
      </c>
      <c r="F60" s="7">
        <v>4646660</v>
      </c>
      <c r="H60" s="2" t="s">
        <v>81</v>
      </c>
      <c r="I60" s="66">
        <f t="shared" si="2"/>
        <v>1</v>
      </c>
      <c r="J60" s="66">
        <f t="shared" si="1"/>
        <v>1.2792601410127278</v>
      </c>
      <c r="K60" s="66">
        <f t="shared" si="1"/>
        <v>5.408014199883076</v>
      </c>
      <c r="L60" s="66">
        <f t="shared" si="1"/>
        <v>6.545836180118755</v>
      </c>
      <c r="M60" s="66">
        <f t="shared" si="3"/>
        <v>1.2103955237876924</v>
      </c>
    </row>
    <row r="61" spans="1:13" ht="18" x14ac:dyDescent="0.2">
      <c r="A61" s="69" t="s">
        <v>85</v>
      </c>
      <c r="B61" s="7">
        <v>1154414</v>
      </c>
      <c r="C61" s="7">
        <v>864978</v>
      </c>
      <c r="D61" s="7">
        <v>988849</v>
      </c>
      <c r="E61" s="7">
        <v>3694340</v>
      </c>
      <c r="F61" s="7">
        <v>4062195</v>
      </c>
      <c r="H61" s="2" t="s">
        <v>85</v>
      </c>
      <c r="I61" s="66">
        <f t="shared" si="2"/>
        <v>1</v>
      </c>
      <c r="J61" s="66">
        <f t="shared" si="1"/>
        <v>1.1432071104698616</v>
      </c>
      <c r="K61" s="66">
        <f t="shared" si="1"/>
        <v>4.2710219219448353</v>
      </c>
      <c r="L61" s="66">
        <f t="shared" si="1"/>
        <v>4.6962986341849158</v>
      </c>
      <c r="M61" s="66">
        <f t="shared" si="3"/>
        <v>1.099572589420573</v>
      </c>
    </row>
    <row r="62" spans="1:13" ht="18" x14ac:dyDescent="0.2">
      <c r="A62" s="69" t="s">
        <v>83</v>
      </c>
      <c r="B62" s="7">
        <v>374738</v>
      </c>
      <c r="C62" s="7">
        <v>194037</v>
      </c>
      <c r="D62" s="7">
        <v>204273</v>
      </c>
      <c r="E62" s="7">
        <v>289444</v>
      </c>
      <c r="F62" s="7">
        <v>297207</v>
      </c>
      <c r="H62" s="2" t="s">
        <v>83</v>
      </c>
      <c r="I62" s="66">
        <f t="shared" si="2"/>
        <v>1</v>
      </c>
      <c r="J62" s="66">
        <f t="shared" si="1"/>
        <v>1.0527528254920453</v>
      </c>
      <c r="K62" s="66">
        <f t="shared" si="1"/>
        <v>1.4916948829346981</v>
      </c>
      <c r="L62" s="66">
        <f t="shared" si="1"/>
        <v>1.5317027164922155</v>
      </c>
      <c r="M62" s="66">
        <f t="shared" si="3"/>
        <v>1.0268203866723788</v>
      </c>
    </row>
    <row r="63" spans="1:13" ht="18" x14ac:dyDescent="0.2">
      <c r="A63" s="69" t="s">
        <v>32</v>
      </c>
      <c r="B63" s="7">
        <v>2102818</v>
      </c>
      <c r="C63" s="7">
        <v>1787399</v>
      </c>
      <c r="D63" s="7">
        <v>2754399</v>
      </c>
      <c r="E63" s="7">
        <v>12859833</v>
      </c>
      <c r="F63" s="7">
        <v>13749035</v>
      </c>
      <c r="H63" s="2" t="s">
        <v>32</v>
      </c>
      <c r="I63" s="66">
        <f t="shared" si="2"/>
        <v>1</v>
      </c>
      <c r="J63" s="66">
        <f t="shared" si="1"/>
        <v>1.5410095899124929</v>
      </c>
      <c r="K63" s="66">
        <f t="shared" si="1"/>
        <v>7.1947186945947719</v>
      </c>
      <c r="L63" s="66">
        <f t="shared" si="1"/>
        <v>7.6922024685031154</v>
      </c>
      <c r="M63" s="66">
        <f t="shared" si="3"/>
        <v>1.0691456879727754</v>
      </c>
    </row>
    <row r="64" spans="1:13" ht="18" x14ac:dyDescent="0.2">
      <c r="A64" s="69" t="s">
        <v>34</v>
      </c>
      <c r="B64" s="7">
        <v>259856</v>
      </c>
      <c r="C64" s="7">
        <v>380190</v>
      </c>
      <c r="D64" s="7">
        <v>381297</v>
      </c>
      <c r="E64" s="7">
        <v>361447</v>
      </c>
      <c r="F64" s="7">
        <v>317007</v>
      </c>
      <c r="H64" s="2" t="s">
        <v>34</v>
      </c>
      <c r="I64" s="66">
        <f t="shared" si="2"/>
        <v>1</v>
      </c>
      <c r="J64" s="66">
        <f t="shared" si="1"/>
        <v>1.002911702043715</v>
      </c>
      <c r="K64" s="66">
        <f t="shared" si="1"/>
        <v>0.95070096530682024</v>
      </c>
      <c r="L64" s="66">
        <f t="shared" si="1"/>
        <v>0.83381204134774722</v>
      </c>
      <c r="M64" s="66">
        <f t="shared" si="3"/>
        <v>0.87704974726585083</v>
      </c>
    </row>
    <row r="65" spans="1:13" ht="18" x14ac:dyDescent="0.2">
      <c r="A65" s="69" t="s">
        <v>36</v>
      </c>
      <c r="B65" s="7">
        <v>990066</v>
      </c>
      <c r="C65" s="7">
        <v>663523</v>
      </c>
      <c r="D65" s="7">
        <v>990350</v>
      </c>
      <c r="E65" s="7">
        <v>3388618</v>
      </c>
      <c r="F65" s="7">
        <v>3814566</v>
      </c>
      <c r="H65" s="2" t="s">
        <v>36</v>
      </c>
      <c r="I65" s="66">
        <f t="shared" si="2"/>
        <v>1</v>
      </c>
      <c r="J65" s="66">
        <f t="shared" si="1"/>
        <v>1.4925631816832272</v>
      </c>
      <c r="K65" s="66">
        <f t="shared" si="1"/>
        <v>5.1070091014177352</v>
      </c>
      <c r="L65" s="66">
        <f t="shared" si="1"/>
        <v>5.7489582124508116</v>
      </c>
      <c r="M65" s="66">
        <f t="shared" si="3"/>
        <v>1.1256996214976134</v>
      </c>
    </row>
    <row r="66" spans="1:13" ht="18" x14ac:dyDescent="0.2">
      <c r="A66" s="69" t="s">
        <v>37</v>
      </c>
      <c r="B66" s="7">
        <v>366735</v>
      </c>
      <c r="C66" s="7">
        <v>264977</v>
      </c>
      <c r="D66" s="7">
        <v>357624</v>
      </c>
      <c r="E66" s="7">
        <v>1179265</v>
      </c>
      <c r="F66" s="7">
        <v>1359527</v>
      </c>
      <c r="G66">
        <f t="shared" ref="G66:G70" si="4">F46/F66</f>
        <v>0</v>
      </c>
      <c r="H66" s="2" t="s">
        <v>37</v>
      </c>
      <c r="I66" s="66">
        <f t="shared" si="2"/>
        <v>1</v>
      </c>
      <c r="J66" s="66">
        <f t="shared" si="1"/>
        <v>1.3496416670126086</v>
      </c>
      <c r="K66" s="66">
        <f t="shared" si="1"/>
        <v>4.4504428686263333</v>
      </c>
      <c r="L66" s="66">
        <f t="shared" si="1"/>
        <v>5.130735875189167</v>
      </c>
      <c r="M66" s="66">
        <f t="shared" si="3"/>
        <v>1.1528596201871504</v>
      </c>
    </row>
    <row r="67" spans="1:13" ht="18" x14ac:dyDescent="0.2">
      <c r="A67" s="69" t="s">
        <v>38</v>
      </c>
      <c r="B67" s="7">
        <v>991743</v>
      </c>
      <c r="C67" s="7">
        <v>809693</v>
      </c>
      <c r="D67" s="7">
        <v>935507</v>
      </c>
      <c r="E67" s="7">
        <v>3400346</v>
      </c>
      <c r="F67" s="7">
        <v>4277615</v>
      </c>
      <c r="G67">
        <f t="shared" si="4"/>
        <v>0</v>
      </c>
      <c r="H67" s="2" t="s">
        <v>38</v>
      </c>
      <c r="I67" s="66">
        <f t="shared" si="2"/>
        <v>1</v>
      </c>
      <c r="J67" s="66">
        <f t="shared" si="1"/>
        <v>1.1553848186905407</v>
      </c>
      <c r="K67" s="66">
        <f t="shared" si="1"/>
        <v>4.1995497058761782</v>
      </c>
      <c r="L67" s="66">
        <f t="shared" si="1"/>
        <v>5.2830084982826824</v>
      </c>
      <c r="M67" s="66">
        <f t="shared" si="3"/>
        <v>1.257994039430105</v>
      </c>
    </row>
    <row r="68" spans="1:13" ht="18" x14ac:dyDescent="0.2">
      <c r="A68" s="69" t="s">
        <v>40</v>
      </c>
      <c r="B68" s="7">
        <v>920033</v>
      </c>
      <c r="C68" s="7">
        <v>741946</v>
      </c>
      <c r="D68" s="7">
        <v>891427</v>
      </c>
      <c r="E68" s="7">
        <v>3863736</v>
      </c>
      <c r="F68" s="7">
        <v>4684788</v>
      </c>
      <c r="G68">
        <f t="shared" si="4"/>
        <v>0</v>
      </c>
      <c r="H68" s="2" t="s">
        <v>40</v>
      </c>
      <c r="I68" s="66">
        <f t="shared" si="2"/>
        <v>1</v>
      </c>
      <c r="J68" s="66">
        <f t="shared" si="1"/>
        <v>1.2014715356643206</v>
      </c>
      <c r="K68" s="66">
        <f t="shared" si="1"/>
        <v>5.207570362263561</v>
      </c>
      <c r="L68" s="66">
        <f t="shared" si="1"/>
        <v>6.3141899814811318</v>
      </c>
      <c r="M68" s="66">
        <f t="shared" si="3"/>
        <v>1.2125020964165254</v>
      </c>
    </row>
    <row r="69" spans="1:13" ht="18" x14ac:dyDescent="0.2">
      <c r="A69" s="69" t="s">
        <v>41</v>
      </c>
      <c r="B69" s="7">
        <v>352973</v>
      </c>
      <c r="C69" s="7">
        <v>289585</v>
      </c>
      <c r="D69" s="7">
        <v>352424</v>
      </c>
      <c r="E69" s="7">
        <v>1462945</v>
      </c>
      <c r="F69" s="7">
        <v>1645227</v>
      </c>
      <c r="G69">
        <f t="shared" si="4"/>
        <v>0</v>
      </c>
      <c r="H69" s="2" t="s">
        <v>41</v>
      </c>
      <c r="I69" s="66">
        <f t="shared" si="2"/>
        <v>1</v>
      </c>
      <c r="J69" s="66">
        <f t="shared" ref="J69:J70" si="5">D69/$C69</f>
        <v>1.216996736709429</v>
      </c>
      <c r="K69" s="66">
        <f t="shared" ref="K69:K70" si="6">E69/$C69</f>
        <v>5.0518673273822881</v>
      </c>
      <c r="L69" s="66">
        <f t="shared" ref="L69:L70" si="7">F69/$C69</f>
        <v>5.6813267261771152</v>
      </c>
      <c r="M69" s="66">
        <f t="shared" si="3"/>
        <v>1.1245993526755962</v>
      </c>
    </row>
    <row r="70" spans="1:13" ht="18" x14ac:dyDescent="0.2">
      <c r="A70" s="69" t="s">
        <v>42</v>
      </c>
      <c r="B70" s="7">
        <v>587873</v>
      </c>
      <c r="C70" s="7">
        <v>255334</v>
      </c>
      <c r="D70" s="7">
        <v>262960</v>
      </c>
      <c r="E70" s="7">
        <v>384437</v>
      </c>
      <c r="F70" s="7">
        <v>428016</v>
      </c>
      <c r="G70">
        <f t="shared" si="4"/>
        <v>0</v>
      </c>
      <c r="H70" s="2" t="s">
        <v>42</v>
      </c>
      <c r="I70" s="66">
        <f t="shared" si="2"/>
        <v>1</v>
      </c>
      <c r="J70" s="66">
        <f t="shared" si="5"/>
        <v>1.0298667627499667</v>
      </c>
      <c r="K70" s="66">
        <f t="shared" si="6"/>
        <v>1.5056240062036392</v>
      </c>
      <c r="L70" s="66">
        <f t="shared" si="7"/>
        <v>1.6762984953041897</v>
      </c>
      <c r="M70" s="66">
        <f t="shared" si="3"/>
        <v>1.1133579754290039</v>
      </c>
    </row>
    <row r="71" spans="1:13" ht="18" x14ac:dyDescent="0.2">
      <c r="H71" s="2" t="s">
        <v>170</v>
      </c>
      <c r="I71" s="66">
        <f>GEOMEAN(I53:I70)</f>
        <v>1</v>
      </c>
      <c r="J71" s="66">
        <f>GEOMEAN(J53:J70)</f>
        <v>1.2318021091619606</v>
      </c>
      <c r="K71" s="66">
        <f>GEOMEAN(K53:K70)</f>
        <v>3.3271875258602188</v>
      </c>
      <c r="L71" s="66">
        <f>GEOMEAN(L53:L70)</f>
        <v>3.6849301318511754</v>
      </c>
      <c r="M71" s="66">
        <f>GEOMEAN(M53:M70)</f>
        <v>1.1075210228490096</v>
      </c>
    </row>
    <row r="74" spans="1:13" ht="18" x14ac:dyDescent="0.2">
      <c r="A74" s="2" t="s">
        <v>168</v>
      </c>
      <c r="B74" s="2" t="s">
        <v>132</v>
      </c>
      <c r="C74" s="2" t="s">
        <v>133</v>
      </c>
      <c r="D74" s="2" t="s">
        <v>162</v>
      </c>
      <c r="E74" s="2" t="s">
        <v>169</v>
      </c>
      <c r="F74" s="2" t="s">
        <v>134</v>
      </c>
    </row>
    <row r="75" spans="1:13" ht="18" x14ac:dyDescent="0.2">
      <c r="A75" s="2" t="s">
        <v>166</v>
      </c>
      <c r="B75" s="7">
        <v>5</v>
      </c>
      <c r="C75" s="66">
        <v>47</v>
      </c>
      <c r="D75" s="66">
        <v>100</v>
      </c>
      <c r="E75" s="7"/>
      <c r="F75" s="7">
        <v>102</v>
      </c>
      <c r="G75" s="70"/>
      <c r="H75" s="2" t="s">
        <v>168</v>
      </c>
      <c r="I75" t="s">
        <v>171</v>
      </c>
    </row>
    <row r="76" spans="1:13" ht="18" x14ac:dyDescent="0.2">
      <c r="A76" s="2" t="s">
        <v>135</v>
      </c>
      <c r="B76" s="7">
        <v>9</v>
      </c>
      <c r="C76" s="66">
        <v>46</v>
      </c>
      <c r="D76" s="66">
        <v>76</v>
      </c>
      <c r="E76" s="7"/>
      <c r="F76" s="7">
        <v>101</v>
      </c>
      <c r="G76" s="70"/>
      <c r="H76" s="2" t="s">
        <v>75</v>
      </c>
      <c r="I76" s="2">
        <v>1.0740108546529916</v>
      </c>
    </row>
    <row r="77" spans="1:13" ht="18" x14ac:dyDescent="0.2">
      <c r="A77" s="2" t="s">
        <v>136</v>
      </c>
      <c r="B77" s="7">
        <v>8</v>
      </c>
      <c r="C77" s="66">
        <v>47</v>
      </c>
      <c r="D77" s="66">
        <v>43</v>
      </c>
      <c r="E77" s="7"/>
      <c r="F77" s="7">
        <v>99</v>
      </c>
      <c r="G77" s="70"/>
      <c r="H77" s="2" t="s">
        <v>27</v>
      </c>
      <c r="I77" s="2">
        <v>1.0447533511613436</v>
      </c>
    </row>
    <row r="78" spans="1:13" ht="18" x14ac:dyDescent="0.2">
      <c r="A78" s="2" t="s">
        <v>137</v>
      </c>
      <c r="B78" s="7">
        <v>5</v>
      </c>
      <c r="C78" s="66">
        <v>23</v>
      </c>
      <c r="D78" s="66">
        <v>47</v>
      </c>
      <c r="E78" s="7"/>
      <c r="F78" s="7">
        <v>108</v>
      </c>
      <c r="G78" s="70"/>
      <c r="H78" s="2" t="s">
        <v>28</v>
      </c>
      <c r="I78" s="2">
        <v>1.0434969359433657</v>
      </c>
    </row>
    <row r="79" spans="1:13" ht="18" x14ac:dyDescent="0.2">
      <c r="A79" s="2" t="s">
        <v>138</v>
      </c>
      <c r="B79" s="7">
        <v>8</v>
      </c>
      <c r="C79" s="66">
        <v>23</v>
      </c>
      <c r="D79" s="66">
        <v>61</v>
      </c>
      <c r="E79" s="7"/>
      <c r="F79" s="7">
        <v>108</v>
      </c>
      <c r="G79" s="70"/>
      <c r="H79" s="2" t="s">
        <v>77</v>
      </c>
      <c r="I79" s="2">
        <v>1.1742772352775004</v>
      </c>
    </row>
    <row r="80" spans="1:13" ht="18" x14ac:dyDescent="0.2">
      <c r="A80" s="2" t="s">
        <v>139</v>
      </c>
      <c r="B80" s="7">
        <v>8</v>
      </c>
      <c r="C80" s="66">
        <v>22</v>
      </c>
      <c r="D80" s="66">
        <v>48</v>
      </c>
      <c r="E80" s="7"/>
      <c r="F80" s="7">
        <v>160</v>
      </c>
      <c r="G80" s="70"/>
      <c r="H80" s="2" t="s">
        <v>79</v>
      </c>
      <c r="I80" s="2">
        <v>1.1458028069705617</v>
      </c>
    </row>
    <row r="81" spans="1:9" ht="18" x14ac:dyDescent="0.2">
      <c r="A81" s="2" t="s">
        <v>140</v>
      </c>
      <c r="B81" s="7">
        <v>4</v>
      </c>
      <c r="C81" s="66">
        <v>21</v>
      </c>
      <c r="D81" s="66">
        <v>44</v>
      </c>
      <c r="E81" s="7"/>
      <c r="F81" s="7">
        <v>98</v>
      </c>
      <c r="G81" s="70"/>
      <c r="H81" s="2" t="s">
        <v>80</v>
      </c>
      <c r="I81" s="2">
        <v>1.2572671242093931</v>
      </c>
    </row>
    <row r="82" spans="1:9" ht="18" x14ac:dyDescent="0.2">
      <c r="A82" s="2" t="s">
        <v>141</v>
      </c>
      <c r="B82" s="7">
        <v>8</v>
      </c>
      <c r="C82" s="66">
        <v>40</v>
      </c>
      <c r="D82" s="66">
        <v>137</v>
      </c>
      <c r="E82" s="7"/>
      <c r="F82" s="7">
        <v>213</v>
      </c>
      <c r="G82" s="70"/>
      <c r="H82" s="2" t="s">
        <v>81</v>
      </c>
      <c r="I82" s="2">
        <v>1.2103955237876924</v>
      </c>
    </row>
    <row r="83" spans="1:9" ht="18" x14ac:dyDescent="0.2">
      <c r="A83" s="2" t="s">
        <v>142</v>
      </c>
      <c r="B83" s="7">
        <v>8</v>
      </c>
      <c r="C83" s="66">
        <v>21</v>
      </c>
      <c r="D83" s="66">
        <v>51</v>
      </c>
      <c r="E83" s="7"/>
      <c r="F83" s="7">
        <v>99</v>
      </c>
      <c r="G83" s="70"/>
      <c r="H83" s="2" t="s">
        <v>85</v>
      </c>
      <c r="I83" s="2">
        <v>1.099572589420573</v>
      </c>
    </row>
    <row r="84" spans="1:9" ht="18" x14ac:dyDescent="0.2">
      <c r="A84" s="2" t="s">
        <v>143</v>
      </c>
      <c r="B84" s="7">
        <v>3448</v>
      </c>
      <c r="C84" s="66">
        <v>18194</v>
      </c>
      <c r="D84" s="66">
        <v>23973</v>
      </c>
      <c r="E84" s="7"/>
      <c r="F84" s="7">
        <v>317948</v>
      </c>
      <c r="G84" s="70"/>
      <c r="H84" s="2" t="s">
        <v>83</v>
      </c>
      <c r="I84" s="2">
        <v>1.0268203866723788</v>
      </c>
    </row>
    <row r="85" spans="1:9" ht="18" x14ac:dyDescent="0.2">
      <c r="A85" s="2" t="s">
        <v>145</v>
      </c>
      <c r="B85" s="7">
        <v>25</v>
      </c>
      <c r="C85" s="66">
        <v>386</v>
      </c>
      <c r="D85" s="66">
        <v>543</v>
      </c>
      <c r="E85" s="7"/>
      <c r="F85" s="7">
        <v>899</v>
      </c>
      <c r="G85" s="70"/>
      <c r="H85" s="2" t="s">
        <v>32</v>
      </c>
      <c r="I85" s="2">
        <v>1.0691456879727754</v>
      </c>
    </row>
    <row r="86" spans="1:9" ht="18" x14ac:dyDescent="0.2">
      <c r="A86" s="2" t="s">
        <v>75</v>
      </c>
      <c r="B86" s="7">
        <v>1049932</v>
      </c>
      <c r="C86" s="66">
        <v>815670</v>
      </c>
      <c r="D86" s="66">
        <v>1347109</v>
      </c>
      <c r="E86" s="7"/>
      <c r="F86" s="7">
        <v>7107185</v>
      </c>
      <c r="G86" s="70"/>
      <c r="H86" s="2" t="s">
        <v>36</v>
      </c>
      <c r="I86" s="2">
        <v>1.1256996214976134</v>
      </c>
    </row>
    <row r="87" spans="1:9" ht="18" x14ac:dyDescent="0.2">
      <c r="A87" s="2" t="s">
        <v>27</v>
      </c>
      <c r="B87" s="7">
        <v>815891</v>
      </c>
      <c r="C87" s="66">
        <v>427490</v>
      </c>
      <c r="D87" s="66">
        <v>439183</v>
      </c>
      <c r="E87" s="7"/>
      <c r="F87" s="7">
        <v>621875</v>
      </c>
      <c r="G87" s="70"/>
      <c r="H87" s="2" t="s">
        <v>37</v>
      </c>
      <c r="I87" s="2">
        <v>1.1528596201871504</v>
      </c>
    </row>
    <row r="88" spans="1:9" ht="18" x14ac:dyDescent="0.2">
      <c r="A88" s="2" t="s">
        <v>28</v>
      </c>
      <c r="B88" s="7">
        <v>2301807</v>
      </c>
      <c r="C88" s="66">
        <v>1088267</v>
      </c>
      <c r="D88" s="66">
        <v>1199088</v>
      </c>
      <c r="E88" s="7"/>
      <c r="F88" s="7">
        <v>2446145</v>
      </c>
      <c r="G88" s="70"/>
      <c r="H88" s="2" t="s">
        <v>38</v>
      </c>
      <c r="I88" s="2">
        <v>1.257994039430105</v>
      </c>
    </row>
    <row r="89" spans="1:9" ht="18" x14ac:dyDescent="0.2">
      <c r="A89" s="2" t="s">
        <v>78</v>
      </c>
      <c r="B89" s="7">
        <v>652419</v>
      </c>
      <c r="C89" s="66">
        <v>525605</v>
      </c>
      <c r="D89" s="66">
        <v>525502</v>
      </c>
      <c r="E89" s="7"/>
      <c r="F89" s="7">
        <v>527340</v>
      </c>
      <c r="G89" s="70"/>
      <c r="H89" s="2" t="s">
        <v>40</v>
      </c>
      <c r="I89" s="2">
        <v>1.2125020964165254</v>
      </c>
    </row>
    <row r="90" spans="1:9" ht="18" x14ac:dyDescent="0.2">
      <c r="A90" s="2" t="s">
        <v>77</v>
      </c>
      <c r="B90" s="7">
        <v>991024</v>
      </c>
      <c r="C90" s="66">
        <v>636145</v>
      </c>
      <c r="D90" s="66">
        <v>973630</v>
      </c>
      <c r="E90" s="7"/>
      <c r="F90" s="7">
        <v>3818280</v>
      </c>
      <c r="G90" s="70"/>
      <c r="H90" s="2" t="s">
        <v>41</v>
      </c>
      <c r="I90" s="2">
        <v>1.1245993526755962</v>
      </c>
    </row>
    <row r="91" spans="1:9" ht="18" x14ac:dyDescent="0.2">
      <c r="A91" s="2" t="s">
        <v>79</v>
      </c>
      <c r="B91" s="7">
        <v>367513</v>
      </c>
      <c r="C91" s="66">
        <v>273768</v>
      </c>
      <c r="D91" s="66">
        <v>355928</v>
      </c>
      <c r="E91" s="7"/>
      <c r="F91" s="7">
        <v>1356030</v>
      </c>
      <c r="G91" s="70"/>
      <c r="H91" s="2" t="s">
        <v>42</v>
      </c>
      <c r="I91" s="2">
        <v>1.1133579754290039</v>
      </c>
    </row>
    <row r="92" spans="1:9" ht="18" x14ac:dyDescent="0.2">
      <c r="A92" s="2" t="s">
        <v>80</v>
      </c>
      <c r="B92" s="7">
        <v>759354</v>
      </c>
      <c r="C92" s="66">
        <v>563346</v>
      </c>
      <c r="D92" s="66">
        <v>743318</v>
      </c>
      <c r="E92" s="7"/>
      <c r="F92" s="7">
        <v>3503917</v>
      </c>
      <c r="G92" s="70"/>
      <c r="H92" s="2" t="s">
        <v>170</v>
      </c>
      <c r="I92" s="2">
        <v>1.1075210228490096</v>
      </c>
    </row>
    <row r="93" spans="1:9" ht="18" x14ac:dyDescent="0.2">
      <c r="A93" s="2" t="s">
        <v>81</v>
      </c>
      <c r="B93" s="7">
        <v>925248</v>
      </c>
      <c r="C93" s="66">
        <v>714886</v>
      </c>
      <c r="D93" s="66">
        <v>901811</v>
      </c>
      <c r="E93" s="7"/>
      <c r="F93" s="7"/>
      <c r="G93" s="70"/>
    </row>
    <row r="94" spans="1:9" ht="18" x14ac:dyDescent="0.2">
      <c r="A94" s="2" t="s">
        <v>85</v>
      </c>
      <c r="B94" s="7">
        <v>1150996</v>
      </c>
      <c r="C94" s="66">
        <v>860015</v>
      </c>
      <c r="D94" s="66">
        <v>996636</v>
      </c>
      <c r="E94" s="7"/>
      <c r="F94" s="7"/>
      <c r="G94" s="70"/>
    </row>
    <row r="95" spans="1:9" ht="18" x14ac:dyDescent="0.2">
      <c r="A95" s="2" t="s">
        <v>83</v>
      </c>
      <c r="B95" s="7">
        <v>340362</v>
      </c>
      <c r="C95" s="66">
        <v>193941</v>
      </c>
      <c r="D95" s="66">
        <v>204298</v>
      </c>
      <c r="E95" s="7"/>
      <c r="F95" s="7"/>
      <c r="G95" s="70"/>
      <c r="H95" s="70"/>
    </row>
    <row r="96" spans="1:9" ht="18" x14ac:dyDescent="0.2">
      <c r="A96" s="2" t="s">
        <v>32</v>
      </c>
      <c r="B96" s="7">
        <v>2077104</v>
      </c>
      <c r="C96" s="66">
        <v>1816964</v>
      </c>
      <c r="D96" s="66">
        <v>2811348</v>
      </c>
      <c r="E96" s="7"/>
      <c r="F96" s="7"/>
      <c r="G96" s="70"/>
      <c r="H96" s="70"/>
    </row>
    <row r="97" spans="1:8" ht="18" x14ac:dyDescent="0.2">
      <c r="A97" s="2" t="s">
        <v>34</v>
      </c>
      <c r="B97" s="7">
        <v>285939</v>
      </c>
      <c r="C97" s="66">
        <v>337350</v>
      </c>
      <c r="D97" s="66">
        <v>364485</v>
      </c>
      <c r="E97" s="7"/>
      <c r="F97" s="7"/>
      <c r="G97" s="70"/>
      <c r="H97" s="70"/>
    </row>
    <row r="98" spans="1:8" ht="18" x14ac:dyDescent="0.2">
      <c r="A98" s="2" t="s">
        <v>36</v>
      </c>
      <c r="B98" s="7">
        <v>986199</v>
      </c>
      <c r="C98" s="66">
        <v>638564</v>
      </c>
      <c r="D98" s="66">
        <v>986324</v>
      </c>
      <c r="E98" s="7"/>
      <c r="F98" s="7"/>
      <c r="G98" s="70"/>
      <c r="H98" s="70"/>
    </row>
    <row r="99" spans="1:8" ht="18" x14ac:dyDescent="0.2">
      <c r="A99" s="2" t="s">
        <v>37</v>
      </c>
      <c r="B99" s="7">
        <v>367063</v>
      </c>
      <c r="C99" s="66">
        <v>266604</v>
      </c>
      <c r="D99" s="66">
        <v>353854</v>
      </c>
      <c r="E99" s="7"/>
      <c r="F99" s="7"/>
      <c r="G99" s="70"/>
      <c r="H99" s="70"/>
    </row>
    <row r="100" spans="1:8" ht="18" x14ac:dyDescent="0.2">
      <c r="A100" s="2" t="s">
        <v>38</v>
      </c>
      <c r="B100" s="7">
        <v>979591</v>
      </c>
      <c r="C100" s="66">
        <v>772756</v>
      </c>
      <c r="D100" s="66">
        <v>981055</v>
      </c>
      <c r="E100" s="7"/>
      <c r="F100" s="7"/>
      <c r="G100" s="70"/>
      <c r="H100" s="70"/>
    </row>
    <row r="101" spans="1:8" ht="18" x14ac:dyDescent="0.2">
      <c r="A101" s="2" t="s">
        <v>40</v>
      </c>
      <c r="B101" s="7">
        <v>918516</v>
      </c>
      <c r="C101" s="66">
        <v>708880</v>
      </c>
      <c r="D101" s="66">
        <v>906858</v>
      </c>
      <c r="E101" s="7"/>
      <c r="F101" s="7"/>
      <c r="G101" s="70"/>
      <c r="H101" s="70"/>
    </row>
    <row r="102" spans="1:8" ht="18" x14ac:dyDescent="0.2">
      <c r="A102" s="2" t="s">
        <v>41</v>
      </c>
      <c r="B102" s="7">
        <v>356658</v>
      </c>
      <c r="C102" s="66">
        <v>289557</v>
      </c>
      <c r="D102" s="66">
        <v>341703</v>
      </c>
      <c r="E102" s="7"/>
      <c r="F102" s="7"/>
      <c r="G102" s="70"/>
      <c r="H102" s="70"/>
    </row>
    <row r="103" spans="1:8" ht="18" x14ac:dyDescent="0.2">
      <c r="A103" s="2" t="s">
        <v>42</v>
      </c>
      <c r="B103" s="7">
        <v>583768</v>
      </c>
      <c r="C103" s="66">
        <v>247804</v>
      </c>
      <c r="D103" s="66">
        <v>257193</v>
      </c>
      <c r="E103" s="7"/>
      <c r="F103" s="7"/>
      <c r="G103" s="70"/>
      <c r="H103" s="70"/>
    </row>
    <row r="114" spans="1:9" x14ac:dyDescent="0.2">
      <c r="A114" s="22"/>
      <c r="B114" s="22" t="s">
        <v>172</v>
      </c>
      <c r="C114" s="22" t="s">
        <v>173</v>
      </c>
      <c r="D114" s="22" t="s">
        <v>174</v>
      </c>
      <c r="F114" s="22"/>
      <c r="G114" s="22" t="s">
        <v>172</v>
      </c>
      <c r="H114" s="22" t="s">
        <v>173</v>
      </c>
      <c r="I114" s="22" t="s">
        <v>174</v>
      </c>
    </row>
    <row r="115" spans="1:9" ht="18" x14ac:dyDescent="0.2">
      <c r="A115" s="2" t="s">
        <v>75</v>
      </c>
      <c r="B115" s="7">
        <f>17*60000+32818</f>
        <v>1052818</v>
      </c>
      <c r="C115" s="7">
        <v>1009406</v>
      </c>
      <c r="D115" s="7">
        <v>1049932</v>
      </c>
      <c r="E115" s="21"/>
      <c r="F115" s="2" t="s">
        <v>75</v>
      </c>
      <c r="G115" s="66">
        <f>B115/$B115</f>
        <v>1</v>
      </c>
      <c r="H115" s="66">
        <f t="shared" ref="H115:I130" si="8">C115/$B115</f>
        <v>0.9587659025586569</v>
      </c>
      <c r="I115" s="66">
        <f t="shared" si="8"/>
        <v>0.99725878546909341</v>
      </c>
    </row>
    <row r="116" spans="1:9" ht="18" x14ac:dyDescent="0.2">
      <c r="A116" s="2" t="s">
        <v>27</v>
      </c>
      <c r="B116" s="7">
        <f>13*60000+36693</f>
        <v>816693</v>
      </c>
      <c r="C116" s="7">
        <v>820334</v>
      </c>
      <c r="D116" s="7">
        <v>815891</v>
      </c>
      <c r="E116" s="21"/>
      <c r="F116" s="2" t="s">
        <v>27</v>
      </c>
      <c r="G116" s="66">
        <f t="shared" ref="G116:G132" si="9">B116/$B116</f>
        <v>1</v>
      </c>
      <c r="H116" s="66">
        <f t="shared" si="8"/>
        <v>1.0044582235919739</v>
      </c>
      <c r="I116" s="66">
        <f t="shared" si="8"/>
        <v>0.99901799084845833</v>
      </c>
    </row>
    <row r="117" spans="1:9" ht="18" x14ac:dyDescent="0.2">
      <c r="A117" s="2" t="s">
        <v>28</v>
      </c>
      <c r="B117" s="71"/>
      <c r="C117" s="7">
        <v>2302762</v>
      </c>
      <c r="D117" s="7">
        <v>2301807</v>
      </c>
      <c r="E117" s="21"/>
      <c r="F117" s="2" t="s">
        <v>28</v>
      </c>
      <c r="G117" s="66"/>
      <c r="H117" s="66"/>
      <c r="I117" s="66"/>
    </row>
    <row r="118" spans="1:9" ht="18" x14ac:dyDescent="0.2">
      <c r="A118" s="2" t="s">
        <v>78</v>
      </c>
      <c r="B118" s="7">
        <f>9*60000+21555</f>
        <v>561555</v>
      </c>
      <c r="C118" s="7">
        <v>631436</v>
      </c>
      <c r="D118" s="7">
        <v>652419</v>
      </c>
      <c r="E118" s="21"/>
      <c r="F118" s="2" t="s">
        <v>78</v>
      </c>
      <c r="G118" s="66">
        <f t="shared" si="9"/>
        <v>1</v>
      </c>
      <c r="H118" s="66">
        <f t="shared" si="8"/>
        <v>1.1244419513671857</v>
      </c>
      <c r="I118" s="66">
        <f t="shared" si="8"/>
        <v>1.1618078371664395</v>
      </c>
    </row>
    <row r="119" spans="1:9" ht="18" x14ac:dyDescent="0.2">
      <c r="A119" s="2" t="s">
        <v>77</v>
      </c>
      <c r="B119" s="71"/>
      <c r="C119" s="7">
        <v>988717</v>
      </c>
      <c r="D119" s="7">
        <v>991024</v>
      </c>
      <c r="E119" s="21"/>
      <c r="F119" s="2" t="s">
        <v>77</v>
      </c>
      <c r="G119" s="66"/>
      <c r="H119" s="66"/>
      <c r="I119" s="66"/>
    </row>
    <row r="120" spans="1:9" ht="18" x14ac:dyDescent="0.2">
      <c r="A120" s="2" t="s">
        <v>79</v>
      </c>
      <c r="B120" s="71"/>
      <c r="C120" s="7">
        <v>364988</v>
      </c>
      <c r="D120" s="7">
        <v>367513</v>
      </c>
      <c r="E120" s="21"/>
      <c r="F120" s="2" t="s">
        <v>79</v>
      </c>
      <c r="G120" s="66"/>
      <c r="H120" s="66"/>
      <c r="I120" s="66"/>
    </row>
    <row r="121" spans="1:9" ht="18" x14ac:dyDescent="0.2">
      <c r="A121" s="4" t="s">
        <v>80</v>
      </c>
      <c r="B121" s="5">
        <f>13*60000+36483</f>
        <v>816483</v>
      </c>
      <c r="C121" s="5">
        <v>756137</v>
      </c>
      <c r="D121" s="5">
        <v>759354</v>
      </c>
      <c r="E121" s="21"/>
      <c r="F121" s="2" t="s">
        <v>80</v>
      </c>
      <c r="G121" s="66">
        <f t="shared" si="9"/>
        <v>1</v>
      </c>
      <c r="H121" s="66">
        <f t="shared" si="8"/>
        <v>0.92609031663855834</v>
      </c>
      <c r="I121" s="66">
        <f t="shared" si="8"/>
        <v>0.93003038642568181</v>
      </c>
    </row>
    <row r="122" spans="1:9" ht="18" x14ac:dyDescent="0.2">
      <c r="A122" s="2" t="s">
        <v>81</v>
      </c>
      <c r="B122" s="7">
        <f>16*60000+46630</f>
        <v>1006630</v>
      </c>
      <c r="C122" s="7">
        <v>927558</v>
      </c>
      <c r="D122" s="7">
        <v>925248</v>
      </c>
      <c r="E122" s="21"/>
      <c r="F122" s="2" t="s">
        <v>81</v>
      </c>
      <c r="G122" s="66">
        <f t="shared" si="9"/>
        <v>1</v>
      </c>
      <c r="H122" s="66">
        <f t="shared" si="8"/>
        <v>0.9214487944925146</v>
      </c>
      <c r="I122" s="66">
        <f t="shared" si="8"/>
        <v>0.91915400892085475</v>
      </c>
    </row>
    <row r="123" spans="1:9" ht="18" x14ac:dyDescent="0.2">
      <c r="A123" s="2" t="s">
        <v>85</v>
      </c>
      <c r="B123" s="7">
        <f>22*60000+17959</f>
        <v>1337959</v>
      </c>
      <c r="C123" s="7">
        <v>1154414</v>
      </c>
      <c r="D123" s="7">
        <v>1150996</v>
      </c>
      <c r="E123" s="21"/>
      <c r="F123" s="2" t="s">
        <v>85</v>
      </c>
      <c r="G123" s="66">
        <f t="shared" si="9"/>
        <v>1</v>
      </c>
      <c r="H123" s="66">
        <f t="shared" si="8"/>
        <v>0.86281717152767756</v>
      </c>
      <c r="I123" s="66">
        <f t="shared" si="8"/>
        <v>0.86026253420321552</v>
      </c>
    </row>
    <row r="124" spans="1:9" ht="18" x14ac:dyDescent="0.2">
      <c r="A124" s="2" t="s">
        <v>83</v>
      </c>
      <c r="B124" s="7">
        <f>5*60000+42885</f>
        <v>342885</v>
      </c>
      <c r="C124" s="7">
        <v>374738</v>
      </c>
      <c r="D124" s="7">
        <v>340362</v>
      </c>
      <c r="E124" s="21"/>
      <c r="F124" s="2" t="s">
        <v>83</v>
      </c>
      <c r="G124" s="66">
        <f t="shared" si="9"/>
        <v>1</v>
      </c>
      <c r="H124" s="66">
        <f t="shared" si="8"/>
        <v>1.0928970354492031</v>
      </c>
      <c r="I124" s="66">
        <f t="shared" si="8"/>
        <v>0.9926418478498622</v>
      </c>
    </row>
    <row r="125" spans="1:9" ht="18" x14ac:dyDescent="0.2">
      <c r="A125" s="2" t="s">
        <v>32</v>
      </c>
      <c r="B125" s="7">
        <f>35*60000+53501</f>
        <v>2153501</v>
      </c>
      <c r="C125" s="7">
        <v>2102818</v>
      </c>
      <c r="D125" s="7">
        <v>2077104</v>
      </c>
      <c r="E125" s="21"/>
      <c r="F125" s="2" t="s">
        <v>32</v>
      </c>
      <c r="G125" s="66">
        <f t="shared" si="9"/>
        <v>1</v>
      </c>
      <c r="H125" s="66">
        <f t="shared" si="8"/>
        <v>0.97646483563276731</v>
      </c>
      <c r="I125" s="66">
        <f t="shared" si="8"/>
        <v>0.96452427930147233</v>
      </c>
    </row>
    <row r="126" spans="1:9" ht="18" x14ac:dyDescent="0.2">
      <c r="A126" s="2" t="s">
        <v>34</v>
      </c>
      <c r="B126" s="7">
        <f>4*60000+31695</f>
        <v>271695</v>
      </c>
      <c r="C126" s="7">
        <v>259856</v>
      </c>
      <c r="D126" s="7">
        <v>285939</v>
      </c>
      <c r="E126" s="21"/>
      <c r="F126" s="2" t="s">
        <v>34</v>
      </c>
      <c r="G126" s="66">
        <f t="shared" si="9"/>
        <v>1</v>
      </c>
      <c r="H126" s="66">
        <f t="shared" si="8"/>
        <v>0.95642540348552607</v>
      </c>
      <c r="I126" s="66">
        <f t="shared" si="8"/>
        <v>1.0524264340528902</v>
      </c>
    </row>
    <row r="127" spans="1:9" ht="18" x14ac:dyDescent="0.2">
      <c r="A127" s="2" t="s">
        <v>36</v>
      </c>
      <c r="B127" s="71"/>
      <c r="C127" s="7">
        <v>990066</v>
      </c>
      <c r="D127" s="7">
        <v>986199</v>
      </c>
      <c r="E127" s="21"/>
      <c r="F127" s="2" t="s">
        <v>36</v>
      </c>
      <c r="G127" s="66"/>
      <c r="H127" s="66"/>
      <c r="I127" s="66"/>
    </row>
    <row r="128" spans="1:9" ht="18" x14ac:dyDescent="0.2">
      <c r="A128" s="2" t="s">
        <v>37</v>
      </c>
      <c r="B128" s="71"/>
      <c r="C128" s="7">
        <v>366735</v>
      </c>
      <c r="D128" s="7">
        <v>367063</v>
      </c>
      <c r="E128" s="21"/>
      <c r="F128" s="2" t="s">
        <v>37</v>
      </c>
      <c r="G128" s="66"/>
      <c r="H128" s="66"/>
      <c r="I128" s="66"/>
    </row>
    <row r="129" spans="1:9" ht="18" x14ac:dyDescent="0.2">
      <c r="A129" s="4" t="s">
        <v>38</v>
      </c>
      <c r="B129" s="5">
        <f>17+60000+34340</f>
        <v>94357</v>
      </c>
      <c r="C129" s="5">
        <v>991743</v>
      </c>
      <c r="D129" s="5">
        <v>979591</v>
      </c>
      <c r="E129" s="21"/>
      <c r="F129" s="2" t="s">
        <v>38</v>
      </c>
      <c r="G129" s="66">
        <f t="shared" si="9"/>
        <v>1</v>
      </c>
      <c r="H129" s="66">
        <f t="shared" si="8"/>
        <v>10.510539758576471</v>
      </c>
      <c r="I129" s="66">
        <f t="shared" si="8"/>
        <v>10.381752281229797</v>
      </c>
    </row>
    <row r="130" spans="1:9" ht="18" x14ac:dyDescent="0.2">
      <c r="A130" s="2" t="s">
        <v>40</v>
      </c>
      <c r="B130" s="7">
        <f>16*60000+44444</f>
        <v>1004444</v>
      </c>
      <c r="C130" s="7">
        <v>920033</v>
      </c>
      <c r="D130" s="7">
        <v>918516</v>
      </c>
      <c r="E130" s="21"/>
      <c r="F130" s="2" t="s">
        <v>40</v>
      </c>
      <c r="G130" s="66">
        <f t="shared" si="9"/>
        <v>1</v>
      </c>
      <c r="H130" s="66">
        <f t="shared" si="8"/>
        <v>0.91596246281524907</v>
      </c>
      <c r="I130" s="66">
        <f t="shared" si="8"/>
        <v>0.91445217453636041</v>
      </c>
    </row>
    <row r="131" spans="1:9" ht="18" x14ac:dyDescent="0.2">
      <c r="A131" s="2" t="s">
        <v>41</v>
      </c>
      <c r="B131" s="7">
        <f>10*60000+37591</f>
        <v>637591</v>
      </c>
      <c r="C131" s="7">
        <v>352973</v>
      </c>
      <c r="D131" s="7">
        <v>356658</v>
      </c>
      <c r="E131" s="21"/>
      <c r="F131" s="2" t="s">
        <v>41</v>
      </c>
      <c r="G131" s="66">
        <f t="shared" si="9"/>
        <v>1</v>
      </c>
      <c r="H131" s="66">
        <f t="shared" ref="H131:H132" si="10">C131/$B131</f>
        <v>0.55360411298151946</v>
      </c>
      <c r="I131" s="66">
        <f t="shared" ref="I131:I132" si="11">D131/$B131</f>
        <v>0.55938368013350248</v>
      </c>
    </row>
    <row r="132" spans="1:9" ht="18" x14ac:dyDescent="0.2">
      <c r="A132" s="2" t="s">
        <v>42</v>
      </c>
      <c r="B132" s="7">
        <f>10*60000+4055</f>
        <v>604055</v>
      </c>
      <c r="C132" s="7">
        <v>587873</v>
      </c>
      <c r="D132" s="7">
        <v>583768</v>
      </c>
      <c r="E132" s="21"/>
      <c r="F132" s="2" t="s">
        <v>42</v>
      </c>
      <c r="G132" s="66">
        <f t="shared" si="9"/>
        <v>1</v>
      </c>
      <c r="H132" s="66">
        <f t="shared" si="10"/>
        <v>0.97321104866278729</v>
      </c>
      <c r="I132" s="66">
        <f t="shared" si="11"/>
        <v>0.96641530986416802</v>
      </c>
    </row>
    <row r="133" spans="1:9" ht="18" x14ac:dyDescent="0.2">
      <c r="F133" s="2" t="s">
        <v>170</v>
      </c>
      <c r="G133" s="66">
        <f>GEOMEAN(G115:G132)</f>
        <v>1</v>
      </c>
      <c r="H133" s="66">
        <f>GEOMEAN(H115:H132)</f>
        <v>1.1171443514593931</v>
      </c>
      <c r="I133" s="66">
        <f>GEOMEAN(I115:I132)</f>
        <v>1.1207541571290067</v>
      </c>
    </row>
    <row r="134" spans="1:9" ht="18" x14ac:dyDescent="0.2">
      <c r="F134" s="2" t="s">
        <v>175</v>
      </c>
      <c r="G134" s="66">
        <f>GEOMEAN(G116:G133)</f>
        <v>1</v>
      </c>
      <c r="H134" s="66">
        <f>GEOMEAN(H132,H131,H130,H126,H115:H125)</f>
        <v>0.92679350913783087</v>
      </c>
      <c r="I134" s="66">
        <f>GEOMEAN(I132,I131,I130,I126,I115:I125)</f>
        <v>0.93099425236935884</v>
      </c>
    </row>
    <row r="138" spans="1:9" x14ac:dyDescent="0.2">
      <c r="A138" s="22"/>
      <c r="B138" s="22" t="s">
        <v>176</v>
      </c>
      <c r="C138" s="22" t="s">
        <v>177</v>
      </c>
      <c r="D138" s="22" t="s">
        <v>178</v>
      </c>
    </row>
    <row r="139" spans="1:9" ht="18" x14ac:dyDescent="0.2">
      <c r="A139" s="2" t="s">
        <v>75</v>
      </c>
      <c r="B139" s="7">
        <v>9994200</v>
      </c>
      <c r="C139" s="7">
        <v>7098098</v>
      </c>
      <c r="D139" s="66">
        <f>B139/C139</f>
        <v>1.408010991113394</v>
      </c>
    </row>
    <row r="140" spans="1:9" ht="18" x14ac:dyDescent="0.2">
      <c r="A140" s="69" t="s">
        <v>27</v>
      </c>
      <c r="B140" s="7">
        <v>2261877</v>
      </c>
      <c r="C140" s="7">
        <v>621179</v>
      </c>
      <c r="D140" s="66">
        <f t="shared" ref="D140:D156" si="12">B140/C140</f>
        <v>3.6412644342452016</v>
      </c>
    </row>
    <row r="141" spans="1:9" ht="18" x14ac:dyDescent="0.2">
      <c r="A141" s="69" t="s">
        <v>28</v>
      </c>
      <c r="B141" s="7"/>
      <c r="C141" s="7">
        <v>2446417</v>
      </c>
      <c r="D141" s="66">
        <f t="shared" si="12"/>
        <v>0</v>
      </c>
    </row>
    <row r="142" spans="1:9" ht="18" x14ac:dyDescent="0.2">
      <c r="A142" s="69" t="s">
        <v>78</v>
      </c>
      <c r="B142" s="7">
        <v>1788415</v>
      </c>
      <c r="C142" s="7">
        <v>524636</v>
      </c>
      <c r="D142" s="66">
        <f t="shared" si="12"/>
        <v>3.4088682438871905</v>
      </c>
    </row>
    <row r="143" spans="1:9" ht="18" x14ac:dyDescent="0.2">
      <c r="A143" s="69" t="s">
        <v>77</v>
      </c>
      <c r="B143" s="7"/>
      <c r="C143" s="7">
        <v>4032104</v>
      </c>
      <c r="D143" s="66">
        <f t="shared" si="12"/>
        <v>0</v>
      </c>
    </row>
    <row r="144" spans="1:9" ht="18" x14ac:dyDescent="0.2">
      <c r="A144" s="69" t="s">
        <v>79</v>
      </c>
      <c r="B144" s="7"/>
      <c r="C144" s="7">
        <v>1352037</v>
      </c>
      <c r="D144" s="66">
        <f t="shared" si="12"/>
        <v>0</v>
      </c>
    </row>
    <row r="145" spans="1:4" ht="18" x14ac:dyDescent="0.2">
      <c r="A145" s="69" t="s">
        <v>80</v>
      </c>
      <c r="B145" s="7" t="s">
        <v>147</v>
      </c>
      <c r="C145" s="7">
        <v>3503532</v>
      </c>
      <c r="D145" s="66" t="e">
        <f t="shared" si="12"/>
        <v>#VALUE!</v>
      </c>
    </row>
    <row r="146" spans="1:4" ht="18" x14ac:dyDescent="0.2">
      <c r="A146" s="69" t="s">
        <v>81</v>
      </c>
      <c r="B146" s="7">
        <v>24130564</v>
      </c>
      <c r="C146" s="7">
        <v>4646660</v>
      </c>
      <c r="D146" s="66">
        <f t="shared" si="12"/>
        <v>5.1930986988503571</v>
      </c>
    </row>
    <row r="147" spans="1:4" ht="18" x14ac:dyDescent="0.2">
      <c r="A147" s="69" t="s">
        <v>85</v>
      </c>
      <c r="B147" s="7">
        <v>11302430</v>
      </c>
      <c r="C147" s="7">
        <v>4062195</v>
      </c>
      <c r="D147" s="66">
        <f t="shared" si="12"/>
        <v>2.7823455053240922</v>
      </c>
    </row>
    <row r="148" spans="1:4" ht="18" x14ac:dyDescent="0.2">
      <c r="A148" s="69" t="s">
        <v>83</v>
      </c>
      <c r="B148" s="7">
        <v>1641335</v>
      </c>
      <c r="C148" s="7">
        <v>297207</v>
      </c>
      <c r="D148" s="66">
        <f t="shared" si="12"/>
        <v>5.5225314343201877</v>
      </c>
    </row>
    <row r="149" spans="1:4" ht="18" x14ac:dyDescent="0.2">
      <c r="A149" s="69" t="s">
        <v>32</v>
      </c>
      <c r="B149" s="7">
        <v>17469716</v>
      </c>
      <c r="C149" s="7">
        <v>13749035</v>
      </c>
      <c r="D149" s="66">
        <f t="shared" si="12"/>
        <v>1.2706139739989024</v>
      </c>
    </row>
    <row r="150" spans="1:4" ht="18" x14ac:dyDescent="0.2">
      <c r="A150" s="69" t="s">
        <v>34</v>
      </c>
      <c r="B150" s="7">
        <v>1178330</v>
      </c>
      <c r="C150" s="7">
        <v>317007</v>
      </c>
      <c r="D150" s="66">
        <f t="shared" si="12"/>
        <v>3.7170472576315348</v>
      </c>
    </row>
    <row r="151" spans="1:4" ht="18" x14ac:dyDescent="0.2">
      <c r="A151" s="69" t="s">
        <v>36</v>
      </c>
      <c r="B151" s="7"/>
      <c r="C151" s="7">
        <v>3814566</v>
      </c>
      <c r="D151" s="66">
        <f t="shared" si="12"/>
        <v>0</v>
      </c>
    </row>
    <row r="152" spans="1:4" ht="18" x14ac:dyDescent="0.2">
      <c r="A152" s="69" t="s">
        <v>37</v>
      </c>
      <c r="B152" s="7"/>
      <c r="C152" s="7">
        <v>1359527</v>
      </c>
      <c r="D152" s="66">
        <f t="shared" si="12"/>
        <v>0</v>
      </c>
    </row>
    <row r="153" spans="1:4" ht="18" x14ac:dyDescent="0.2">
      <c r="A153" s="69" t="s">
        <v>38</v>
      </c>
      <c r="B153" s="7" t="s">
        <v>147</v>
      </c>
      <c r="C153" s="7">
        <v>4277615</v>
      </c>
      <c r="D153" s="66" t="e">
        <f t="shared" si="12"/>
        <v>#VALUE!</v>
      </c>
    </row>
    <row r="154" spans="1:4" ht="18" x14ac:dyDescent="0.2">
      <c r="A154" s="69" t="s">
        <v>40</v>
      </c>
      <c r="B154" s="7">
        <v>24391148</v>
      </c>
      <c r="C154" s="7">
        <v>4684788</v>
      </c>
      <c r="D154" s="66">
        <f t="shared" si="12"/>
        <v>5.2064571545179845</v>
      </c>
    </row>
    <row r="155" spans="1:4" ht="18" x14ac:dyDescent="0.2">
      <c r="A155" s="69" t="s">
        <v>41</v>
      </c>
      <c r="B155" s="7">
        <v>4835889</v>
      </c>
      <c r="C155" s="7">
        <v>1645227</v>
      </c>
      <c r="D155" s="66">
        <f t="shared" si="12"/>
        <v>2.9393445402974785</v>
      </c>
    </row>
    <row r="156" spans="1:4" ht="18" x14ac:dyDescent="0.2">
      <c r="A156" s="69" t="s">
        <v>42</v>
      </c>
      <c r="B156" s="7">
        <v>2015262</v>
      </c>
      <c r="C156" s="7">
        <v>428016</v>
      </c>
      <c r="D156" s="66">
        <f t="shared" si="12"/>
        <v>4.7083800605584836</v>
      </c>
    </row>
    <row r="162" spans="1:4" ht="18" x14ac:dyDescent="0.2">
      <c r="A162" s="28" t="s">
        <v>90</v>
      </c>
      <c r="B162" t="s">
        <v>183</v>
      </c>
      <c r="C162" t="s">
        <v>184</v>
      </c>
      <c r="D162" t="s">
        <v>44</v>
      </c>
    </row>
    <row r="163" spans="1:4" ht="18" x14ac:dyDescent="0.2">
      <c r="A163" s="57" t="s">
        <v>75</v>
      </c>
      <c r="B163" t="s">
        <v>185</v>
      </c>
      <c r="C163">
        <v>3773930</v>
      </c>
    </row>
    <row r="164" spans="1:4" ht="18" x14ac:dyDescent="0.2">
      <c r="A164" s="25" t="s">
        <v>27</v>
      </c>
      <c r="B164" t="s">
        <v>186</v>
      </c>
      <c r="C164">
        <v>363759</v>
      </c>
    </row>
    <row r="165" spans="1:4" ht="18" x14ac:dyDescent="0.2">
      <c r="A165" s="26" t="s">
        <v>28</v>
      </c>
      <c r="B165" t="s">
        <v>187</v>
      </c>
      <c r="C165">
        <v>1202613</v>
      </c>
    </row>
    <row r="166" spans="1:4" ht="18" x14ac:dyDescent="0.2">
      <c r="A166" s="26" t="s">
        <v>78</v>
      </c>
      <c r="B166" t="s">
        <v>188</v>
      </c>
      <c r="C166">
        <v>251619</v>
      </c>
    </row>
    <row r="167" spans="1:4" ht="18" x14ac:dyDescent="0.2">
      <c r="A167" s="26" t="s">
        <v>77</v>
      </c>
      <c r="B167" t="s">
        <v>189</v>
      </c>
      <c r="C167">
        <v>2006719</v>
      </c>
    </row>
    <row r="168" spans="1:4" ht="18" x14ac:dyDescent="0.2">
      <c r="A168" s="26" t="s">
        <v>79</v>
      </c>
      <c r="B168" t="s">
        <v>190</v>
      </c>
      <c r="C168">
        <v>715470</v>
      </c>
    </row>
    <row r="169" spans="1:4" ht="18" x14ac:dyDescent="0.2">
      <c r="A169" s="26" t="s">
        <v>80</v>
      </c>
    </row>
    <row r="170" spans="1:4" ht="18" x14ac:dyDescent="0.2">
      <c r="A170" s="26" t="s">
        <v>81</v>
      </c>
      <c r="B170" t="s">
        <v>191</v>
      </c>
      <c r="C170">
        <v>2550537</v>
      </c>
    </row>
    <row r="171" spans="1:4" ht="18" x14ac:dyDescent="0.2">
      <c r="A171" s="26" t="s">
        <v>85</v>
      </c>
    </row>
    <row r="172" spans="1:4" ht="18" x14ac:dyDescent="0.2">
      <c r="A172" s="26" t="s">
        <v>83</v>
      </c>
      <c r="B172" t="s">
        <v>192</v>
      </c>
      <c r="C172">
        <v>181280</v>
      </c>
    </row>
    <row r="173" spans="1:4" ht="18" x14ac:dyDescent="0.2">
      <c r="A173" s="26" t="s">
        <v>32</v>
      </c>
      <c r="B173" t="s">
        <v>193</v>
      </c>
      <c r="C173">
        <v>7371063</v>
      </c>
    </row>
    <row r="174" spans="1:4" ht="18" x14ac:dyDescent="0.2">
      <c r="A174" s="26" t="s">
        <v>34</v>
      </c>
      <c r="B174" t="s">
        <v>194</v>
      </c>
      <c r="C174">
        <v>1164322</v>
      </c>
    </row>
    <row r="175" spans="1:4" ht="18" x14ac:dyDescent="0.2">
      <c r="A175" s="26" t="s">
        <v>36</v>
      </c>
      <c r="B175" t="s">
        <v>195</v>
      </c>
      <c r="C175">
        <v>2040430</v>
      </c>
    </row>
    <row r="176" spans="1:4" ht="18" x14ac:dyDescent="0.2">
      <c r="A176" s="26" t="s">
        <v>37</v>
      </c>
      <c r="B176" t="s">
        <v>196</v>
      </c>
      <c r="C176">
        <v>713424</v>
      </c>
    </row>
    <row r="177" spans="1:3" ht="18" x14ac:dyDescent="0.2">
      <c r="A177" s="26" t="s">
        <v>38</v>
      </c>
    </row>
    <row r="178" spans="1:3" ht="18" x14ac:dyDescent="0.2">
      <c r="A178" s="26" t="s">
        <v>40</v>
      </c>
      <c r="B178" t="s">
        <v>197</v>
      </c>
      <c r="C178">
        <v>2530139</v>
      </c>
    </row>
    <row r="179" spans="1:3" ht="18" x14ac:dyDescent="0.2">
      <c r="A179" s="26" t="s">
        <v>41</v>
      </c>
    </row>
    <row r="180" spans="1:3" ht="18" x14ac:dyDescent="0.2">
      <c r="A180" s="27" t="s">
        <v>42</v>
      </c>
      <c r="B180" t="s">
        <v>198</v>
      </c>
      <c r="C180">
        <v>477259</v>
      </c>
    </row>
  </sheetData>
  <sortState xmlns:xlrd2="http://schemas.microsoft.com/office/spreadsheetml/2017/richdata2" ref="A163:D182">
    <sortCondition ref="A165:A182"/>
  </sortState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1CE-EE83-274E-8791-1E15B190D0D9}">
  <dimension ref="A1:P74"/>
  <sheetViews>
    <sheetView workbookViewId="0">
      <selection activeCell="F91" sqref="F91"/>
    </sheetView>
  </sheetViews>
  <sheetFormatPr baseColWidth="10" defaultColWidth="11" defaultRowHeight="19" x14ac:dyDescent="0.25"/>
  <cols>
    <col min="1" max="1" width="17.83203125" style="61" bestFit="1" customWidth="1"/>
    <col min="2" max="2" width="18.1640625" style="61" bestFit="1" customWidth="1"/>
    <col min="3" max="3" width="17.33203125" style="61" bestFit="1" customWidth="1"/>
    <col min="4" max="4" width="21.33203125" style="61" bestFit="1" customWidth="1"/>
    <col min="5" max="5" width="17.6640625" style="61" bestFit="1" customWidth="1"/>
    <col min="6" max="6" width="17.83203125" style="61" bestFit="1" customWidth="1"/>
    <col min="7" max="7" width="13.33203125" style="61" bestFit="1" customWidth="1"/>
    <col min="8" max="8" width="16.83203125" style="61" bestFit="1" customWidth="1"/>
    <col min="9" max="9" width="18.33203125" style="61" bestFit="1" customWidth="1"/>
    <col min="10" max="10" width="17.6640625" style="61" bestFit="1" customWidth="1"/>
    <col min="11" max="11" width="15.6640625" style="61" bestFit="1" customWidth="1"/>
    <col min="12" max="12" width="129" style="61" bestFit="1" customWidth="1"/>
    <col min="13" max="13" width="32.1640625" style="61" customWidth="1"/>
    <col min="14" max="14" width="23.6640625" style="61" customWidth="1"/>
    <col min="15" max="15" width="11" style="61" bestFit="1" customWidth="1"/>
    <col min="16" max="16" width="11.1640625" style="61" bestFit="1" customWidth="1"/>
    <col min="17" max="17" width="13.6640625" style="61" bestFit="1" customWidth="1"/>
    <col min="18" max="16384" width="11" style="61"/>
  </cols>
  <sheetData>
    <row r="1" spans="1:16" x14ac:dyDescent="0.25">
      <c r="A1" s="62"/>
      <c r="B1" s="62"/>
      <c r="C1" s="8"/>
      <c r="D1" s="42" t="s">
        <v>43</v>
      </c>
      <c r="E1" s="43"/>
      <c r="F1" s="43"/>
      <c r="G1" s="43"/>
      <c r="H1" s="43"/>
      <c r="I1" s="43"/>
      <c r="J1" s="43"/>
      <c r="K1" s="9"/>
      <c r="L1" s="18" t="s">
        <v>44</v>
      </c>
      <c r="M1" s="18" t="s">
        <v>45</v>
      </c>
      <c r="N1" s="44" t="s">
        <v>46</v>
      </c>
      <c r="O1" s="45"/>
      <c r="P1" s="46"/>
    </row>
    <row r="2" spans="1:16" x14ac:dyDescent="0.25">
      <c r="A2" s="62"/>
      <c r="B2" s="62"/>
      <c r="C2" s="8"/>
      <c r="D2" s="49" t="s">
        <v>47</v>
      </c>
      <c r="E2" s="50"/>
      <c r="F2" s="51"/>
      <c r="G2" s="43"/>
      <c r="H2" s="43"/>
      <c r="I2" s="9"/>
      <c r="J2" s="9"/>
      <c r="K2" s="54" t="s">
        <v>48</v>
      </c>
      <c r="L2" s="47" t="s">
        <v>49</v>
      </c>
      <c r="M2" s="47" t="s">
        <v>50</v>
      </c>
      <c r="N2" s="52" t="s">
        <v>47</v>
      </c>
      <c r="O2" s="52" t="s">
        <v>51</v>
      </c>
      <c r="P2" s="52" t="s">
        <v>52</v>
      </c>
    </row>
    <row r="3" spans="1:16" x14ac:dyDescent="0.25">
      <c r="A3" s="62"/>
      <c r="B3" s="8" t="s">
        <v>53</v>
      </c>
      <c r="C3" s="8" t="s">
        <v>54</v>
      </c>
      <c r="D3" s="20" t="s">
        <v>55</v>
      </c>
      <c r="E3" s="10" t="s">
        <v>56</v>
      </c>
      <c r="F3" s="10" t="s">
        <v>57</v>
      </c>
      <c r="G3" s="11" t="s">
        <v>58</v>
      </c>
      <c r="H3" s="11" t="s">
        <v>59</v>
      </c>
      <c r="I3" s="11" t="s">
        <v>57</v>
      </c>
      <c r="J3" s="11" t="s">
        <v>60</v>
      </c>
      <c r="K3" s="10"/>
      <c r="L3" s="48"/>
      <c r="M3" s="48"/>
      <c r="N3" s="53"/>
      <c r="O3" s="53"/>
      <c r="P3" s="53"/>
    </row>
    <row r="4" spans="1:16" x14ac:dyDescent="0.25">
      <c r="A4" s="2" t="s">
        <v>27</v>
      </c>
      <c r="B4" s="8" t="s">
        <v>61</v>
      </c>
      <c r="C4" s="7">
        <v>8</v>
      </c>
      <c r="D4" s="12">
        <f>F4-E4</f>
        <v>118</v>
      </c>
      <c r="E4" s="12">
        <v>29</v>
      </c>
      <c r="F4" s="12">
        <v>147</v>
      </c>
      <c r="G4" s="12">
        <v>83</v>
      </c>
      <c r="H4" s="12">
        <v>1976</v>
      </c>
      <c r="I4" s="12">
        <v>2501</v>
      </c>
      <c r="J4" s="12">
        <v>6</v>
      </c>
      <c r="K4" s="12">
        <v>0</v>
      </c>
      <c r="L4" s="19">
        <v>16227</v>
      </c>
      <c r="M4" s="19">
        <v>16228</v>
      </c>
      <c r="N4" s="13">
        <v>61</v>
      </c>
      <c r="O4" s="13">
        <v>553</v>
      </c>
      <c r="P4" s="13">
        <v>0</v>
      </c>
    </row>
    <row r="5" spans="1:16" x14ac:dyDescent="0.25">
      <c r="A5" s="15" t="s">
        <v>28</v>
      </c>
      <c r="B5" s="16" t="s">
        <v>61</v>
      </c>
      <c r="C5" s="17">
        <v>427</v>
      </c>
      <c r="D5" s="12"/>
      <c r="E5" s="12"/>
      <c r="F5" s="12"/>
      <c r="G5" s="12"/>
      <c r="H5" s="12"/>
      <c r="I5" s="12"/>
      <c r="J5" s="12"/>
      <c r="K5" s="12"/>
      <c r="L5" s="19"/>
      <c r="M5" s="19"/>
      <c r="N5" s="13">
        <v>1315</v>
      </c>
      <c r="O5" s="13">
        <v>15080</v>
      </c>
      <c r="P5" s="13">
        <v>200</v>
      </c>
    </row>
    <row r="6" spans="1:16" x14ac:dyDescent="0.25">
      <c r="A6" s="15" t="s">
        <v>29</v>
      </c>
      <c r="B6" s="16" t="s">
        <v>62</v>
      </c>
      <c r="C6" s="17">
        <v>170</v>
      </c>
      <c r="D6" s="12"/>
      <c r="E6" s="12"/>
      <c r="F6" s="12"/>
      <c r="G6" s="12"/>
      <c r="H6" s="12"/>
      <c r="I6" s="12"/>
      <c r="J6" s="12"/>
      <c r="K6" s="12"/>
      <c r="L6" s="19"/>
      <c r="M6" s="19"/>
      <c r="N6" s="13">
        <v>519</v>
      </c>
      <c r="O6" s="13">
        <v>825</v>
      </c>
      <c r="P6" s="13">
        <v>2380</v>
      </c>
    </row>
    <row r="7" spans="1:16" x14ac:dyDescent="0.25">
      <c r="A7" s="2" t="s">
        <v>30</v>
      </c>
      <c r="B7" s="8" t="s">
        <v>63</v>
      </c>
      <c r="C7" s="3">
        <v>362</v>
      </c>
      <c r="D7" s="12">
        <f t="shared" ref="D7:D19" si="0">F7-E7</f>
        <v>2019</v>
      </c>
      <c r="E7" s="12">
        <v>342</v>
      </c>
      <c r="F7" s="12">
        <v>2361</v>
      </c>
      <c r="G7" s="12">
        <v>44557</v>
      </c>
      <c r="H7" s="12">
        <v>68965</v>
      </c>
      <c r="I7" s="12">
        <v>70468</v>
      </c>
      <c r="J7" s="12">
        <v>326</v>
      </c>
      <c r="K7" s="12">
        <v>11699</v>
      </c>
      <c r="L7" s="19">
        <v>3.06981975971586E+81</v>
      </c>
      <c r="M7" s="19">
        <v>1.08198293515357E+65</v>
      </c>
      <c r="N7" s="13"/>
      <c r="O7" s="13"/>
      <c r="P7" s="13"/>
    </row>
    <row r="8" spans="1:16" x14ac:dyDescent="0.25">
      <c r="A8" s="15" t="s">
        <v>31</v>
      </c>
      <c r="B8" s="16" t="s">
        <v>63</v>
      </c>
      <c r="C8" s="17">
        <v>1304</v>
      </c>
      <c r="D8" s="12"/>
      <c r="E8" s="12"/>
      <c r="F8" s="12"/>
      <c r="G8" s="12"/>
      <c r="H8" s="12"/>
      <c r="I8" s="12"/>
      <c r="J8" s="12"/>
      <c r="K8" s="12"/>
      <c r="L8" s="19"/>
      <c r="M8" s="19"/>
      <c r="N8" s="13">
        <v>19011</v>
      </c>
      <c r="O8" s="13">
        <v>131388</v>
      </c>
      <c r="P8" s="13">
        <v>28330</v>
      </c>
    </row>
    <row r="9" spans="1:16" x14ac:dyDescent="0.25">
      <c r="A9" s="2" t="s">
        <v>32</v>
      </c>
      <c r="B9" s="8" t="s">
        <v>63</v>
      </c>
      <c r="C9" s="3">
        <v>3</v>
      </c>
      <c r="D9" s="12">
        <f t="shared" si="0"/>
        <v>46</v>
      </c>
      <c r="E9" s="12">
        <v>4</v>
      </c>
      <c r="F9" s="12">
        <v>50</v>
      </c>
      <c r="G9" s="12">
        <v>60</v>
      </c>
      <c r="H9" s="12">
        <v>179</v>
      </c>
      <c r="I9" s="12">
        <v>189</v>
      </c>
      <c r="J9" s="12">
        <v>2</v>
      </c>
      <c r="K9" s="12">
        <v>1</v>
      </c>
      <c r="L9" s="19">
        <v>274</v>
      </c>
      <c r="M9" s="19">
        <v>304</v>
      </c>
      <c r="N9" s="13">
        <v>32</v>
      </c>
      <c r="O9" s="13">
        <v>126</v>
      </c>
      <c r="P9" s="13">
        <v>1</v>
      </c>
    </row>
    <row r="10" spans="1:16" x14ac:dyDescent="0.25">
      <c r="A10" s="15" t="s">
        <v>33</v>
      </c>
      <c r="B10" s="16" t="s">
        <v>64</v>
      </c>
      <c r="C10" s="17">
        <v>257</v>
      </c>
      <c r="D10" s="12"/>
      <c r="E10" s="12"/>
      <c r="F10" s="12"/>
      <c r="G10" s="12"/>
      <c r="H10" s="12"/>
      <c r="I10" s="12"/>
      <c r="J10" s="12"/>
      <c r="K10" s="12"/>
      <c r="L10" s="19"/>
      <c r="M10" s="19"/>
      <c r="N10" s="13">
        <v>1048</v>
      </c>
      <c r="O10" s="13">
        <v>22820</v>
      </c>
      <c r="P10" s="13">
        <v>67</v>
      </c>
    </row>
    <row r="11" spans="1:16" x14ac:dyDescent="0.25">
      <c r="A11" s="2" t="s">
        <v>34</v>
      </c>
      <c r="B11" s="8" t="s">
        <v>63</v>
      </c>
      <c r="C11" s="3">
        <v>1</v>
      </c>
      <c r="D11" s="12">
        <f t="shared" si="0"/>
        <v>31</v>
      </c>
      <c r="E11" s="12">
        <v>12</v>
      </c>
      <c r="F11" s="12">
        <v>43</v>
      </c>
      <c r="G11" s="12">
        <v>0</v>
      </c>
      <c r="H11" s="12">
        <v>73</v>
      </c>
      <c r="I11" s="12">
        <v>94</v>
      </c>
      <c r="J11" s="12">
        <v>0</v>
      </c>
      <c r="K11" s="12">
        <v>0</v>
      </c>
      <c r="L11" s="19">
        <v>95</v>
      </c>
      <c r="M11" s="19">
        <v>96</v>
      </c>
      <c r="N11" s="13">
        <v>17</v>
      </c>
      <c r="O11" s="13">
        <v>27</v>
      </c>
      <c r="P11" s="13">
        <v>0</v>
      </c>
    </row>
    <row r="12" spans="1:16" x14ac:dyDescent="0.25">
      <c r="A12" s="15" t="s">
        <v>35</v>
      </c>
      <c r="B12" s="16" t="s">
        <v>61</v>
      </c>
      <c r="C12" s="17">
        <v>134</v>
      </c>
      <c r="D12" s="12"/>
      <c r="E12" s="12"/>
      <c r="F12" s="12"/>
      <c r="G12" s="12"/>
      <c r="H12" s="12"/>
      <c r="I12" s="12"/>
      <c r="J12" s="12"/>
      <c r="K12" s="12"/>
      <c r="L12" s="19"/>
      <c r="M12" s="19"/>
      <c r="N12" s="13"/>
      <c r="O12" s="13"/>
      <c r="P12" s="13"/>
    </row>
    <row r="13" spans="1:16" x14ac:dyDescent="0.25">
      <c r="A13" s="2" t="s">
        <v>36</v>
      </c>
      <c r="B13" s="8" t="s">
        <v>61</v>
      </c>
      <c r="C13" s="3">
        <v>520</v>
      </c>
      <c r="D13" s="12">
        <f t="shared" si="0"/>
        <v>1125</v>
      </c>
      <c r="E13" s="12">
        <v>9351</v>
      </c>
      <c r="F13" s="12">
        <v>10476</v>
      </c>
      <c r="G13" s="12">
        <v>6914</v>
      </c>
      <c r="H13" s="12">
        <v>6245</v>
      </c>
      <c r="I13" s="12">
        <v>54332</v>
      </c>
      <c r="J13" s="12">
        <v>57</v>
      </c>
      <c r="K13" s="12">
        <v>327</v>
      </c>
      <c r="L13" s="19">
        <v>1.25891791780648E+16</v>
      </c>
      <c r="M13" s="19">
        <v>19894985784</v>
      </c>
      <c r="N13" s="13">
        <v>4055</v>
      </c>
      <c r="O13" s="13">
        <v>22848</v>
      </c>
      <c r="P13" s="13">
        <v>1566</v>
      </c>
    </row>
    <row r="14" spans="1:16" x14ac:dyDescent="0.25">
      <c r="A14" s="2" t="s">
        <v>37</v>
      </c>
      <c r="B14" s="8" t="s">
        <v>63</v>
      </c>
      <c r="C14" s="3">
        <v>96</v>
      </c>
      <c r="D14" s="12">
        <f t="shared" si="0"/>
        <v>519</v>
      </c>
      <c r="E14" s="12">
        <v>5</v>
      </c>
      <c r="F14" s="12">
        <v>524</v>
      </c>
      <c r="G14" s="12">
        <v>17731</v>
      </c>
      <c r="H14" s="12">
        <v>21213</v>
      </c>
      <c r="I14" s="12">
        <v>21228</v>
      </c>
      <c r="J14" s="12">
        <v>36</v>
      </c>
      <c r="K14" s="12">
        <v>1</v>
      </c>
      <c r="L14" s="19">
        <v>21350563</v>
      </c>
      <c r="M14" s="19">
        <v>21368452</v>
      </c>
      <c r="N14" s="13">
        <v>367</v>
      </c>
      <c r="O14" s="13">
        <v>2318</v>
      </c>
      <c r="P14" s="13">
        <v>2</v>
      </c>
    </row>
    <row r="15" spans="1:16" x14ac:dyDescent="0.25">
      <c r="A15" s="2" t="s">
        <v>38</v>
      </c>
      <c r="B15" s="8" t="s">
        <v>61</v>
      </c>
      <c r="C15" s="7">
        <v>10</v>
      </c>
      <c r="D15" s="12">
        <f t="shared" si="0"/>
        <v>100</v>
      </c>
      <c r="E15" s="12">
        <v>24</v>
      </c>
      <c r="F15" s="12">
        <v>124</v>
      </c>
      <c r="G15" s="12">
        <v>0</v>
      </c>
      <c r="H15" s="12">
        <v>642</v>
      </c>
      <c r="I15" s="12">
        <v>759</v>
      </c>
      <c r="J15" s="12">
        <v>0</v>
      </c>
      <c r="K15" s="12">
        <v>12</v>
      </c>
      <c r="L15" s="19">
        <v>31931071</v>
      </c>
      <c r="M15" s="19">
        <v>219943</v>
      </c>
      <c r="N15" s="13">
        <v>87</v>
      </c>
      <c r="O15" s="13">
        <v>573</v>
      </c>
      <c r="P15" s="13">
        <v>12</v>
      </c>
    </row>
    <row r="16" spans="1:16" x14ac:dyDescent="0.25">
      <c r="A16" s="2" t="s">
        <v>39</v>
      </c>
      <c r="B16" s="8" t="s">
        <v>63</v>
      </c>
      <c r="C16" s="3">
        <v>259</v>
      </c>
      <c r="D16" s="12">
        <f t="shared" si="0"/>
        <v>1069</v>
      </c>
      <c r="E16" s="12">
        <v>1219</v>
      </c>
      <c r="F16" s="12">
        <v>2288</v>
      </c>
      <c r="G16" s="12">
        <v>545</v>
      </c>
      <c r="H16" s="12">
        <v>21560</v>
      </c>
      <c r="I16" s="12">
        <v>34003</v>
      </c>
      <c r="J16" s="12">
        <v>19</v>
      </c>
      <c r="K16" s="12">
        <v>854</v>
      </c>
      <c r="L16" s="19">
        <v>1.63322164404046E+47</v>
      </c>
      <c r="M16" s="19">
        <v>2.56145893539846E+20</v>
      </c>
      <c r="N16" s="13">
        <v>915</v>
      </c>
      <c r="O16" s="13">
        <v>18864</v>
      </c>
      <c r="P16" s="13">
        <v>524</v>
      </c>
    </row>
    <row r="17" spans="1:16" x14ac:dyDescent="0.25">
      <c r="A17" s="2" t="s">
        <v>40</v>
      </c>
      <c r="B17" s="8" t="s">
        <v>61</v>
      </c>
      <c r="C17" s="3">
        <v>21</v>
      </c>
      <c r="D17" s="12">
        <f t="shared" si="0"/>
        <v>242</v>
      </c>
      <c r="E17" s="12">
        <v>104</v>
      </c>
      <c r="F17" s="12">
        <v>346</v>
      </c>
      <c r="G17" s="12">
        <v>78</v>
      </c>
      <c r="H17" s="12">
        <v>1122</v>
      </c>
      <c r="I17" s="12">
        <v>2072</v>
      </c>
      <c r="J17" s="12">
        <v>1</v>
      </c>
      <c r="K17" s="12">
        <v>18</v>
      </c>
      <c r="L17" s="19">
        <v>22464</v>
      </c>
      <c r="M17" s="19">
        <v>17574</v>
      </c>
      <c r="N17" s="13">
        <v>204</v>
      </c>
      <c r="O17" s="13">
        <v>1013</v>
      </c>
      <c r="P17" s="13">
        <v>23</v>
      </c>
    </row>
    <row r="18" spans="1:16" x14ac:dyDescent="0.25">
      <c r="A18" s="2" t="s">
        <v>41</v>
      </c>
      <c r="B18" s="8" t="s">
        <v>63</v>
      </c>
      <c r="C18" s="3">
        <v>24</v>
      </c>
      <c r="D18" s="12">
        <f t="shared" si="0"/>
        <v>122</v>
      </c>
      <c r="E18" s="12">
        <v>151</v>
      </c>
      <c r="F18" s="12">
        <v>273</v>
      </c>
      <c r="G18" s="12">
        <v>7</v>
      </c>
      <c r="H18" s="12">
        <v>1353</v>
      </c>
      <c r="I18" s="12">
        <v>3010</v>
      </c>
      <c r="J18" s="12">
        <v>1</v>
      </c>
      <c r="K18" s="12">
        <v>24</v>
      </c>
      <c r="L18" s="19">
        <v>103553</v>
      </c>
      <c r="M18" s="19">
        <v>34703</v>
      </c>
      <c r="N18" s="13">
        <v>79</v>
      </c>
      <c r="O18" s="13">
        <v>730</v>
      </c>
      <c r="P18" s="13">
        <v>25</v>
      </c>
    </row>
    <row r="19" spans="1:16" x14ac:dyDescent="0.25">
      <c r="A19" s="2" t="s">
        <v>42</v>
      </c>
      <c r="B19" s="8" t="s">
        <v>63</v>
      </c>
      <c r="C19" s="3">
        <v>33</v>
      </c>
      <c r="D19" s="12">
        <f t="shared" si="0"/>
        <v>160</v>
      </c>
      <c r="E19" s="12">
        <v>193</v>
      </c>
      <c r="F19" s="12">
        <v>353</v>
      </c>
      <c r="G19" s="12">
        <v>97</v>
      </c>
      <c r="H19" s="12">
        <v>561</v>
      </c>
      <c r="I19" s="12">
        <v>1431</v>
      </c>
      <c r="J19" s="12">
        <v>8</v>
      </c>
      <c r="K19" s="12">
        <v>13</v>
      </c>
      <c r="L19" s="19">
        <v>3666</v>
      </c>
      <c r="M19" s="19">
        <v>3618</v>
      </c>
      <c r="N19" s="13">
        <v>149</v>
      </c>
      <c r="O19" s="13">
        <v>359</v>
      </c>
      <c r="P19" s="13">
        <v>18</v>
      </c>
    </row>
    <row r="23" spans="1:16" x14ac:dyDescent="0.25">
      <c r="A23" s="61" t="s">
        <v>160</v>
      </c>
      <c r="B23" s="61">
        <f>POWER(2, 64)</f>
        <v>1.8446744073709552E+19</v>
      </c>
      <c r="M23" s="63"/>
    </row>
    <row r="24" spans="1:16" x14ac:dyDescent="0.25">
      <c r="A24" s="2"/>
      <c r="B24" s="129" t="s">
        <v>47</v>
      </c>
      <c r="C24" s="129"/>
      <c r="D24" s="129"/>
      <c r="E24" s="2" t="s">
        <v>51</v>
      </c>
      <c r="F24" s="65"/>
      <c r="G24" s="2"/>
      <c r="H24" s="2"/>
      <c r="I24" s="2"/>
      <c r="J24" s="2"/>
      <c r="K24" s="2"/>
    </row>
    <row r="25" spans="1:16" x14ac:dyDescent="0.25">
      <c r="A25" s="2"/>
      <c r="B25" s="2" t="s">
        <v>67</v>
      </c>
      <c r="C25" s="2" t="s">
        <v>55</v>
      </c>
      <c r="D25" s="2" t="s">
        <v>68</v>
      </c>
      <c r="E25" s="2" t="s">
        <v>57</v>
      </c>
      <c r="F25" s="65" t="s">
        <v>59</v>
      </c>
      <c r="G25" s="2" t="s">
        <v>69</v>
      </c>
      <c r="H25" s="2" t="s">
        <v>70</v>
      </c>
      <c r="I25" s="2" t="s">
        <v>60</v>
      </c>
      <c r="J25" s="2" t="s">
        <v>49</v>
      </c>
      <c r="K25" s="2" t="s">
        <v>71</v>
      </c>
    </row>
    <row r="26" spans="1:16" ht="17" customHeight="1" x14ac:dyDescent="0.25">
      <c r="A26" s="25" t="s">
        <v>73</v>
      </c>
      <c r="B26" s="2">
        <v>1636</v>
      </c>
      <c r="C26" s="2">
        <v>1630</v>
      </c>
      <c r="D26" s="2">
        <f>B26-C26</f>
        <v>6</v>
      </c>
      <c r="E26" s="2">
        <v>75941</v>
      </c>
      <c r="F26" s="28">
        <v>75932</v>
      </c>
      <c r="G26" s="2">
        <v>50000</v>
      </c>
      <c r="H26" s="2">
        <v>17475</v>
      </c>
      <c r="I26" s="2">
        <v>325</v>
      </c>
      <c r="J26" s="2">
        <v>2.8342649188194699E+66</v>
      </c>
      <c r="K26" s="2">
        <v>5.3748394774204501E+73</v>
      </c>
    </row>
    <row r="27" spans="1:16" x14ac:dyDescent="0.25">
      <c r="A27" s="26" t="s">
        <v>75</v>
      </c>
      <c r="B27" s="2">
        <v>25</v>
      </c>
      <c r="C27" s="2">
        <v>25</v>
      </c>
      <c r="D27" s="2">
        <f t="shared" ref="D27:D47" si="1">B27-C27</f>
        <v>0</v>
      </c>
      <c r="E27" s="2">
        <v>137</v>
      </c>
      <c r="F27" s="28">
        <v>137</v>
      </c>
      <c r="G27" s="2">
        <v>48</v>
      </c>
      <c r="H27" s="2">
        <v>1</v>
      </c>
      <c r="I27" s="2">
        <v>2</v>
      </c>
      <c r="J27" s="2">
        <v>188</v>
      </c>
      <c r="K27" s="2">
        <v>238</v>
      </c>
    </row>
    <row r="28" spans="1:16" x14ac:dyDescent="0.25">
      <c r="A28" s="26" t="s">
        <v>27</v>
      </c>
      <c r="B28" s="2">
        <v>102</v>
      </c>
      <c r="C28" s="2">
        <v>89</v>
      </c>
      <c r="D28" s="2">
        <f t="shared" si="1"/>
        <v>13</v>
      </c>
      <c r="E28" s="2">
        <v>2067</v>
      </c>
      <c r="F28" s="28">
        <v>1952</v>
      </c>
      <c r="G28" s="2">
        <v>66</v>
      </c>
      <c r="H28" s="2">
        <v>0</v>
      </c>
      <c r="I28" s="2">
        <v>6</v>
      </c>
      <c r="J28" s="2">
        <v>16077</v>
      </c>
      <c r="K28" s="2">
        <v>16078</v>
      </c>
    </row>
    <row r="29" spans="1:16" x14ac:dyDescent="0.25">
      <c r="A29" s="26" t="s">
        <v>28</v>
      </c>
      <c r="B29" s="2">
        <v>2251</v>
      </c>
      <c r="C29" s="2">
        <v>735</v>
      </c>
      <c r="D29" s="2">
        <f t="shared" si="1"/>
        <v>1516</v>
      </c>
      <c r="E29" s="2">
        <v>56101</v>
      </c>
      <c r="F29" s="28">
        <v>15716</v>
      </c>
      <c r="G29" s="2">
        <v>6851</v>
      </c>
      <c r="H29" s="2">
        <v>35</v>
      </c>
      <c r="I29" s="2">
        <v>78</v>
      </c>
      <c r="J29" s="2">
        <v>181552343</v>
      </c>
      <c r="K29" s="2">
        <v>199105724</v>
      </c>
    </row>
    <row r="30" spans="1:16" x14ac:dyDescent="0.25">
      <c r="A30" s="26" t="s">
        <v>78</v>
      </c>
      <c r="B30" s="2">
        <v>19</v>
      </c>
      <c r="C30" s="2">
        <v>19</v>
      </c>
      <c r="D30" s="2">
        <f t="shared" si="1"/>
        <v>0</v>
      </c>
      <c r="E30" s="2">
        <v>56</v>
      </c>
      <c r="F30" s="28">
        <v>56</v>
      </c>
      <c r="G30" s="2">
        <v>0</v>
      </c>
      <c r="H30" s="2">
        <v>0</v>
      </c>
      <c r="I30" s="2">
        <v>0</v>
      </c>
      <c r="J30" s="2">
        <v>70</v>
      </c>
      <c r="K30" s="2">
        <v>71</v>
      </c>
    </row>
    <row r="31" spans="1:16" x14ac:dyDescent="0.25">
      <c r="A31" s="26" t="s">
        <v>77</v>
      </c>
      <c r="B31" s="1">
        <v>5441</v>
      </c>
      <c r="C31" s="1">
        <v>708</v>
      </c>
      <c r="D31" s="2">
        <f t="shared" si="1"/>
        <v>4733</v>
      </c>
      <c r="E31" s="2">
        <v>33617</v>
      </c>
      <c r="F31" s="28">
        <v>4899</v>
      </c>
      <c r="G31" s="2">
        <v>60</v>
      </c>
      <c r="H31" s="2">
        <v>383</v>
      </c>
      <c r="I31" s="2">
        <v>56</v>
      </c>
      <c r="J31" s="2">
        <v>6887516747</v>
      </c>
      <c r="K31" s="2">
        <v>7915966584</v>
      </c>
    </row>
    <row r="32" spans="1:16" x14ac:dyDescent="0.25">
      <c r="A32" s="26" t="s">
        <v>79</v>
      </c>
      <c r="B32" s="2">
        <v>395</v>
      </c>
      <c r="C32" s="2">
        <v>394</v>
      </c>
      <c r="D32" s="2">
        <f t="shared" si="1"/>
        <v>1</v>
      </c>
      <c r="E32" s="2">
        <v>21315</v>
      </c>
      <c r="F32" s="28">
        <v>21313</v>
      </c>
      <c r="G32" s="2">
        <v>17911</v>
      </c>
      <c r="H32" s="2">
        <v>1</v>
      </c>
      <c r="I32" s="2">
        <v>36</v>
      </c>
      <c r="J32" s="2">
        <v>18929164</v>
      </c>
      <c r="K32" s="2">
        <v>18945454</v>
      </c>
    </row>
    <row r="33" spans="1:11" x14ac:dyDescent="0.25">
      <c r="A33" s="26" t="s">
        <v>80</v>
      </c>
      <c r="B33" s="2">
        <v>39</v>
      </c>
      <c r="C33" s="2">
        <v>39</v>
      </c>
      <c r="D33" s="2">
        <f t="shared" si="1"/>
        <v>0</v>
      </c>
      <c r="E33" s="2">
        <v>251</v>
      </c>
      <c r="F33" s="28">
        <v>251</v>
      </c>
      <c r="G33" s="2">
        <v>0</v>
      </c>
      <c r="H33" s="2">
        <v>12</v>
      </c>
      <c r="I33" s="2">
        <v>0</v>
      </c>
      <c r="J33" s="2">
        <v>13719</v>
      </c>
      <c r="K33" s="2">
        <v>18155</v>
      </c>
    </row>
    <row r="34" spans="1:11" x14ac:dyDescent="0.25">
      <c r="A34" s="26" t="s">
        <v>82</v>
      </c>
      <c r="B34" s="2">
        <v>534</v>
      </c>
      <c r="C34" s="2">
        <v>522</v>
      </c>
      <c r="D34" s="2">
        <f t="shared" si="1"/>
        <v>12</v>
      </c>
      <c r="E34" s="2">
        <v>19812</v>
      </c>
      <c r="F34" s="28">
        <v>19777</v>
      </c>
      <c r="G34" s="2">
        <v>1479</v>
      </c>
      <c r="H34" s="2">
        <v>945</v>
      </c>
      <c r="I34" s="2">
        <v>16</v>
      </c>
      <c r="J34" s="2">
        <v>4.1014078357780997E+23</v>
      </c>
      <c r="K34" s="2">
        <v>1.1075872316941001E+19</v>
      </c>
    </row>
    <row r="35" spans="1:11" ht="17" customHeight="1" x14ac:dyDescent="0.25">
      <c r="A35" s="26" t="s">
        <v>81</v>
      </c>
      <c r="B35" s="2">
        <v>120</v>
      </c>
      <c r="C35" s="2">
        <v>111</v>
      </c>
      <c r="D35" s="2">
        <f t="shared" si="1"/>
        <v>9</v>
      </c>
      <c r="E35" s="2">
        <v>783</v>
      </c>
      <c r="F35" s="28">
        <v>742</v>
      </c>
      <c r="G35" s="2">
        <v>0</v>
      </c>
      <c r="H35" s="2">
        <v>18</v>
      </c>
      <c r="I35" s="2">
        <v>0</v>
      </c>
      <c r="J35" s="2">
        <v>4548</v>
      </c>
      <c r="K35" s="2">
        <v>8884</v>
      </c>
    </row>
    <row r="36" spans="1:11" x14ac:dyDescent="0.25">
      <c r="A36" s="26" t="s">
        <v>85</v>
      </c>
      <c r="B36" s="2">
        <v>82</v>
      </c>
      <c r="C36" s="2">
        <v>81</v>
      </c>
      <c r="D36" s="2">
        <f t="shared" si="1"/>
        <v>1</v>
      </c>
      <c r="E36" s="2">
        <v>1174</v>
      </c>
      <c r="F36" s="28">
        <v>1151</v>
      </c>
      <c r="G36" s="2">
        <v>0</v>
      </c>
      <c r="H36" s="2">
        <v>22</v>
      </c>
      <c r="I36" s="2">
        <v>0</v>
      </c>
      <c r="J36" s="2">
        <v>29278</v>
      </c>
      <c r="K36" s="2">
        <v>30245</v>
      </c>
    </row>
    <row r="37" spans="1:11" x14ac:dyDescent="0.25">
      <c r="A37" s="26" t="s">
        <v>83</v>
      </c>
      <c r="B37" s="2">
        <v>139</v>
      </c>
      <c r="C37" s="2">
        <v>137</v>
      </c>
      <c r="D37" s="2">
        <f t="shared" si="1"/>
        <v>2</v>
      </c>
      <c r="E37" s="2">
        <v>1982</v>
      </c>
      <c r="F37" s="28">
        <v>1980</v>
      </c>
      <c r="G37" s="2">
        <v>1651</v>
      </c>
      <c r="H37" s="2">
        <v>213</v>
      </c>
      <c r="I37" s="2">
        <v>22</v>
      </c>
      <c r="J37" s="2">
        <v>171336155084</v>
      </c>
      <c r="K37" s="2">
        <v>142454315812</v>
      </c>
    </row>
    <row r="38" spans="1:11" x14ac:dyDescent="0.25">
      <c r="A38" s="26" t="s">
        <v>30</v>
      </c>
      <c r="B38" s="2">
        <v>1636</v>
      </c>
      <c r="C38" s="2">
        <v>1630</v>
      </c>
      <c r="D38" s="2">
        <f t="shared" si="1"/>
        <v>6</v>
      </c>
      <c r="E38" s="2">
        <v>75989</v>
      </c>
      <c r="F38" s="28">
        <v>75980</v>
      </c>
      <c r="G38" s="2">
        <v>50000</v>
      </c>
      <c r="H38" s="2">
        <v>18917</v>
      </c>
      <c r="I38" s="2">
        <v>325</v>
      </c>
      <c r="J38" s="2">
        <v>2.5859263212892E+60</v>
      </c>
      <c r="K38" s="2">
        <v>1.0895486070329999E+63</v>
      </c>
    </row>
    <row r="39" spans="1:11" x14ac:dyDescent="0.25">
      <c r="A39" s="26" t="s">
        <v>32</v>
      </c>
      <c r="B39" s="2">
        <v>25</v>
      </c>
      <c r="C39" s="2">
        <v>25</v>
      </c>
      <c r="D39" s="2">
        <f t="shared" si="1"/>
        <v>0</v>
      </c>
      <c r="E39" s="2">
        <v>137</v>
      </c>
      <c r="F39" s="28">
        <v>137</v>
      </c>
      <c r="G39" s="2">
        <v>48</v>
      </c>
      <c r="H39" s="2">
        <v>1</v>
      </c>
      <c r="I39" s="2">
        <v>2</v>
      </c>
      <c r="J39" s="2">
        <v>188</v>
      </c>
      <c r="K39" s="2">
        <v>238</v>
      </c>
    </row>
    <row r="40" spans="1:11" x14ac:dyDescent="0.25">
      <c r="A40" s="26" t="s">
        <v>34</v>
      </c>
      <c r="B40" s="2">
        <v>25</v>
      </c>
      <c r="C40" s="2">
        <v>17</v>
      </c>
      <c r="D40" s="2">
        <f t="shared" si="1"/>
        <v>8</v>
      </c>
      <c r="E40" s="2">
        <v>72</v>
      </c>
      <c r="F40" s="28">
        <v>60</v>
      </c>
      <c r="G40" s="2">
        <v>0</v>
      </c>
      <c r="H40" s="2">
        <v>0</v>
      </c>
      <c r="I40" s="2">
        <v>0</v>
      </c>
      <c r="J40" s="2">
        <v>74</v>
      </c>
      <c r="K40" s="2">
        <v>75</v>
      </c>
    </row>
    <row r="41" spans="1:11" x14ac:dyDescent="0.25">
      <c r="A41" s="26" t="s">
        <v>36</v>
      </c>
      <c r="B41" s="1">
        <v>5445</v>
      </c>
      <c r="C41" s="1">
        <v>710</v>
      </c>
      <c r="D41" s="2">
        <f t="shared" si="1"/>
        <v>4735</v>
      </c>
      <c r="E41" s="2">
        <v>33617</v>
      </c>
      <c r="F41" s="28">
        <v>4902</v>
      </c>
      <c r="G41" s="2">
        <v>60</v>
      </c>
      <c r="H41" s="2">
        <v>388</v>
      </c>
      <c r="I41" s="2">
        <v>56</v>
      </c>
      <c r="J41" s="2">
        <v>87149584154</v>
      </c>
      <c r="K41" s="2">
        <v>31720582684</v>
      </c>
    </row>
    <row r="42" spans="1:11" ht="17" customHeight="1" x14ac:dyDescent="0.25">
      <c r="A42" s="26" t="s">
        <v>37</v>
      </c>
      <c r="B42" s="2">
        <v>395</v>
      </c>
      <c r="C42" s="2">
        <v>394</v>
      </c>
      <c r="D42" s="2">
        <f t="shared" si="1"/>
        <v>1</v>
      </c>
      <c r="E42" s="2">
        <v>21315</v>
      </c>
      <c r="F42" s="28">
        <v>21313</v>
      </c>
      <c r="G42" s="2">
        <v>17911</v>
      </c>
      <c r="H42" s="2">
        <v>1</v>
      </c>
      <c r="I42" s="2">
        <v>36</v>
      </c>
      <c r="J42" s="2">
        <v>18929164</v>
      </c>
      <c r="K42" s="2">
        <v>18945454</v>
      </c>
    </row>
    <row r="43" spans="1:11" x14ac:dyDescent="0.25">
      <c r="A43" s="26" t="s">
        <v>38</v>
      </c>
      <c r="B43" s="2">
        <v>39</v>
      </c>
      <c r="C43" s="2">
        <v>39</v>
      </c>
      <c r="D43" s="2">
        <f t="shared" si="1"/>
        <v>0</v>
      </c>
      <c r="E43" s="2">
        <v>251</v>
      </c>
      <c r="F43" s="28">
        <v>251</v>
      </c>
      <c r="G43" s="2">
        <v>0</v>
      </c>
      <c r="H43" s="2">
        <v>12</v>
      </c>
      <c r="I43" s="2">
        <v>0</v>
      </c>
      <c r="J43" s="2">
        <v>13719</v>
      </c>
      <c r="K43" s="2">
        <v>18155</v>
      </c>
    </row>
    <row r="44" spans="1:11" x14ac:dyDescent="0.25">
      <c r="A44" s="27" t="s">
        <v>39</v>
      </c>
      <c r="B44" s="2">
        <v>724</v>
      </c>
      <c r="C44" s="2">
        <v>537</v>
      </c>
      <c r="D44" s="2">
        <f t="shared" si="1"/>
        <v>187</v>
      </c>
      <c r="E44" s="2">
        <v>23270</v>
      </c>
      <c r="F44" s="28">
        <v>21133</v>
      </c>
      <c r="G44" s="2">
        <v>1357</v>
      </c>
      <c r="H44" s="2">
        <v>1002</v>
      </c>
      <c r="I44" s="2">
        <v>16</v>
      </c>
      <c r="J44" s="2">
        <v>2.4871123658920899E+19</v>
      </c>
      <c r="K44" s="2">
        <v>4.0488830643478299E+19</v>
      </c>
    </row>
    <row r="45" spans="1:11" x14ac:dyDescent="0.25">
      <c r="A45" s="28" t="s">
        <v>40</v>
      </c>
      <c r="B45" s="2">
        <v>120</v>
      </c>
      <c r="C45" s="2">
        <v>111</v>
      </c>
      <c r="D45" s="2">
        <f t="shared" si="1"/>
        <v>9</v>
      </c>
      <c r="E45" s="2">
        <v>783</v>
      </c>
      <c r="F45" s="28">
        <v>742</v>
      </c>
      <c r="G45" s="2">
        <v>0</v>
      </c>
      <c r="H45" s="2">
        <v>18</v>
      </c>
      <c r="I45" s="2">
        <v>0</v>
      </c>
      <c r="J45" s="2">
        <v>4548</v>
      </c>
      <c r="K45" s="2">
        <v>8884</v>
      </c>
    </row>
    <row r="46" spans="1:11" x14ac:dyDescent="0.25">
      <c r="A46" s="28" t="s">
        <v>41</v>
      </c>
      <c r="B46" s="2">
        <v>99</v>
      </c>
      <c r="C46" s="2">
        <v>88</v>
      </c>
      <c r="D46" s="2">
        <f t="shared" si="1"/>
        <v>11</v>
      </c>
      <c r="E46" s="2">
        <v>1269</v>
      </c>
      <c r="F46" s="28">
        <v>1168</v>
      </c>
      <c r="G46" s="2">
        <v>0</v>
      </c>
      <c r="H46" s="2">
        <v>22</v>
      </c>
      <c r="I46" s="2">
        <v>0</v>
      </c>
      <c r="J46" s="2">
        <v>29400</v>
      </c>
      <c r="K46" s="2">
        <v>30367</v>
      </c>
    </row>
    <row r="47" spans="1:11" x14ac:dyDescent="0.25">
      <c r="A47" s="28" t="s">
        <v>42</v>
      </c>
      <c r="B47" s="2">
        <v>151</v>
      </c>
      <c r="C47" s="2">
        <v>136</v>
      </c>
      <c r="D47" s="2">
        <f t="shared" si="1"/>
        <v>15</v>
      </c>
      <c r="E47" s="2">
        <v>2042</v>
      </c>
      <c r="F47" s="28">
        <v>1900</v>
      </c>
      <c r="G47" s="2">
        <v>1561</v>
      </c>
      <c r="H47" s="2">
        <v>225</v>
      </c>
      <c r="I47" s="2">
        <v>22</v>
      </c>
      <c r="J47" s="2">
        <v>343806150166</v>
      </c>
      <c r="K47" s="2">
        <v>42612142025</v>
      </c>
    </row>
    <row r="48" spans="1:11" x14ac:dyDescent="0.25">
      <c r="C48" s="60"/>
      <c r="D48" s="60"/>
      <c r="E48" s="60"/>
      <c r="F48" s="28"/>
      <c r="G48" s="60"/>
      <c r="H48" s="60"/>
      <c r="I48" s="60"/>
      <c r="J48" s="60"/>
      <c r="K48" s="60"/>
    </row>
    <row r="49" spans="1:12" x14ac:dyDescent="0.25">
      <c r="C49" s="60"/>
      <c r="D49" s="60"/>
      <c r="E49" s="60"/>
      <c r="F49" s="28"/>
      <c r="G49" s="60"/>
      <c r="H49" s="60"/>
      <c r="I49" s="60"/>
      <c r="J49" s="60"/>
      <c r="K49" s="60"/>
    </row>
    <row r="50" spans="1:12" x14ac:dyDescent="0.25">
      <c r="C50" s="60"/>
      <c r="D50" s="60"/>
      <c r="E50" s="60"/>
      <c r="F50" s="28"/>
      <c r="G50" s="60"/>
      <c r="H50" s="60"/>
      <c r="I50" s="60"/>
      <c r="J50" s="60"/>
      <c r="K50" s="60"/>
    </row>
    <row r="51" spans="1:12" x14ac:dyDescent="0.25">
      <c r="A51" s="59"/>
      <c r="B51" s="1"/>
    </row>
    <row r="52" spans="1:12" x14ac:dyDescent="0.25">
      <c r="A52" s="59"/>
      <c r="B52" s="1"/>
    </row>
    <row r="53" spans="1:12" x14ac:dyDescent="0.25">
      <c r="A53" s="2" t="s">
        <v>159</v>
      </c>
      <c r="B53" s="129" t="s">
        <v>47</v>
      </c>
      <c r="C53" s="129"/>
      <c r="D53" s="129"/>
      <c r="E53" s="2" t="s">
        <v>51</v>
      </c>
      <c r="F53" s="65"/>
      <c r="G53" s="2"/>
      <c r="H53" s="2"/>
      <c r="I53" s="2"/>
      <c r="J53" s="2"/>
      <c r="K53" s="2"/>
    </row>
    <row r="54" spans="1:12" x14ac:dyDescent="0.25">
      <c r="A54" s="2"/>
      <c r="B54" s="2" t="s">
        <v>67</v>
      </c>
      <c r="C54" s="2" t="s">
        <v>55</v>
      </c>
      <c r="D54" s="2" t="s">
        <v>68</v>
      </c>
      <c r="E54" s="2" t="s">
        <v>57</v>
      </c>
      <c r="F54" s="65" t="s">
        <v>59</v>
      </c>
      <c r="G54" s="2" t="s">
        <v>69</v>
      </c>
      <c r="H54" s="2" t="s">
        <v>70</v>
      </c>
      <c r="I54" s="2" t="s">
        <v>60</v>
      </c>
      <c r="J54" s="2" t="s">
        <v>49</v>
      </c>
      <c r="K54" s="2" t="s">
        <v>71</v>
      </c>
    </row>
    <row r="55" spans="1:12" x14ac:dyDescent="0.25">
      <c r="A55" s="15" t="s">
        <v>73</v>
      </c>
      <c r="B55" s="2">
        <v>2362</v>
      </c>
      <c r="C55" s="2">
        <v>2026</v>
      </c>
      <c r="D55" s="2">
        <f>B55-C55</f>
        <v>336</v>
      </c>
      <c r="E55" s="2">
        <v>73187</v>
      </c>
      <c r="F55" s="2">
        <v>71717</v>
      </c>
      <c r="G55" s="2">
        <v>46433</v>
      </c>
      <c r="H55" s="2">
        <v>14474</v>
      </c>
      <c r="I55" s="2">
        <v>326</v>
      </c>
      <c r="J55" s="2">
        <v>7.8777715310521399E+65</v>
      </c>
      <c r="K55" s="2">
        <v>3.72720719823441E+67</v>
      </c>
    </row>
    <row r="56" spans="1:12" x14ac:dyDescent="0.25">
      <c r="A56" s="2" t="s">
        <v>75</v>
      </c>
      <c r="B56" s="2">
        <v>49</v>
      </c>
      <c r="C56" s="2">
        <v>46</v>
      </c>
      <c r="D56" s="2">
        <f t="shared" ref="D56:D74" si="2">B56-C56</f>
        <v>3</v>
      </c>
      <c r="E56" s="2">
        <v>194</v>
      </c>
      <c r="F56" s="2">
        <v>184</v>
      </c>
      <c r="G56" s="2">
        <v>60</v>
      </c>
      <c r="H56" s="2">
        <v>1</v>
      </c>
      <c r="I56" s="2">
        <v>2</v>
      </c>
      <c r="J56" s="2">
        <v>255</v>
      </c>
      <c r="K56" s="2">
        <v>309</v>
      </c>
    </row>
    <row r="57" spans="1:12" x14ac:dyDescent="0.25">
      <c r="A57" s="2" t="s">
        <v>27</v>
      </c>
      <c r="B57" s="2">
        <v>147</v>
      </c>
      <c r="C57" s="2">
        <v>118</v>
      </c>
      <c r="D57" s="2">
        <f t="shared" si="2"/>
        <v>29</v>
      </c>
      <c r="E57" s="2">
        <v>2501</v>
      </c>
      <c r="F57" s="2">
        <v>1976</v>
      </c>
      <c r="G57" s="2">
        <v>83</v>
      </c>
      <c r="H57" s="2">
        <v>0</v>
      </c>
      <c r="I57" s="2">
        <v>6</v>
      </c>
      <c r="J57" s="2">
        <v>16227</v>
      </c>
      <c r="K57" s="2">
        <v>16228</v>
      </c>
    </row>
    <row r="58" spans="1:12" x14ac:dyDescent="0.25">
      <c r="A58" s="15" t="s">
        <v>28</v>
      </c>
      <c r="B58" s="2">
        <v>12849</v>
      </c>
      <c r="C58" s="2">
        <v>1297</v>
      </c>
      <c r="D58" s="2">
        <f t="shared" si="2"/>
        <v>11552</v>
      </c>
      <c r="E58" s="2">
        <v>164154</v>
      </c>
      <c r="F58" s="2">
        <v>13531</v>
      </c>
      <c r="G58" s="2">
        <v>3646</v>
      </c>
      <c r="H58" s="2">
        <v>34</v>
      </c>
      <c r="I58" s="2">
        <v>83</v>
      </c>
      <c r="J58" s="2">
        <v>1595874</v>
      </c>
      <c r="K58" s="2">
        <v>1613309</v>
      </c>
    </row>
    <row r="59" spans="1:12" x14ac:dyDescent="0.25">
      <c r="A59" s="2" t="s">
        <v>78</v>
      </c>
      <c r="B59" s="2">
        <v>32</v>
      </c>
      <c r="C59" s="2">
        <v>30</v>
      </c>
      <c r="D59" s="2">
        <f t="shared" si="2"/>
        <v>2</v>
      </c>
      <c r="E59" s="2">
        <v>73</v>
      </c>
      <c r="F59" s="2">
        <v>67</v>
      </c>
      <c r="G59" s="2">
        <v>0</v>
      </c>
      <c r="H59" s="2">
        <v>0</v>
      </c>
      <c r="I59" s="2">
        <v>0</v>
      </c>
      <c r="J59" s="2">
        <v>85</v>
      </c>
      <c r="K59" s="2">
        <v>86</v>
      </c>
    </row>
    <row r="60" spans="1:12" x14ac:dyDescent="0.25">
      <c r="A60" s="2" t="s">
        <v>77</v>
      </c>
      <c r="B60" s="2">
        <v>10464</v>
      </c>
      <c r="C60" s="2">
        <v>1154</v>
      </c>
      <c r="D60" s="2">
        <f t="shared" si="2"/>
        <v>9310</v>
      </c>
      <c r="E60" s="2">
        <v>53970</v>
      </c>
      <c r="F60" s="2">
        <v>6272</v>
      </c>
      <c r="G60" s="2">
        <v>911</v>
      </c>
      <c r="H60" s="2">
        <v>341</v>
      </c>
      <c r="I60" s="2">
        <v>57</v>
      </c>
      <c r="J60" s="2">
        <v>19372811709</v>
      </c>
      <c r="K60" s="2">
        <v>6751104025</v>
      </c>
    </row>
    <row r="61" spans="1:12" x14ac:dyDescent="0.25">
      <c r="A61" s="2" t="s">
        <v>80</v>
      </c>
      <c r="B61" s="2">
        <v>124</v>
      </c>
      <c r="C61" s="2">
        <v>100</v>
      </c>
      <c r="D61" s="2">
        <f t="shared" si="2"/>
        <v>24</v>
      </c>
      <c r="E61" s="2">
        <v>757</v>
      </c>
      <c r="F61" s="2">
        <v>640</v>
      </c>
      <c r="G61" s="2">
        <v>0</v>
      </c>
      <c r="H61" s="2">
        <v>12</v>
      </c>
      <c r="I61" s="2">
        <v>0</v>
      </c>
      <c r="J61" s="4">
        <v>153231</v>
      </c>
      <c r="K61" s="2">
        <v>206671</v>
      </c>
      <c r="L61" s="22">
        <v>153231</v>
      </c>
    </row>
    <row r="62" spans="1:12" x14ac:dyDescent="0.25">
      <c r="A62" s="15" t="s">
        <v>82</v>
      </c>
      <c r="B62" s="2">
        <v>2096</v>
      </c>
      <c r="C62" s="2">
        <v>1072</v>
      </c>
      <c r="D62" s="2">
        <f t="shared" si="2"/>
        <v>1024</v>
      </c>
      <c r="E62" s="2">
        <v>32679</v>
      </c>
      <c r="F62" s="2">
        <v>21980</v>
      </c>
      <c r="G62" s="2">
        <v>920</v>
      </c>
      <c r="H62" s="2">
        <v>667</v>
      </c>
      <c r="I62" s="2">
        <v>21</v>
      </c>
      <c r="J62" s="2">
        <v>6.2015216856664699E+24</v>
      </c>
      <c r="K62" s="2">
        <v>1.15120292731846E+22</v>
      </c>
    </row>
    <row r="63" spans="1:12" x14ac:dyDescent="0.25">
      <c r="A63" s="2" t="s">
        <v>81</v>
      </c>
      <c r="B63" s="2">
        <v>343</v>
      </c>
      <c r="C63" s="2">
        <v>240</v>
      </c>
      <c r="D63" s="2">
        <f t="shared" si="2"/>
        <v>103</v>
      </c>
      <c r="E63" s="2">
        <v>2080</v>
      </c>
      <c r="F63" s="2">
        <v>1135</v>
      </c>
      <c r="G63" s="2">
        <v>53</v>
      </c>
      <c r="H63" s="2">
        <v>18</v>
      </c>
      <c r="I63" s="2">
        <v>1</v>
      </c>
      <c r="J63" s="2">
        <v>8864</v>
      </c>
      <c r="K63" s="2">
        <v>18377</v>
      </c>
    </row>
    <row r="64" spans="1:12" x14ac:dyDescent="0.25">
      <c r="A64" s="2" t="s">
        <v>85</v>
      </c>
      <c r="B64" s="2">
        <v>255</v>
      </c>
      <c r="C64" s="2">
        <v>115</v>
      </c>
      <c r="D64" s="2">
        <f t="shared" si="2"/>
        <v>140</v>
      </c>
      <c r="E64" s="2">
        <v>2916</v>
      </c>
      <c r="F64" s="2">
        <v>1342</v>
      </c>
      <c r="G64" s="2">
        <v>7</v>
      </c>
      <c r="H64" s="2">
        <v>25</v>
      </c>
      <c r="I64" s="2">
        <v>1</v>
      </c>
      <c r="J64" s="2">
        <v>33328</v>
      </c>
      <c r="K64" s="2">
        <v>34377</v>
      </c>
    </row>
    <row r="65" spans="1:11" x14ac:dyDescent="0.25">
      <c r="A65" s="2" t="s">
        <v>83</v>
      </c>
      <c r="B65" s="2">
        <v>364</v>
      </c>
      <c r="C65" s="2">
        <v>233</v>
      </c>
      <c r="D65" s="2">
        <f t="shared" si="2"/>
        <v>131</v>
      </c>
      <c r="E65" s="2">
        <v>2032</v>
      </c>
      <c r="F65" s="2">
        <v>1260</v>
      </c>
      <c r="G65" s="2">
        <v>711</v>
      </c>
      <c r="H65" s="2">
        <v>91</v>
      </c>
      <c r="I65" s="2">
        <v>27</v>
      </c>
      <c r="J65" s="2">
        <v>26403529</v>
      </c>
      <c r="K65" s="2">
        <v>70022394</v>
      </c>
    </row>
    <row r="66" spans="1:11" x14ac:dyDescent="0.25">
      <c r="A66" s="15" t="s">
        <v>30</v>
      </c>
      <c r="B66" s="2">
        <v>2362</v>
      </c>
      <c r="C66" s="2">
        <v>2025</v>
      </c>
      <c r="D66" s="2">
        <f t="shared" si="2"/>
        <v>337</v>
      </c>
      <c r="E66" s="2">
        <v>74823</v>
      </c>
      <c r="F66" s="2">
        <v>73347</v>
      </c>
      <c r="G66" s="2">
        <v>48063</v>
      </c>
      <c r="H66" s="2">
        <v>14976</v>
      </c>
      <c r="I66" s="2">
        <v>326</v>
      </c>
      <c r="J66" s="2">
        <v>3.7025629983269398E+60</v>
      </c>
      <c r="K66" s="2">
        <v>1.7867622726467999E+67</v>
      </c>
    </row>
    <row r="67" spans="1:11" x14ac:dyDescent="0.25">
      <c r="A67" s="2" t="s">
        <v>32</v>
      </c>
      <c r="B67" s="2">
        <v>49</v>
      </c>
      <c r="C67" s="2">
        <v>46</v>
      </c>
      <c r="D67" s="2">
        <f t="shared" si="2"/>
        <v>3</v>
      </c>
      <c r="E67" s="2">
        <v>194</v>
      </c>
      <c r="F67" s="2">
        <v>184</v>
      </c>
      <c r="G67" s="2">
        <v>60</v>
      </c>
      <c r="H67" s="2">
        <v>1</v>
      </c>
      <c r="I67" s="2">
        <v>2</v>
      </c>
      <c r="J67" s="2">
        <v>255</v>
      </c>
      <c r="K67" s="2">
        <v>309</v>
      </c>
    </row>
    <row r="68" spans="1:11" x14ac:dyDescent="0.25">
      <c r="A68" s="2" t="s">
        <v>34</v>
      </c>
      <c r="B68" s="2">
        <v>43</v>
      </c>
      <c r="C68" s="2">
        <v>31</v>
      </c>
      <c r="D68" s="2">
        <f t="shared" si="2"/>
        <v>12</v>
      </c>
      <c r="E68" s="2">
        <v>94</v>
      </c>
      <c r="F68" s="2">
        <v>73</v>
      </c>
      <c r="G68" s="2">
        <v>0</v>
      </c>
      <c r="H68" s="2">
        <v>0</v>
      </c>
      <c r="I68" s="2">
        <v>0</v>
      </c>
      <c r="J68" s="2">
        <v>95</v>
      </c>
      <c r="K68" s="2">
        <v>96</v>
      </c>
    </row>
    <row r="69" spans="1:11" x14ac:dyDescent="0.25">
      <c r="A69" s="2" t="s">
        <v>36</v>
      </c>
      <c r="B69" s="2">
        <v>10465</v>
      </c>
      <c r="C69" s="2">
        <v>1179</v>
      </c>
      <c r="D69" s="2">
        <f t="shared" si="2"/>
        <v>9286</v>
      </c>
      <c r="E69" s="2">
        <v>53831</v>
      </c>
      <c r="F69" s="2">
        <v>6409</v>
      </c>
      <c r="G69" s="2">
        <v>923</v>
      </c>
      <c r="H69" s="2">
        <v>330</v>
      </c>
      <c r="I69" s="2">
        <v>57</v>
      </c>
      <c r="J69" s="2">
        <v>28828683857</v>
      </c>
      <c r="K69" s="2">
        <v>18686859296</v>
      </c>
    </row>
    <row r="70" spans="1:11" x14ac:dyDescent="0.25">
      <c r="A70" s="2" t="s">
        <v>38</v>
      </c>
      <c r="B70" s="2">
        <v>124</v>
      </c>
      <c r="C70" s="2">
        <v>100</v>
      </c>
      <c r="D70" s="2">
        <f t="shared" si="2"/>
        <v>24</v>
      </c>
      <c r="E70" s="2">
        <v>757</v>
      </c>
      <c r="F70" s="2">
        <v>640</v>
      </c>
      <c r="G70" s="2">
        <v>0</v>
      </c>
      <c r="H70" s="2">
        <v>12</v>
      </c>
      <c r="I70" s="2">
        <v>0</v>
      </c>
      <c r="J70" s="4">
        <v>153231</v>
      </c>
      <c r="K70" s="2">
        <v>206671</v>
      </c>
    </row>
    <row r="71" spans="1:11" x14ac:dyDescent="0.25">
      <c r="A71" s="15" t="s">
        <v>39</v>
      </c>
      <c r="B71" s="2">
        <v>2295</v>
      </c>
      <c r="C71" s="2">
        <v>1085</v>
      </c>
      <c r="D71" s="2">
        <f t="shared" si="2"/>
        <v>1210</v>
      </c>
      <c r="E71" s="2">
        <v>34437</v>
      </c>
      <c r="F71" s="2">
        <v>21969</v>
      </c>
      <c r="G71" s="2">
        <v>737</v>
      </c>
      <c r="H71" s="2">
        <v>615</v>
      </c>
      <c r="I71" s="2">
        <v>21</v>
      </c>
      <c r="J71" s="2">
        <v>2.3393131707155601E+21</v>
      </c>
      <c r="K71" s="2">
        <v>1.1958196129611E+21</v>
      </c>
    </row>
    <row r="72" spans="1:11" x14ac:dyDescent="0.25">
      <c r="A72" s="2" t="s">
        <v>40</v>
      </c>
      <c r="B72" s="2">
        <v>343</v>
      </c>
      <c r="C72" s="2">
        <v>240</v>
      </c>
      <c r="D72" s="2">
        <f t="shared" si="2"/>
        <v>103</v>
      </c>
      <c r="E72" s="2">
        <v>2080</v>
      </c>
      <c r="F72" s="2">
        <v>1135</v>
      </c>
      <c r="G72" s="2">
        <v>53</v>
      </c>
      <c r="H72" s="2">
        <v>18</v>
      </c>
      <c r="I72" s="2">
        <v>1</v>
      </c>
      <c r="J72" s="2">
        <v>8864</v>
      </c>
      <c r="K72" s="2">
        <v>18377</v>
      </c>
    </row>
    <row r="73" spans="1:11" x14ac:dyDescent="0.25">
      <c r="A73" s="2" t="s">
        <v>41</v>
      </c>
      <c r="B73" s="2">
        <v>273</v>
      </c>
      <c r="C73" s="2">
        <v>122</v>
      </c>
      <c r="D73" s="2">
        <f t="shared" si="2"/>
        <v>151</v>
      </c>
      <c r="E73" s="2">
        <v>3014</v>
      </c>
      <c r="F73" s="2">
        <v>1358</v>
      </c>
      <c r="G73" s="2">
        <v>7</v>
      </c>
      <c r="H73" s="2">
        <v>24</v>
      </c>
      <c r="I73" s="2">
        <v>1</v>
      </c>
      <c r="J73" s="2">
        <v>33658</v>
      </c>
      <c r="K73" s="2">
        <v>34706</v>
      </c>
    </row>
    <row r="74" spans="1:11" x14ac:dyDescent="0.25">
      <c r="A74" s="2" t="s">
        <v>42</v>
      </c>
      <c r="B74" s="2">
        <v>375</v>
      </c>
      <c r="C74" s="2">
        <v>232</v>
      </c>
      <c r="D74" s="2">
        <f t="shared" si="2"/>
        <v>143</v>
      </c>
      <c r="E74" s="2">
        <v>2090</v>
      </c>
      <c r="F74" s="2">
        <v>1255</v>
      </c>
      <c r="G74" s="2">
        <v>681</v>
      </c>
      <c r="H74" s="2">
        <v>77</v>
      </c>
      <c r="I74" s="2">
        <v>27</v>
      </c>
      <c r="J74" s="2">
        <v>13491326</v>
      </c>
      <c r="K74" s="2">
        <v>18576438</v>
      </c>
    </row>
  </sheetData>
  <sortState xmlns:xlrd2="http://schemas.microsoft.com/office/spreadsheetml/2017/richdata2" ref="F27:F50">
    <sortCondition ref="F26:F50"/>
  </sortState>
  <mergeCells count="2">
    <mergeCell ref="B53:D53"/>
    <mergeCell ref="B24:D24"/>
  </mergeCells>
  <conditionalFormatting sqref="J26:K47">
    <cfRule type="cellIs" dxfId="2" priority="2" operator="greaterThan">
      <formula>$B$23</formula>
    </cfRule>
  </conditionalFormatting>
  <conditionalFormatting sqref="L61">
    <cfRule type="cellIs" dxfId="1" priority="1" operator="greaterThan">
      <formula>$N$48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884F1-82A7-984A-B124-F6A2F6399F0A}">
  <dimension ref="A1:V124"/>
  <sheetViews>
    <sheetView topLeftCell="A11" zoomScale="90" zoomScaleNormal="90" workbookViewId="0">
      <selection activeCell="D72" sqref="D72"/>
    </sheetView>
  </sheetViews>
  <sheetFormatPr baseColWidth="10" defaultColWidth="21" defaultRowHeight="16" x14ac:dyDescent="0.2"/>
  <cols>
    <col min="1" max="1" width="4" bestFit="1" customWidth="1"/>
    <col min="7" max="7" width="25.5" bestFit="1" customWidth="1"/>
  </cols>
  <sheetData>
    <row r="1" spans="1:22" ht="18" x14ac:dyDescent="0.2">
      <c r="A1" s="24"/>
      <c r="B1" s="25" t="s">
        <v>90</v>
      </c>
      <c r="C1" s="25" t="s">
        <v>53</v>
      </c>
      <c r="D1" s="25" t="s">
        <v>130</v>
      </c>
      <c r="E1" s="25" t="s">
        <v>92</v>
      </c>
      <c r="F1" s="25" t="s">
        <v>93</v>
      </c>
      <c r="G1" s="25" t="s">
        <v>94</v>
      </c>
      <c r="H1" s="25" t="s">
        <v>148</v>
      </c>
      <c r="I1" s="55" t="s">
        <v>149</v>
      </c>
      <c r="J1" s="28" t="s">
        <v>153</v>
      </c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</row>
    <row r="2" spans="1:22" ht="18" x14ac:dyDescent="0.2">
      <c r="A2" s="124" t="s">
        <v>72</v>
      </c>
      <c r="B2" s="31" t="s">
        <v>73</v>
      </c>
      <c r="C2" s="25" t="s">
        <v>63</v>
      </c>
      <c r="D2" s="25" t="s">
        <v>157</v>
      </c>
      <c r="E2" s="26" t="s">
        <v>157</v>
      </c>
      <c r="F2" s="31" t="s">
        <v>161</v>
      </c>
      <c r="G2" s="31"/>
      <c r="H2" s="31"/>
      <c r="I2" s="64"/>
      <c r="J2" s="30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</row>
    <row r="3" spans="1:22" ht="18" x14ac:dyDescent="0.2">
      <c r="A3" s="125"/>
      <c r="B3" s="29" t="s">
        <v>74</v>
      </c>
      <c r="C3" s="26" t="s">
        <v>63</v>
      </c>
      <c r="D3" s="25" t="s">
        <v>157</v>
      </c>
      <c r="E3" s="29" t="s">
        <v>158</v>
      </c>
      <c r="F3" s="31"/>
      <c r="G3" s="31"/>
      <c r="H3" s="31"/>
      <c r="I3" s="64"/>
      <c r="J3" s="30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spans="1:22" ht="18" x14ac:dyDescent="0.2">
      <c r="A4" s="125"/>
      <c r="B4" s="26" t="s">
        <v>75</v>
      </c>
      <c r="C4" s="26" t="s">
        <v>63</v>
      </c>
      <c r="D4" s="25" t="s">
        <v>157</v>
      </c>
      <c r="E4" s="26" t="s">
        <v>157</v>
      </c>
      <c r="F4" s="26" t="s">
        <v>157</v>
      </c>
      <c r="G4" s="26" t="s">
        <v>157</v>
      </c>
      <c r="H4" s="26" t="s">
        <v>157</v>
      </c>
      <c r="I4" s="26" t="s">
        <v>157</v>
      </c>
      <c r="J4" s="28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</row>
    <row r="5" spans="1:22" ht="18" x14ac:dyDescent="0.2">
      <c r="A5" s="125"/>
      <c r="B5" s="29" t="s">
        <v>76</v>
      </c>
      <c r="C5" s="26" t="s">
        <v>61</v>
      </c>
      <c r="D5" s="25" t="s">
        <v>157</v>
      </c>
      <c r="E5" s="31" t="s">
        <v>156</v>
      </c>
      <c r="F5" s="29"/>
      <c r="G5" s="29"/>
      <c r="H5" s="29"/>
      <c r="I5" s="56"/>
      <c r="J5" s="30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</row>
    <row r="6" spans="1:22" ht="18" x14ac:dyDescent="0.2">
      <c r="A6" s="125"/>
      <c r="B6" s="26" t="s">
        <v>77</v>
      </c>
      <c r="C6" s="26" t="s">
        <v>61</v>
      </c>
      <c r="D6" s="25" t="s">
        <v>157</v>
      </c>
      <c r="E6" s="26" t="s">
        <v>157</v>
      </c>
      <c r="F6" s="26" t="s">
        <v>157</v>
      </c>
      <c r="G6" s="26" t="s">
        <v>157</v>
      </c>
      <c r="H6" s="26" t="s">
        <v>157</v>
      </c>
      <c r="I6" s="26" t="s">
        <v>157</v>
      </c>
      <c r="J6" s="28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</row>
    <row r="7" spans="1:22" ht="18" x14ac:dyDescent="0.2">
      <c r="A7" s="125"/>
      <c r="B7" s="26" t="s">
        <v>79</v>
      </c>
      <c r="C7" s="26" t="s">
        <v>63</v>
      </c>
      <c r="D7" s="25" t="s">
        <v>157</v>
      </c>
      <c r="E7" s="26" t="s">
        <v>157</v>
      </c>
      <c r="F7" s="26" t="s">
        <v>157</v>
      </c>
      <c r="G7" s="26" t="s">
        <v>157</v>
      </c>
      <c r="H7" s="26" t="s">
        <v>157</v>
      </c>
      <c r="I7" s="26" t="s">
        <v>157</v>
      </c>
      <c r="J7" s="28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</row>
    <row r="8" spans="1:22" ht="18" x14ac:dyDescent="0.2">
      <c r="A8" s="125"/>
      <c r="B8" s="26" t="s">
        <v>80</v>
      </c>
      <c r="C8" s="26" t="s">
        <v>61</v>
      </c>
      <c r="D8" s="25" t="s">
        <v>157</v>
      </c>
      <c r="E8" s="26" t="s">
        <v>157</v>
      </c>
      <c r="F8" s="26" t="s">
        <v>157</v>
      </c>
      <c r="G8" s="26" t="s">
        <v>157</v>
      </c>
      <c r="H8" s="26" t="s">
        <v>157</v>
      </c>
      <c r="I8" s="26" t="s">
        <v>157</v>
      </c>
      <c r="J8" s="28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</row>
    <row r="9" spans="1:22" ht="18" x14ac:dyDescent="0.2">
      <c r="A9" s="125"/>
      <c r="B9" s="26" t="s">
        <v>81</v>
      </c>
      <c r="C9" s="26" t="s">
        <v>61</v>
      </c>
      <c r="D9" s="25" t="s">
        <v>157</v>
      </c>
      <c r="E9" s="26" t="s">
        <v>157</v>
      </c>
      <c r="F9" s="26" t="s">
        <v>157</v>
      </c>
      <c r="G9" s="26" t="s">
        <v>157</v>
      </c>
      <c r="H9" s="26" t="s">
        <v>157</v>
      </c>
      <c r="I9" s="26" t="s">
        <v>157</v>
      </c>
      <c r="J9" s="28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</row>
    <row r="10" spans="1:22" ht="18" x14ac:dyDescent="0.2">
      <c r="A10" s="125"/>
      <c r="B10" s="29" t="s">
        <v>100</v>
      </c>
      <c r="C10" s="29" t="s">
        <v>101</v>
      </c>
      <c r="D10" s="31"/>
      <c r="E10" s="39"/>
      <c r="F10" s="29"/>
      <c r="G10" s="29"/>
      <c r="H10" s="29"/>
      <c r="I10" s="56"/>
      <c r="J10" s="30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</row>
    <row r="11" spans="1:22" ht="18" x14ac:dyDescent="0.2">
      <c r="A11" s="126"/>
      <c r="B11" s="26" t="s">
        <v>83</v>
      </c>
      <c r="C11" s="26" t="s">
        <v>63</v>
      </c>
      <c r="D11" s="25" t="s">
        <v>157</v>
      </c>
      <c r="E11" s="26" t="s">
        <v>157</v>
      </c>
      <c r="F11" s="26" t="s">
        <v>157</v>
      </c>
      <c r="G11" s="26" t="s">
        <v>157</v>
      </c>
      <c r="H11" s="26" t="s">
        <v>157</v>
      </c>
      <c r="I11" s="26" t="s">
        <v>157</v>
      </c>
      <c r="J11" s="28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</row>
    <row r="12" spans="1:22" ht="18" x14ac:dyDescent="0.2">
      <c r="A12" s="127" t="s">
        <v>84</v>
      </c>
      <c r="B12" s="29" t="s">
        <v>102</v>
      </c>
      <c r="C12" s="29" t="s">
        <v>101</v>
      </c>
      <c r="D12" s="31"/>
      <c r="E12" s="39"/>
      <c r="F12" s="29"/>
      <c r="G12" s="29"/>
      <c r="H12" s="29"/>
      <c r="I12" s="56"/>
      <c r="J12" s="30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</row>
    <row r="13" spans="1:22" ht="18" x14ac:dyDescent="0.2">
      <c r="A13" s="125"/>
      <c r="B13" s="29" t="s">
        <v>103</v>
      </c>
      <c r="C13" s="29" t="s">
        <v>104</v>
      </c>
      <c r="D13" s="31"/>
      <c r="E13" s="39"/>
      <c r="F13" s="29"/>
      <c r="G13" s="29"/>
      <c r="H13" s="29"/>
      <c r="I13" s="56"/>
      <c r="J13" s="30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</row>
    <row r="14" spans="1:22" ht="18" customHeight="1" x14ac:dyDescent="0.2">
      <c r="A14" s="125"/>
      <c r="B14" s="26" t="s">
        <v>27</v>
      </c>
      <c r="C14" s="26" t="s">
        <v>61</v>
      </c>
      <c r="D14" s="25" t="s">
        <v>157</v>
      </c>
      <c r="E14" s="26" t="s">
        <v>157</v>
      </c>
      <c r="F14" s="26" t="s">
        <v>157</v>
      </c>
      <c r="G14" s="26" t="s">
        <v>157</v>
      </c>
      <c r="H14" s="26" t="s">
        <v>157</v>
      </c>
      <c r="I14" s="26" t="s">
        <v>157</v>
      </c>
      <c r="J14" s="28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</row>
    <row r="15" spans="1:22" ht="18" x14ac:dyDescent="0.2">
      <c r="A15" s="125"/>
      <c r="B15" s="26" t="s">
        <v>28</v>
      </c>
      <c r="C15" s="26" t="s">
        <v>61</v>
      </c>
      <c r="D15" s="25" t="s">
        <v>157</v>
      </c>
      <c r="E15" s="26" t="s">
        <v>157</v>
      </c>
      <c r="F15" s="26" t="s">
        <v>157</v>
      </c>
      <c r="G15" s="26" t="s">
        <v>157</v>
      </c>
      <c r="H15" s="26" t="s">
        <v>157</v>
      </c>
      <c r="I15" s="26" t="s">
        <v>157</v>
      </c>
      <c r="J15" s="28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</row>
    <row r="16" spans="1:22" ht="18" x14ac:dyDescent="0.2">
      <c r="A16" s="125"/>
      <c r="B16" s="29" t="s">
        <v>29</v>
      </c>
      <c r="C16" s="26" t="s">
        <v>106</v>
      </c>
      <c r="D16" s="25" t="s">
        <v>157</v>
      </c>
      <c r="E16" s="31" t="s">
        <v>156</v>
      </c>
      <c r="F16" s="29"/>
      <c r="G16" s="29"/>
      <c r="H16" s="29"/>
      <c r="I16" s="56"/>
      <c r="J16" s="30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spans="1:22" ht="18" x14ac:dyDescent="0.2">
      <c r="A17" s="125"/>
      <c r="B17" s="26" t="s">
        <v>78</v>
      </c>
      <c r="C17" s="26" t="s">
        <v>63</v>
      </c>
      <c r="D17" s="25" t="s">
        <v>157</v>
      </c>
      <c r="E17" s="26" t="s">
        <v>157</v>
      </c>
      <c r="F17" s="26" t="s">
        <v>157</v>
      </c>
      <c r="G17" s="26" t="s">
        <v>157</v>
      </c>
      <c r="H17" s="26" t="s">
        <v>157</v>
      </c>
      <c r="I17" s="26" t="s">
        <v>157</v>
      </c>
      <c r="J17" s="2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spans="1:22" ht="18" x14ac:dyDescent="0.2">
      <c r="A18" s="125"/>
      <c r="B18" s="29" t="s">
        <v>107</v>
      </c>
      <c r="C18" s="29" t="s">
        <v>108</v>
      </c>
      <c r="D18" s="31"/>
      <c r="E18" s="39"/>
      <c r="F18" s="29"/>
      <c r="G18" s="29"/>
      <c r="H18" s="29"/>
      <c r="I18" s="56"/>
      <c r="J18" s="30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</row>
    <row r="19" spans="1:22" ht="18" x14ac:dyDescent="0.2">
      <c r="A19" s="125"/>
      <c r="B19" s="29" t="s">
        <v>86</v>
      </c>
      <c r="C19" s="26" t="s">
        <v>106</v>
      </c>
      <c r="D19" s="25" t="s">
        <v>157</v>
      </c>
      <c r="E19" s="29" t="s">
        <v>158</v>
      </c>
      <c r="F19" s="31"/>
      <c r="G19" s="31"/>
      <c r="H19" s="31"/>
      <c r="I19" s="64"/>
      <c r="J19" s="30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</row>
    <row r="20" spans="1:22" ht="18" x14ac:dyDescent="0.2">
      <c r="A20" s="125"/>
      <c r="B20" s="29" t="s">
        <v>109</v>
      </c>
      <c r="C20" s="29" t="s">
        <v>108</v>
      </c>
      <c r="D20" s="31"/>
      <c r="E20" s="39"/>
      <c r="F20" s="29"/>
      <c r="G20" s="29"/>
      <c r="H20" s="29"/>
      <c r="I20" s="56"/>
      <c r="J20" s="30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</row>
    <row r="21" spans="1:22" ht="18" x14ac:dyDescent="0.2">
      <c r="A21" s="125"/>
      <c r="B21" s="29" t="s">
        <v>82</v>
      </c>
      <c r="C21" s="26" t="s">
        <v>63</v>
      </c>
      <c r="D21" s="25" t="s">
        <v>157</v>
      </c>
      <c r="E21" s="26" t="s">
        <v>157</v>
      </c>
      <c r="F21" s="31" t="s">
        <v>161</v>
      </c>
      <c r="G21" s="31"/>
      <c r="H21" s="31"/>
      <c r="I21" s="64"/>
      <c r="J21" s="30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</row>
    <row r="22" spans="1:22" ht="18" x14ac:dyDescent="0.2">
      <c r="A22" s="125"/>
      <c r="B22" s="26" t="s">
        <v>85</v>
      </c>
      <c r="C22" s="26" t="s">
        <v>63</v>
      </c>
      <c r="D22" s="25" t="s">
        <v>157</v>
      </c>
      <c r="E22" s="26" t="s">
        <v>157</v>
      </c>
      <c r="F22" s="26" t="s">
        <v>157</v>
      </c>
      <c r="G22" s="26" t="s">
        <v>157</v>
      </c>
      <c r="H22" s="26" t="s">
        <v>157</v>
      </c>
      <c r="I22" s="26" t="s">
        <v>157</v>
      </c>
      <c r="J22" s="28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</row>
    <row r="23" spans="1:22" ht="18" x14ac:dyDescent="0.2">
      <c r="A23" s="125"/>
      <c r="B23" s="29" t="s">
        <v>110</v>
      </c>
      <c r="C23" s="29" t="s">
        <v>101</v>
      </c>
      <c r="D23" s="31"/>
      <c r="E23" s="29"/>
      <c r="F23" s="29"/>
      <c r="G23" s="29"/>
      <c r="H23" s="29"/>
      <c r="I23" s="56"/>
      <c r="J23" s="30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</row>
    <row r="24" spans="1:22" ht="18" x14ac:dyDescent="0.2">
      <c r="A24" s="126"/>
      <c r="B24" s="29" t="s">
        <v>111</v>
      </c>
      <c r="C24" s="29" t="s">
        <v>101</v>
      </c>
      <c r="D24" s="31"/>
      <c r="E24" s="29"/>
      <c r="F24" s="29"/>
      <c r="G24" s="29"/>
      <c r="H24" s="29"/>
      <c r="I24" s="56"/>
      <c r="J24" s="30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</row>
    <row r="25" spans="1:22" ht="18" x14ac:dyDescent="0.2">
      <c r="A25" s="127" t="s">
        <v>87</v>
      </c>
      <c r="B25" s="29" t="s">
        <v>30</v>
      </c>
      <c r="C25" s="26" t="s">
        <v>63</v>
      </c>
      <c r="D25" s="25" t="s">
        <v>157</v>
      </c>
      <c r="E25" s="26" t="s">
        <v>157</v>
      </c>
      <c r="F25" s="31" t="s">
        <v>161</v>
      </c>
      <c r="G25" s="31"/>
      <c r="H25" s="31"/>
      <c r="I25" s="64"/>
      <c r="J25" s="30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</row>
    <row r="26" spans="1:22" ht="18" x14ac:dyDescent="0.2">
      <c r="A26" s="125"/>
      <c r="B26" s="29" t="s">
        <v>31</v>
      </c>
      <c r="C26" s="26" t="s">
        <v>63</v>
      </c>
      <c r="D26" s="25" t="s">
        <v>157</v>
      </c>
      <c r="E26" s="29" t="s">
        <v>158</v>
      </c>
      <c r="F26" s="31"/>
      <c r="G26" s="31"/>
      <c r="H26" s="31"/>
      <c r="I26" s="64"/>
      <c r="J26" s="30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</row>
    <row r="27" spans="1:22" ht="18" x14ac:dyDescent="0.2">
      <c r="A27" s="125"/>
      <c r="B27" s="26" t="s">
        <v>32</v>
      </c>
      <c r="C27" s="26" t="s">
        <v>63</v>
      </c>
      <c r="D27" s="25" t="s">
        <v>157</v>
      </c>
      <c r="E27" s="26" t="s">
        <v>157</v>
      </c>
      <c r="F27" s="26" t="s">
        <v>157</v>
      </c>
      <c r="G27" s="26" t="s">
        <v>157</v>
      </c>
      <c r="H27" s="26" t="s">
        <v>157</v>
      </c>
      <c r="I27" s="26" t="s">
        <v>157</v>
      </c>
      <c r="J27" s="28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</row>
    <row r="28" spans="1:22" ht="18" x14ac:dyDescent="0.2">
      <c r="A28" s="125"/>
      <c r="B28" s="29" t="s">
        <v>35</v>
      </c>
      <c r="C28" s="26" t="s">
        <v>61</v>
      </c>
      <c r="D28" s="25" t="s">
        <v>157</v>
      </c>
      <c r="E28" s="31" t="s">
        <v>156</v>
      </c>
      <c r="F28" s="29"/>
      <c r="G28" s="29"/>
      <c r="H28" s="29"/>
      <c r="I28" s="56"/>
      <c r="J28" s="30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</row>
    <row r="29" spans="1:22" ht="18" x14ac:dyDescent="0.2">
      <c r="A29" s="125"/>
      <c r="B29" s="26" t="s">
        <v>36</v>
      </c>
      <c r="C29" s="26" t="s">
        <v>61</v>
      </c>
      <c r="D29" s="25" t="s">
        <v>157</v>
      </c>
      <c r="E29" s="26" t="s">
        <v>157</v>
      </c>
      <c r="F29" s="26" t="s">
        <v>157</v>
      </c>
      <c r="G29" s="26" t="s">
        <v>157</v>
      </c>
      <c r="H29" s="26" t="s">
        <v>157</v>
      </c>
      <c r="I29" s="26" t="s">
        <v>157</v>
      </c>
      <c r="J29" s="28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</row>
    <row r="30" spans="1:22" ht="18" x14ac:dyDescent="0.2">
      <c r="A30" s="125"/>
      <c r="B30" s="26" t="s">
        <v>37</v>
      </c>
      <c r="C30" s="26" t="s">
        <v>63</v>
      </c>
      <c r="D30" s="25" t="s">
        <v>157</v>
      </c>
      <c r="E30" s="26" t="s">
        <v>157</v>
      </c>
      <c r="F30" s="26" t="s">
        <v>157</v>
      </c>
      <c r="G30" s="26" t="s">
        <v>157</v>
      </c>
      <c r="H30" s="26" t="s">
        <v>157</v>
      </c>
      <c r="I30" s="26" t="s">
        <v>157</v>
      </c>
      <c r="J30" s="28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</row>
    <row r="31" spans="1:22" ht="18" x14ac:dyDescent="0.2">
      <c r="A31" s="125"/>
      <c r="B31" s="26" t="s">
        <v>38</v>
      </c>
      <c r="C31" s="26" t="s">
        <v>61</v>
      </c>
      <c r="D31" s="25" t="s">
        <v>157</v>
      </c>
      <c r="E31" s="26" t="s">
        <v>157</v>
      </c>
      <c r="F31" s="26" t="s">
        <v>157</v>
      </c>
      <c r="G31" s="26" t="s">
        <v>157</v>
      </c>
      <c r="H31" s="26" t="s">
        <v>157</v>
      </c>
      <c r="I31" s="26" t="s">
        <v>157</v>
      </c>
      <c r="J31" s="28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</row>
    <row r="32" spans="1:22" ht="18" x14ac:dyDescent="0.2">
      <c r="A32" s="125"/>
      <c r="B32" s="26" t="s">
        <v>40</v>
      </c>
      <c r="C32" s="26" t="s">
        <v>61</v>
      </c>
      <c r="D32" s="25" t="s">
        <v>157</v>
      </c>
      <c r="E32" s="26" t="s">
        <v>157</v>
      </c>
      <c r="F32" s="26" t="s">
        <v>157</v>
      </c>
      <c r="G32" s="26" t="s">
        <v>157</v>
      </c>
      <c r="H32" s="26" t="s">
        <v>157</v>
      </c>
      <c r="I32" s="26" t="s">
        <v>157</v>
      </c>
      <c r="J32" s="28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</row>
    <row r="33" spans="1:22" ht="18" x14ac:dyDescent="0.2">
      <c r="A33" s="125"/>
      <c r="B33" s="29" t="s">
        <v>115</v>
      </c>
      <c r="C33" s="29" t="s">
        <v>101</v>
      </c>
      <c r="D33" s="31"/>
      <c r="E33" s="29"/>
      <c r="F33" s="29"/>
      <c r="G33" s="29"/>
      <c r="H33" s="29"/>
      <c r="I33" s="56"/>
      <c r="J33" s="30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</row>
    <row r="34" spans="1:22" ht="18" x14ac:dyDescent="0.2">
      <c r="A34" s="125"/>
      <c r="B34" s="27" t="s">
        <v>42</v>
      </c>
      <c r="C34" s="27" t="s">
        <v>63</v>
      </c>
      <c r="D34" s="25" t="s">
        <v>157</v>
      </c>
      <c r="E34" s="26" t="s">
        <v>157</v>
      </c>
      <c r="F34" s="26" t="s">
        <v>157</v>
      </c>
      <c r="G34" s="26" t="s">
        <v>157</v>
      </c>
      <c r="H34" s="26" t="s">
        <v>157</v>
      </c>
      <c r="I34" s="26" t="s">
        <v>157</v>
      </c>
      <c r="J34" s="28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</row>
    <row r="35" spans="1:22" ht="18" customHeight="1" x14ac:dyDescent="0.2">
      <c r="A35" s="128" t="s">
        <v>88</v>
      </c>
      <c r="B35" s="30" t="s">
        <v>116</v>
      </c>
      <c r="C35" s="30" t="s">
        <v>101</v>
      </c>
      <c r="D35" s="31"/>
      <c r="E35" s="30"/>
      <c r="F35" s="30"/>
      <c r="G35" s="30"/>
      <c r="H35" s="30"/>
      <c r="I35" s="58"/>
      <c r="J35" s="30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</row>
    <row r="36" spans="1:22" ht="18" x14ac:dyDescent="0.2">
      <c r="A36" s="128"/>
      <c r="B36" s="30" t="s">
        <v>33</v>
      </c>
      <c r="C36" s="30" t="s">
        <v>104</v>
      </c>
      <c r="D36" s="31"/>
      <c r="E36" s="30"/>
      <c r="F36" s="30"/>
      <c r="G36" s="30"/>
      <c r="H36" s="30"/>
      <c r="I36" s="58"/>
      <c r="J36" s="30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</row>
    <row r="37" spans="1:22" ht="18" x14ac:dyDescent="0.2">
      <c r="A37" s="128"/>
      <c r="B37" s="28" t="s">
        <v>34</v>
      </c>
      <c r="C37" s="28" t="s">
        <v>63</v>
      </c>
      <c r="D37" s="25" t="s">
        <v>157</v>
      </c>
      <c r="E37" s="26" t="s">
        <v>157</v>
      </c>
      <c r="F37" s="26" t="s">
        <v>157</v>
      </c>
      <c r="G37" s="26" t="s">
        <v>157</v>
      </c>
      <c r="H37" s="26" t="s">
        <v>157</v>
      </c>
      <c r="I37" s="26" t="s">
        <v>157</v>
      </c>
      <c r="J37" s="28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</row>
    <row r="38" spans="1:22" ht="18" x14ac:dyDescent="0.2">
      <c r="A38" s="128"/>
      <c r="B38" s="30" t="s">
        <v>117</v>
      </c>
      <c r="C38" s="30" t="s">
        <v>108</v>
      </c>
      <c r="D38" s="31"/>
      <c r="E38" s="30"/>
      <c r="F38" s="30"/>
      <c r="G38" s="30"/>
      <c r="H38" s="30"/>
      <c r="I38" s="58"/>
      <c r="J38" s="30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</row>
    <row r="39" spans="1:22" ht="18" x14ac:dyDescent="0.2">
      <c r="A39" s="128"/>
      <c r="B39" s="30" t="s">
        <v>118</v>
      </c>
      <c r="C39" s="30" t="s">
        <v>108</v>
      </c>
      <c r="D39" s="31"/>
      <c r="E39" s="30"/>
      <c r="F39" s="30"/>
      <c r="G39" s="30"/>
      <c r="H39" s="30"/>
      <c r="I39" s="58"/>
      <c r="J39" s="30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</row>
    <row r="40" spans="1:22" ht="18" x14ac:dyDescent="0.2">
      <c r="A40" s="128"/>
      <c r="B40" s="30" t="s">
        <v>119</v>
      </c>
      <c r="C40" s="30" t="s">
        <v>108</v>
      </c>
      <c r="D40" s="31"/>
      <c r="E40" s="30"/>
      <c r="F40" s="30"/>
      <c r="G40" s="30"/>
      <c r="H40" s="30"/>
      <c r="I40" s="58"/>
      <c r="J40" s="30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</row>
    <row r="41" spans="1:22" ht="18" x14ac:dyDescent="0.2">
      <c r="A41" s="128"/>
      <c r="B41" s="30" t="s">
        <v>39</v>
      </c>
      <c r="C41" s="28" t="s">
        <v>63</v>
      </c>
      <c r="D41" s="25" t="s">
        <v>157</v>
      </c>
      <c r="E41" s="26" t="s">
        <v>157</v>
      </c>
      <c r="F41" s="31" t="s">
        <v>161</v>
      </c>
      <c r="G41" s="31"/>
      <c r="H41" s="31"/>
      <c r="I41" s="64"/>
      <c r="J41" s="30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</row>
    <row r="42" spans="1:22" ht="18" x14ac:dyDescent="0.2">
      <c r="A42" s="128"/>
      <c r="B42" s="28" t="s">
        <v>41</v>
      </c>
      <c r="C42" s="28" t="s">
        <v>63</v>
      </c>
      <c r="D42" s="25" t="s">
        <v>157</v>
      </c>
      <c r="E42" s="26" t="s">
        <v>157</v>
      </c>
      <c r="F42" s="26" t="s">
        <v>157</v>
      </c>
      <c r="G42" s="26" t="s">
        <v>157</v>
      </c>
      <c r="H42" s="26" t="s">
        <v>157</v>
      </c>
      <c r="I42" s="26" t="s">
        <v>157</v>
      </c>
      <c r="J42" s="28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</row>
    <row r="43" spans="1:22" ht="18" x14ac:dyDescent="0.2">
      <c r="A43" s="128"/>
      <c r="B43" s="30" t="s">
        <v>120</v>
      </c>
      <c r="C43" s="30" t="s">
        <v>101</v>
      </c>
      <c r="D43" s="31"/>
      <c r="E43" s="30"/>
      <c r="F43" s="30"/>
      <c r="G43" s="30"/>
      <c r="H43" s="30"/>
      <c r="I43" s="58"/>
      <c r="J43" s="30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</row>
    <row r="44" spans="1:22" ht="18" x14ac:dyDescent="0.2">
      <c r="A44" s="128"/>
      <c r="B44" s="30" t="s">
        <v>121</v>
      </c>
      <c r="C44" s="30" t="s">
        <v>101</v>
      </c>
      <c r="D44" s="31"/>
      <c r="E44" s="30"/>
      <c r="F44" s="30"/>
      <c r="G44" s="30"/>
      <c r="H44" s="30"/>
      <c r="I44" s="58"/>
      <c r="J44" s="30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</row>
    <row r="49" spans="1:11" x14ac:dyDescent="0.2">
      <c r="D49" t="s">
        <v>155</v>
      </c>
    </row>
    <row r="51" spans="1:11" ht="18" x14ac:dyDescent="0.2">
      <c r="A51" s="24"/>
      <c r="B51" s="25" t="s">
        <v>90</v>
      </c>
      <c r="C51" s="25" t="s">
        <v>53</v>
      </c>
      <c r="D51" s="25" t="s">
        <v>179</v>
      </c>
      <c r="E51" s="25" t="s">
        <v>130</v>
      </c>
      <c r="F51" s="25" t="s">
        <v>92</v>
      </c>
      <c r="G51" s="25" t="s">
        <v>93</v>
      </c>
      <c r="H51" s="25" t="s">
        <v>94</v>
      </c>
      <c r="I51" s="25" t="s">
        <v>148</v>
      </c>
      <c r="J51" s="28" t="s">
        <v>153</v>
      </c>
      <c r="K51" s="28"/>
    </row>
    <row r="52" spans="1:11" ht="18" x14ac:dyDescent="0.2">
      <c r="A52" s="124" t="s">
        <v>72</v>
      </c>
      <c r="B52" s="31" t="s">
        <v>73</v>
      </c>
      <c r="C52" s="25" t="s">
        <v>63</v>
      </c>
      <c r="D52" s="25" t="s">
        <v>157</v>
      </c>
      <c r="E52" s="26" t="s">
        <v>157</v>
      </c>
      <c r="F52" s="25" t="s">
        <v>157</v>
      </c>
      <c r="G52" s="31" t="s">
        <v>181</v>
      </c>
      <c r="H52" s="31"/>
      <c r="I52" s="64"/>
      <c r="J52" s="30"/>
    </row>
    <row r="53" spans="1:11" ht="18" x14ac:dyDescent="0.2">
      <c r="A53" s="125"/>
      <c r="B53" s="29" t="s">
        <v>74</v>
      </c>
      <c r="C53" s="26" t="s">
        <v>63</v>
      </c>
      <c r="D53" s="25" t="s">
        <v>157</v>
      </c>
      <c r="E53" s="26" t="s">
        <v>157</v>
      </c>
      <c r="F53" s="31" t="s">
        <v>158</v>
      </c>
      <c r="G53" s="31"/>
      <c r="H53" s="31"/>
      <c r="I53" s="64"/>
      <c r="J53" s="30"/>
    </row>
    <row r="54" spans="1:11" ht="18" x14ac:dyDescent="0.2">
      <c r="A54" s="125"/>
      <c r="B54" s="26" t="s">
        <v>75</v>
      </c>
      <c r="C54" s="26" t="s">
        <v>63</v>
      </c>
      <c r="D54" s="25" t="s">
        <v>157</v>
      </c>
      <c r="E54" s="26" t="s">
        <v>157</v>
      </c>
      <c r="F54" s="25" t="s">
        <v>157</v>
      </c>
      <c r="G54" s="25" t="s">
        <v>157</v>
      </c>
      <c r="H54" s="25" t="s">
        <v>157</v>
      </c>
      <c r="I54" s="25" t="s">
        <v>157</v>
      </c>
      <c r="J54" s="28"/>
    </row>
    <row r="55" spans="1:11" ht="18" x14ac:dyDescent="0.2">
      <c r="A55" s="125"/>
      <c r="B55" s="29" t="s">
        <v>76</v>
      </c>
      <c r="C55" s="26" t="s">
        <v>61</v>
      </c>
      <c r="D55" s="25" t="s">
        <v>157</v>
      </c>
      <c r="E55" s="26" t="s">
        <v>157</v>
      </c>
      <c r="F55" s="31" t="s">
        <v>156</v>
      </c>
      <c r="G55" s="29"/>
      <c r="H55" s="29"/>
      <c r="I55" s="56"/>
      <c r="J55" s="30"/>
    </row>
    <row r="56" spans="1:11" ht="18" x14ac:dyDescent="0.2">
      <c r="A56" s="125"/>
      <c r="B56" s="26" t="s">
        <v>77</v>
      </c>
      <c r="C56" s="26" t="s">
        <v>61</v>
      </c>
      <c r="D56" s="25" t="s">
        <v>157</v>
      </c>
      <c r="E56" s="26" t="s">
        <v>157</v>
      </c>
      <c r="F56" s="25" t="s">
        <v>157</v>
      </c>
      <c r="G56" s="25" t="s">
        <v>157</v>
      </c>
      <c r="H56" s="25" t="s">
        <v>157</v>
      </c>
      <c r="I56" s="25" t="s">
        <v>157</v>
      </c>
      <c r="J56" s="28"/>
    </row>
    <row r="57" spans="1:11" ht="18" x14ac:dyDescent="0.2">
      <c r="A57" s="125"/>
      <c r="B57" s="26" t="s">
        <v>79</v>
      </c>
      <c r="C57" s="26" t="s">
        <v>63</v>
      </c>
      <c r="D57" s="25" t="s">
        <v>157</v>
      </c>
      <c r="E57" s="26" t="s">
        <v>157</v>
      </c>
      <c r="F57" s="25" t="s">
        <v>157</v>
      </c>
      <c r="G57" s="25" t="s">
        <v>157</v>
      </c>
      <c r="H57" s="25" t="s">
        <v>157</v>
      </c>
      <c r="I57" s="25" t="s">
        <v>157</v>
      </c>
      <c r="J57" s="28"/>
    </row>
    <row r="58" spans="1:11" ht="18" x14ac:dyDescent="0.2">
      <c r="A58" s="125"/>
      <c r="B58" s="26" t="s">
        <v>80</v>
      </c>
      <c r="C58" s="26" t="s">
        <v>61</v>
      </c>
      <c r="D58" s="25" t="s">
        <v>157</v>
      </c>
      <c r="E58" s="26" t="s">
        <v>157</v>
      </c>
      <c r="F58" s="25" t="s">
        <v>157</v>
      </c>
      <c r="G58" s="25" t="s">
        <v>157</v>
      </c>
      <c r="H58" s="25" t="s">
        <v>157</v>
      </c>
      <c r="I58" s="25" t="s">
        <v>157</v>
      </c>
      <c r="J58" s="28"/>
    </row>
    <row r="59" spans="1:11" ht="18" x14ac:dyDescent="0.2">
      <c r="A59" s="125"/>
      <c r="B59" s="26" t="s">
        <v>81</v>
      </c>
      <c r="C59" s="26" t="s">
        <v>61</v>
      </c>
      <c r="D59" s="25" t="s">
        <v>157</v>
      </c>
      <c r="E59" s="26" t="s">
        <v>157</v>
      </c>
      <c r="F59" s="25" t="s">
        <v>157</v>
      </c>
      <c r="G59" s="25" t="s">
        <v>157</v>
      </c>
      <c r="H59" s="25" t="s">
        <v>157</v>
      </c>
      <c r="I59" s="25" t="s">
        <v>157</v>
      </c>
      <c r="J59" s="28"/>
    </row>
    <row r="60" spans="1:11" ht="18" x14ac:dyDescent="0.2">
      <c r="A60" s="125"/>
      <c r="B60" s="29" t="s">
        <v>100</v>
      </c>
      <c r="C60" s="29" t="s">
        <v>101</v>
      </c>
      <c r="D60" s="31"/>
      <c r="E60" s="39"/>
      <c r="F60" s="29"/>
      <c r="G60" s="29"/>
      <c r="H60" s="29"/>
      <c r="I60" s="56"/>
      <c r="J60" s="30"/>
    </row>
    <row r="61" spans="1:11" ht="18" x14ac:dyDescent="0.2">
      <c r="A61" s="126"/>
      <c r="B61" s="26" t="s">
        <v>83</v>
      </c>
      <c r="C61" s="26" t="s">
        <v>63</v>
      </c>
      <c r="D61" s="25" t="s">
        <v>157</v>
      </c>
      <c r="E61" s="26" t="s">
        <v>157</v>
      </c>
      <c r="F61" s="25" t="s">
        <v>157</v>
      </c>
      <c r="G61" s="25" t="s">
        <v>157</v>
      </c>
      <c r="H61" s="25" t="s">
        <v>157</v>
      </c>
      <c r="I61" s="25" t="s">
        <v>157</v>
      </c>
      <c r="J61" s="28"/>
    </row>
    <row r="62" spans="1:11" ht="18" x14ac:dyDescent="0.2">
      <c r="A62" s="127" t="s">
        <v>84</v>
      </c>
      <c r="B62" s="29" t="s">
        <v>102</v>
      </c>
      <c r="C62" s="29" t="s">
        <v>101</v>
      </c>
      <c r="D62" s="31"/>
      <c r="E62" s="39"/>
      <c r="F62" s="29"/>
      <c r="G62" s="29"/>
      <c r="H62" s="29"/>
      <c r="I62" s="56"/>
      <c r="J62" s="30"/>
    </row>
    <row r="63" spans="1:11" ht="18" x14ac:dyDescent="0.2">
      <c r="A63" s="125"/>
      <c r="B63" s="29" t="s">
        <v>103</v>
      </c>
      <c r="C63" s="29" t="s">
        <v>104</v>
      </c>
      <c r="D63" s="31"/>
      <c r="E63" s="39"/>
      <c r="F63" s="29"/>
      <c r="G63" s="29"/>
      <c r="H63" s="29"/>
      <c r="I63" s="56"/>
      <c r="J63" s="30"/>
    </row>
    <row r="64" spans="1:11" ht="18" x14ac:dyDescent="0.2">
      <c r="A64" s="125"/>
      <c r="B64" s="26" t="s">
        <v>27</v>
      </c>
      <c r="C64" s="26" t="s">
        <v>61</v>
      </c>
      <c r="D64" s="25" t="s">
        <v>157</v>
      </c>
      <c r="E64" s="26" t="s">
        <v>157</v>
      </c>
      <c r="F64" s="25" t="s">
        <v>157</v>
      </c>
      <c r="G64" s="25" t="s">
        <v>157</v>
      </c>
      <c r="H64" s="25" t="s">
        <v>157</v>
      </c>
      <c r="I64" s="25" t="s">
        <v>157</v>
      </c>
      <c r="J64" s="28"/>
    </row>
    <row r="65" spans="1:13" ht="18" x14ac:dyDescent="0.2">
      <c r="A65" s="125"/>
      <c r="B65" s="26" t="s">
        <v>28</v>
      </c>
      <c r="C65" s="26" t="s">
        <v>61</v>
      </c>
      <c r="D65" s="25" t="s">
        <v>157</v>
      </c>
      <c r="E65" s="26" t="s">
        <v>157</v>
      </c>
      <c r="F65" s="25" t="s">
        <v>157</v>
      </c>
      <c r="G65" s="25" t="s">
        <v>157</v>
      </c>
      <c r="H65" s="25" t="s">
        <v>157</v>
      </c>
      <c r="I65" s="25" t="s">
        <v>157</v>
      </c>
      <c r="J65" s="28"/>
    </row>
    <row r="66" spans="1:13" ht="18" x14ac:dyDescent="0.2">
      <c r="A66" s="125"/>
      <c r="B66" s="29" t="s">
        <v>29</v>
      </c>
      <c r="C66" s="26" t="s">
        <v>106</v>
      </c>
      <c r="D66" s="25" t="s">
        <v>157</v>
      </c>
      <c r="E66" s="26" t="s">
        <v>157</v>
      </c>
      <c r="F66" s="31" t="s">
        <v>156</v>
      </c>
      <c r="G66" s="29"/>
      <c r="H66" s="29"/>
      <c r="I66" s="56"/>
      <c r="J66" s="30"/>
    </row>
    <row r="67" spans="1:13" ht="18" x14ac:dyDescent="0.2">
      <c r="A67" s="125"/>
      <c r="B67" s="26" t="s">
        <v>78</v>
      </c>
      <c r="C67" s="26" t="s">
        <v>63</v>
      </c>
      <c r="D67" s="25" t="s">
        <v>157</v>
      </c>
      <c r="E67" s="26" t="s">
        <v>157</v>
      </c>
      <c r="F67" s="25" t="s">
        <v>157</v>
      </c>
      <c r="G67" s="25" t="s">
        <v>157</v>
      </c>
      <c r="H67" s="25" t="s">
        <v>157</v>
      </c>
      <c r="I67" s="25" t="s">
        <v>157</v>
      </c>
      <c r="J67" s="28"/>
    </row>
    <row r="68" spans="1:13" ht="18" x14ac:dyDescent="0.2">
      <c r="A68" s="125"/>
      <c r="B68" s="29" t="s">
        <v>107</v>
      </c>
      <c r="C68" s="29" t="s">
        <v>108</v>
      </c>
      <c r="D68" s="31"/>
      <c r="E68" s="39"/>
      <c r="F68" s="29"/>
      <c r="G68" s="29"/>
      <c r="H68" s="29"/>
      <c r="I68" s="56"/>
      <c r="J68" s="30"/>
      <c r="L68">
        <f>600/40</f>
        <v>15</v>
      </c>
    </row>
    <row r="69" spans="1:13" ht="18" x14ac:dyDescent="0.2">
      <c r="A69" s="125"/>
      <c r="B69" s="29" t="s">
        <v>86</v>
      </c>
      <c r="C69" s="26" t="s">
        <v>106</v>
      </c>
      <c r="D69" s="25" t="s">
        <v>157</v>
      </c>
      <c r="E69" s="26" t="s">
        <v>157</v>
      </c>
      <c r="F69" s="31" t="s">
        <v>158</v>
      </c>
      <c r="G69" s="31"/>
      <c r="H69" s="31"/>
      <c r="I69" s="64"/>
      <c r="J69" s="30"/>
    </row>
    <row r="70" spans="1:13" ht="18" x14ac:dyDescent="0.2">
      <c r="A70" s="125"/>
      <c r="B70" s="29" t="s">
        <v>109</v>
      </c>
      <c r="C70" s="29" t="s">
        <v>108</v>
      </c>
      <c r="D70" s="31"/>
      <c r="E70" s="39"/>
      <c r="F70" s="29"/>
      <c r="G70" s="29"/>
      <c r="H70" s="29"/>
      <c r="I70" s="56"/>
      <c r="J70" s="30"/>
    </row>
    <row r="71" spans="1:13" ht="18" x14ac:dyDescent="0.2">
      <c r="A71" s="125"/>
      <c r="B71" s="29" t="s">
        <v>82</v>
      </c>
      <c r="C71" s="26" t="s">
        <v>63</v>
      </c>
      <c r="D71" s="73" t="s">
        <v>157</v>
      </c>
      <c r="E71" s="26" t="s">
        <v>157</v>
      </c>
      <c r="F71" s="31" t="s">
        <v>180</v>
      </c>
      <c r="G71" s="31"/>
      <c r="H71" s="31"/>
      <c r="I71" s="64"/>
      <c r="J71" s="30"/>
    </row>
    <row r="72" spans="1:13" ht="18" x14ac:dyDescent="0.2">
      <c r="A72" s="125"/>
      <c r="B72" s="29" t="s">
        <v>85</v>
      </c>
      <c r="C72" s="26" t="s">
        <v>63</v>
      </c>
      <c r="D72" s="73" t="s">
        <v>157</v>
      </c>
      <c r="E72" s="26" t="s">
        <v>157</v>
      </c>
      <c r="F72" s="25" t="s">
        <v>157</v>
      </c>
      <c r="G72" s="25" t="s">
        <v>157</v>
      </c>
      <c r="H72" s="25" t="s">
        <v>157</v>
      </c>
      <c r="I72" s="25" t="s">
        <v>157</v>
      </c>
      <c r="J72" s="30" t="s">
        <v>182</v>
      </c>
    </row>
    <row r="73" spans="1:13" ht="18" x14ac:dyDescent="0.2">
      <c r="A73" s="125"/>
      <c r="B73" s="29" t="s">
        <v>110</v>
      </c>
      <c r="C73" s="29" t="s">
        <v>101</v>
      </c>
      <c r="D73" s="31"/>
      <c r="E73" s="29"/>
      <c r="F73" s="29"/>
      <c r="G73" s="29"/>
      <c r="H73" s="29"/>
      <c r="I73" s="56"/>
      <c r="J73" s="30"/>
    </row>
    <row r="74" spans="1:13" ht="18" x14ac:dyDescent="0.2">
      <c r="A74" s="126"/>
      <c r="B74" s="29" t="s">
        <v>111</v>
      </c>
      <c r="C74" s="29" t="s">
        <v>101</v>
      </c>
      <c r="D74" s="31"/>
      <c r="E74" s="29"/>
      <c r="F74" s="29"/>
      <c r="G74" s="29"/>
      <c r="H74" s="29"/>
      <c r="I74" s="56"/>
      <c r="J74" s="30"/>
    </row>
    <row r="75" spans="1:13" ht="18" x14ac:dyDescent="0.2">
      <c r="A75" s="127" t="s">
        <v>87</v>
      </c>
      <c r="B75" s="29" t="s">
        <v>30</v>
      </c>
      <c r="C75" s="26" t="s">
        <v>63</v>
      </c>
      <c r="D75" s="25" t="s">
        <v>157</v>
      </c>
      <c r="E75" s="26" t="s">
        <v>157</v>
      </c>
      <c r="F75" s="25" t="s">
        <v>157</v>
      </c>
      <c r="G75" s="31" t="s">
        <v>181</v>
      </c>
      <c r="H75" s="31"/>
      <c r="I75" s="64"/>
      <c r="J75" s="30"/>
    </row>
    <row r="76" spans="1:13" ht="18" x14ac:dyDescent="0.2">
      <c r="A76" s="125"/>
      <c r="B76" s="29" t="s">
        <v>31</v>
      </c>
      <c r="C76" s="26" t="s">
        <v>63</v>
      </c>
      <c r="D76" s="25" t="s">
        <v>157</v>
      </c>
      <c r="E76" s="26" t="s">
        <v>157</v>
      </c>
      <c r="F76" s="31" t="s">
        <v>158</v>
      </c>
      <c r="G76" s="31"/>
      <c r="H76" s="31"/>
      <c r="I76" s="64"/>
      <c r="J76" s="30"/>
    </row>
    <row r="77" spans="1:13" ht="18" x14ac:dyDescent="0.2">
      <c r="A77" s="125"/>
      <c r="B77" s="26" t="s">
        <v>32</v>
      </c>
      <c r="C77" s="26" t="s">
        <v>63</v>
      </c>
      <c r="D77" s="25" t="s">
        <v>157</v>
      </c>
      <c r="E77" s="26" t="s">
        <v>157</v>
      </c>
      <c r="F77" s="25" t="s">
        <v>157</v>
      </c>
      <c r="G77" s="25" t="s">
        <v>157</v>
      </c>
      <c r="H77" s="25" t="s">
        <v>157</v>
      </c>
      <c r="I77" s="25" t="s">
        <v>157</v>
      </c>
      <c r="J77" s="28"/>
    </row>
    <row r="78" spans="1:13" ht="18" x14ac:dyDescent="0.2">
      <c r="A78" s="125"/>
      <c r="B78" s="29" t="s">
        <v>35</v>
      </c>
      <c r="C78" s="26" t="s">
        <v>61</v>
      </c>
      <c r="D78" s="25" t="s">
        <v>157</v>
      </c>
      <c r="E78" s="26" t="s">
        <v>157</v>
      </c>
      <c r="F78" s="31" t="s">
        <v>156</v>
      </c>
      <c r="G78" s="29"/>
      <c r="H78" s="29"/>
      <c r="I78" s="56"/>
      <c r="J78" s="30"/>
    </row>
    <row r="79" spans="1:13" ht="18" x14ac:dyDescent="0.2">
      <c r="A79" s="125"/>
      <c r="B79" s="26" t="s">
        <v>36</v>
      </c>
      <c r="C79" s="26" t="s">
        <v>61</v>
      </c>
      <c r="D79" s="25" t="s">
        <v>157</v>
      </c>
      <c r="E79" s="26" t="s">
        <v>157</v>
      </c>
      <c r="F79" s="25" t="s">
        <v>157</v>
      </c>
      <c r="G79" s="25" t="s">
        <v>157</v>
      </c>
      <c r="H79" s="25" t="s">
        <v>157</v>
      </c>
      <c r="I79" s="25" t="s">
        <v>157</v>
      </c>
      <c r="J79" s="28"/>
    </row>
    <row r="80" spans="1:13" ht="18" x14ac:dyDescent="0.2">
      <c r="A80" s="125"/>
      <c r="B80" s="26" t="s">
        <v>37</v>
      </c>
      <c r="C80" s="26" t="s">
        <v>63</v>
      </c>
      <c r="D80" s="25" t="s">
        <v>157</v>
      </c>
      <c r="E80" s="26" t="s">
        <v>157</v>
      </c>
      <c r="F80" s="25" t="s">
        <v>157</v>
      </c>
      <c r="G80" s="25" t="s">
        <v>157</v>
      </c>
      <c r="H80" s="25" t="s">
        <v>157</v>
      </c>
      <c r="I80" s="25" t="s">
        <v>157</v>
      </c>
      <c r="J80" s="28"/>
      <c r="L80">
        <v>55701992080</v>
      </c>
      <c r="M80">
        <f>POWER(2, 64)</f>
        <v>1.8446744073709552E+19</v>
      </c>
    </row>
    <row r="81" spans="1:13" ht="18" x14ac:dyDescent="0.2">
      <c r="A81" s="125"/>
      <c r="B81" s="26" t="s">
        <v>38</v>
      </c>
      <c r="C81" s="26" t="s">
        <v>61</v>
      </c>
      <c r="D81" s="25" t="s">
        <v>157</v>
      </c>
      <c r="E81" s="26" t="s">
        <v>157</v>
      </c>
      <c r="F81" s="25" t="s">
        <v>157</v>
      </c>
      <c r="G81" s="25" t="s">
        <v>157</v>
      </c>
      <c r="H81" s="25" t="s">
        <v>157</v>
      </c>
      <c r="I81" s="25" t="s">
        <v>157</v>
      </c>
      <c r="J81" s="28"/>
      <c r="M81">
        <f>M80-L80</f>
        <v>1.844674401800756E+19</v>
      </c>
    </row>
    <row r="82" spans="1:13" ht="18" x14ac:dyDescent="0.2">
      <c r="A82" s="125"/>
      <c r="B82" s="26" t="s">
        <v>40</v>
      </c>
      <c r="C82" s="26" t="s">
        <v>61</v>
      </c>
      <c r="D82" s="25" t="s">
        <v>157</v>
      </c>
      <c r="E82" s="26" t="s">
        <v>157</v>
      </c>
      <c r="F82" s="25" t="s">
        <v>157</v>
      </c>
      <c r="G82" s="25" t="s">
        <v>157</v>
      </c>
      <c r="H82" s="25" t="s">
        <v>157</v>
      </c>
      <c r="I82" s="25" t="s">
        <v>157</v>
      </c>
      <c r="J82" s="28"/>
    </row>
    <row r="83" spans="1:13" ht="18" x14ac:dyDescent="0.2">
      <c r="A83" s="125"/>
      <c r="B83" s="29" t="s">
        <v>115</v>
      </c>
      <c r="C83" s="29" t="s">
        <v>101</v>
      </c>
      <c r="D83" s="31"/>
      <c r="E83" s="29"/>
      <c r="F83" s="29"/>
      <c r="G83" s="29"/>
      <c r="H83" s="29"/>
      <c r="I83" s="56"/>
      <c r="J83" s="30"/>
    </row>
    <row r="84" spans="1:13" ht="18" x14ac:dyDescent="0.2">
      <c r="A84" s="125"/>
      <c r="B84" s="27" t="s">
        <v>42</v>
      </c>
      <c r="C84" s="27" t="s">
        <v>63</v>
      </c>
      <c r="D84" s="25" t="s">
        <v>157</v>
      </c>
      <c r="E84" s="26" t="s">
        <v>157</v>
      </c>
      <c r="F84" s="25" t="s">
        <v>157</v>
      </c>
      <c r="G84" s="25" t="s">
        <v>157</v>
      </c>
      <c r="H84" s="25" t="s">
        <v>157</v>
      </c>
      <c r="I84" s="25" t="s">
        <v>157</v>
      </c>
      <c r="J84" s="28"/>
    </row>
    <row r="85" spans="1:13" ht="18" x14ac:dyDescent="0.2">
      <c r="A85" s="128" t="s">
        <v>88</v>
      </c>
      <c r="B85" s="30" t="s">
        <v>116</v>
      </c>
      <c r="C85" s="30" t="s">
        <v>101</v>
      </c>
      <c r="D85" s="31"/>
      <c r="E85" s="30"/>
      <c r="F85" s="30"/>
      <c r="G85" s="30"/>
      <c r="H85" s="30"/>
      <c r="I85" s="58"/>
      <c r="J85" s="30"/>
    </row>
    <row r="86" spans="1:13" ht="18" x14ac:dyDescent="0.2">
      <c r="A86" s="128"/>
      <c r="B86" s="30" t="s">
        <v>33</v>
      </c>
      <c r="C86" s="30" t="s">
        <v>104</v>
      </c>
      <c r="D86" s="31"/>
      <c r="E86" s="30"/>
      <c r="F86" s="30"/>
      <c r="G86" s="30"/>
      <c r="H86" s="30"/>
      <c r="I86" s="58"/>
      <c r="J86" s="30"/>
    </row>
    <row r="87" spans="1:13" ht="18" x14ac:dyDescent="0.2">
      <c r="A87" s="128"/>
      <c r="B87" s="28" t="s">
        <v>34</v>
      </c>
      <c r="C87" s="28" t="s">
        <v>63</v>
      </c>
      <c r="D87" s="25" t="s">
        <v>157</v>
      </c>
      <c r="E87" s="26" t="s">
        <v>157</v>
      </c>
      <c r="F87" s="25" t="s">
        <v>157</v>
      </c>
      <c r="G87" s="25" t="s">
        <v>157</v>
      </c>
      <c r="H87" s="25" t="s">
        <v>157</v>
      </c>
      <c r="I87" s="25" t="s">
        <v>157</v>
      </c>
      <c r="J87" s="28"/>
    </row>
    <row r="88" spans="1:13" ht="18" x14ac:dyDescent="0.2">
      <c r="A88" s="128"/>
      <c r="B88" s="30" t="s">
        <v>117</v>
      </c>
      <c r="C88" s="30" t="s">
        <v>108</v>
      </c>
      <c r="D88" s="31"/>
      <c r="E88" s="30"/>
      <c r="F88" s="30"/>
      <c r="G88" s="30"/>
      <c r="H88" s="30"/>
      <c r="I88" s="58"/>
      <c r="J88" s="30"/>
    </row>
    <row r="89" spans="1:13" ht="18" x14ac:dyDescent="0.2">
      <c r="A89" s="128"/>
      <c r="B89" s="30" t="s">
        <v>118</v>
      </c>
      <c r="C89" s="30" t="s">
        <v>108</v>
      </c>
      <c r="D89" s="31"/>
      <c r="E89" s="30"/>
      <c r="F89" s="30"/>
      <c r="G89" s="30"/>
      <c r="H89" s="30"/>
      <c r="I89" s="58"/>
      <c r="J89" s="30"/>
    </row>
    <row r="90" spans="1:13" ht="18" x14ac:dyDescent="0.2">
      <c r="A90" s="128"/>
      <c r="B90" s="30" t="s">
        <v>119</v>
      </c>
      <c r="C90" s="30" t="s">
        <v>108</v>
      </c>
      <c r="D90" s="31"/>
      <c r="E90" s="30"/>
      <c r="F90" s="30"/>
      <c r="G90" s="30"/>
      <c r="H90" s="30"/>
      <c r="I90" s="58"/>
      <c r="J90" s="30"/>
    </row>
    <row r="91" spans="1:13" ht="18" x14ac:dyDescent="0.2">
      <c r="A91" s="128"/>
      <c r="B91" s="30" t="s">
        <v>39</v>
      </c>
      <c r="C91" s="28" t="s">
        <v>63</v>
      </c>
      <c r="D91" s="25" t="s">
        <v>157</v>
      </c>
      <c r="E91" s="26" t="s">
        <v>157</v>
      </c>
      <c r="F91" s="25" t="s">
        <v>157</v>
      </c>
      <c r="G91" s="31" t="s">
        <v>181</v>
      </c>
      <c r="H91" s="31"/>
      <c r="I91" s="64"/>
      <c r="J91" s="30"/>
    </row>
    <row r="92" spans="1:13" ht="18" x14ac:dyDescent="0.2">
      <c r="A92" s="128"/>
      <c r="B92" s="30" t="s">
        <v>41</v>
      </c>
      <c r="C92" s="28" t="s">
        <v>63</v>
      </c>
      <c r="D92" s="25" t="s">
        <v>157</v>
      </c>
      <c r="E92" s="26" t="s">
        <v>157</v>
      </c>
      <c r="F92" s="25" t="s">
        <v>157</v>
      </c>
      <c r="G92" s="25" t="s">
        <v>157</v>
      </c>
      <c r="H92" s="25" t="s">
        <v>157</v>
      </c>
      <c r="I92" s="25" t="s">
        <v>157</v>
      </c>
      <c r="J92" s="30" t="s">
        <v>182</v>
      </c>
    </row>
    <row r="93" spans="1:13" ht="18" x14ac:dyDescent="0.2">
      <c r="A93" s="128"/>
      <c r="B93" s="30" t="s">
        <v>120</v>
      </c>
      <c r="C93" s="30" t="s">
        <v>101</v>
      </c>
      <c r="D93" s="31"/>
      <c r="E93" s="30"/>
      <c r="F93" s="30"/>
      <c r="G93" s="30"/>
      <c r="H93" s="30"/>
      <c r="I93" s="58"/>
      <c r="J93" s="30"/>
    </row>
    <row r="94" spans="1:13" ht="18" x14ac:dyDescent="0.2">
      <c r="A94" s="128"/>
      <c r="B94" s="30" t="s">
        <v>121</v>
      </c>
      <c r="C94" s="30" t="s">
        <v>101</v>
      </c>
      <c r="D94" s="31"/>
      <c r="E94" s="30"/>
      <c r="F94" s="30"/>
      <c r="G94" s="30"/>
      <c r="H94" s="30"/>
      <c r="I94" s="58"/>
      <c r="J94" s="30"/>
    </row>
    <row r="97" spans="2:2" ht="18" x14ac:dyDescent="0.2">
      <c r="B97" s="25" t="s">
        <v>73</v>
      </c>
    </row>
    <row r="98" spans="2:2" ht="18" x14ac:dyDescent="0.2">
      <c r="B98" s="26" t="s">
        <v>74</v>
      </c>
    </row>
    <row r="99" spans="2:2" ht="18" x14ac:dyDescent="0.2">
      <c r="B99" s="26" t="s">
        <v>75</v>
      </c>
    </row>
    <row r="100" spans="2:2" ht="18" x14ac:dyDescent="0.2">
      <c r="B100" s="26" t="s">
        <v>76</v>
      </c>
    </row>
    <row r="101" spans="2:2" ht="18" x14ac:dyDescent="0.2">
      <c r="B101" s="26" t="s">
        <v>77</v>
      </c>
    </row>
    <row r="102" spans="2:2" ht="18" x14ac:dyDescent="0.2">
      <c r="B102" s="26" t="s">
        <v>79</v>
      </c>
    </row>
    <row r="103" spans="2:2" ht="18" x14ac:dyDescent="0.2">
      <c r="B103" s="26" t="s">
        <v>80</v>
      </c>
    </row>
    <row r="104" spans="2:2" ht="18" x14ac:dyDescent="0.2">
      <c r="B104" s="26" t="s">
        <v>81</v>
      </c>
    </row>
    <row r="105" spans="2:2" ht="18" x14ac:dyDescent="0.2">
      <c r="B105" s="26" t="s">
        <v>27</v>
      </c>
    </row>
    <row r="106" spans="2:2" ht="18" x14ac:dyDescent="0.2">
      <c r="B106" s="26" t="s">
        <v>28</v>
      </c>
    </row>
    <row r="107" spans="2:2" ht="18" x14ac:dyDescent="0.2">
      <c r="B107" s="26" t="s">
        <v>29</v>
      </c>
    </row>
    <row r="108" spans="2:2" ht="18" x14ac:dyDescent="0.2">
      <c r="B108" s="26" t="s">
        <v>78</v>
      </c>
    </row>
    <row r="109" spans="2:2" ht="18" x14ac:dyDescent="0.2">
      <c r="B109" s="26" t="s">
        <v>86</v>
      </c>
    </row>
    <row r="110" spans="2:2" ht="18" x14ac:dyDescent="0.2">
      <c r="B110" s="26" t="s">
        <v>82</v>
      </c>
    </row>
    <row r="111" spans="2:2" ht="18" x14ac:dyDescent="0.2">
      <c r="B111" s="26" t="s">
        <v>85</v>
      </c>
    </row>
    <row r="112" spans="2:2" ht="18" x14ac:dyDescent="0.2">
      <c r="B112" s="26" t="s">
        <v>30</v>
      </c>
    </row>
    <row r="113" spans="2:2" ht="18" x14ac:dyDescent="0.2">
      <c r="B113" s="26" t="s">
        <v>31</v>
      </c>
    </row>
    <row r="114" spans="2:2" ht="18" x14ac:dyDescent="0.2">
      <c r="B114" s="26" t="s">
        <v>32</v>
      </c>
    </row>
    <row r="115" spans="2:2" ht="18" x14ac:dyDescent="0.2">
      <c r="B115" s="26" t="s">
        <v>35</v>
      </c>
    </row>
    <row r="116" spans="2:2" ht="18" x14ac:dyDescent="0.2">
      <c r="B116" s="26" t="s">
        <v>36</v>
      </c>
    </row>
    <row r="117" spans="2:2" ht="18" x14ac:dyDescent="0.2">
      <c r="B117" s="26" t="s">
        <v>37</v>
      </c>
    </row>
    <row r="118" spans="2:2" ht="18" x14ac:dyDescent="0.2">
      <c r="B118" s="26" t="s">
        <v>38</v>
      </c>
    </row>
    <row r="119" spans="2:2" ht="18" x14ac:dyDescent="0.2">
      <c r="B119" s="26" t="s">
        <v>40</v>
      </c>
    </row>
    <row r="120" spans="2:2" ht="18" x14ac:dyDescent="0.2">
      <c r="B120" s="27" t="s">
        <v>42</v>
      </c>
    </row>
    <row r="121" spans="2:2" ht="18" x14ac:dyDescent="0.2">
      <c r="B121" s="28" t="s">
        <v>34</v>
      </c>
    </row>
    <row r="122" spans="2:2" ht="18" x14ac:dyDescent="0.2">
      <c r="B122" s="28" t="s">
        <v>39</v>
      </c>
    </row>
    <row r="123" spans="2:2" ht="18" x14ac:dyDescent="0.2">
      <c r="B123" s="28" t="s">
        <v>41</v>
      </c>
    </row>
    <row r="124" spans="2:2" ht="18" x14ac:dyDescent="0.2">
      <c r="B124" s="28"/>
    </row>
  </sheetData>
  <mergeCells count="8">
    <mergeCell ref="A62:A74"/>
    <mergeCell ref="A75:A84"/>
    <mergeCell ref="A85:A94"/>
    <mergeCell ref="A2:A11"/>
    <mergeCell ref="A12:A24"/>
    <mergeCell ref="A25:A34"/>
    <mergeCell ref="A35:A44"/>
    <mergeCell ref="A52:A6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CA5D-9ED8-2640-A74E-AE1F097BE288}">
  <dimension ref="A1:G90"/>
  <sheetViews>
    <sheetView zoomScale="150" workbookViewId="0">
      <selection activeCell="A2" sqref="A2:A17"/>
    </sheetView>
  </sheetViews>
  <sheetFormatPr baseColWidth="10" defaultRowHeight="16" x14ac:dyDescent="0.2"/>
  <cols>
    <col min="1" max="1" width="30.5" style="76" bestFit="1" customWidth="1"/>
    <col min="2" max="2" width="28.33203125" style="76" bestFit="1" customWidth="1"/>
    <col min="3" max="3" width="15" style="76" bestFit="1" customWidth="1"/>
    <col min="4" max="4" width="30.83203125" style="76" bestFit="1" customWidth="1"/>
    <col min="5" max="5" width="17.6640625" style="76" bestFit="1" customWidth="1"/>
    <col min="6" max="6" width="30.1640625" style="76" bestFit="1" customWidth="1"/>
    <col min="7" max="16384" width="10.83203125" style="76"/>
  </cols>
  <sheetData>
    <row r="1" spans="1:6" ht="18" x14ac:dyDescent="0.2">
      <c r="A1" s="75"/>
      <c r="B1" s="2" t="s">
        <v>132</v>
      </c>
      <c r="C1" s="2" t="s">
        <v>133</v>
      </c>
      <c r="D1" s="2" t="s">
        <v>162</v>
      </c>
      <c r="E1" s="2" t="s">
        <v>169</v>
      </c>
      <c r="F1" s="2" t="s">
        <v>134</v>
      </c>
    </row>
    <row r="2" spans="1:6" ht="18" x14ac:dyDescent="0.2">
      <c r="A2" s="28" t="s">
        <v>75</v>
      </c>
      <c r="B2" s="78">
        <v>330101</v>
      </c>
      <c r="C2" s="78">
        <v>390455</v>
      </c>
      <c r="D2" s="78">
        <v>680484</v>
      </c>
      <c r="E2" s="78">
        <v>1592955</v>
      </c>
      <c r="F2" s="78">
        <v>3773930</v>
      </c>
    </row>
    <row r="3" spans="1:6" ht="18" x14ac:dyDescent="0.2">
      <c r="A3" s="28" t="s">
        <v>27</v>
      </c>
      <c r="B3" s="78">
        <v>247041</v>
      </c>
      <c r="C3" s="78">
        <v>249922</v>
      </c>
      <c r="D3" s="78">
        <v>256366</v>
      </c>
      <c r="E3" s="78">
        <v>286219</v>
      </c>
      <c r="F3" s="78">
        <v>363759</v>
      </c>
    </row>
    <row r="4" spans="1:6" ht="18" x14ac:dyDescent="0.2">
      <c r="A4" s="28" t="s">
        <v>28</v>
      </c>
      <c r="B4" s="78">
        <v>396815</v>
      </c>
      <c r="C4" s="78">
        <v>418528</v>
      </c>
      <c r="D4" s="78">
        <v>505582</v>
      </c>
      <c r="E4" s="78">
        <v>700581</v>
      </c>
      <c r="F4" s="78">
        <v>1202613</v>
      </c>
    </row>
    <row r="5" spans="1:6" ht="18" x14ac:dyDescent="0.2">
      <c r="A5" s="28" t="s">
        <v>78</v>
      </c>
      <c r="B5" s="78">
        <v>244328</v>
      </c>
      <c r="C5" s="78">
        <v>243024</v>
      </c>
      <c r="D5" s="78">
        <v>248920</v>
      </c>
      <c r="E5" s="78">
        <v>251917</v>
      </c>
      <c r="F5" s="78">
        <v>251619</v>
      </c>
    </row>
    <row r="6" spans="1:6" ht="18" x14ac:dyDescent="0.2">
      <c r="A6" s="28" t="s">
        <v>77</v>
      </c>
      <c r="B6" s="78">
        <v>297593</v>
      </c>
      <c r="C6" s="78">
        <v>347461</v>
      </c>
      <c r="D6" s="78">
        <v>503105</v>
      </c>
      <c r="E6" s="78">
        <v>896709</v>
      </c>
      <c r="F6" s="78">
        <v>2006719</v>
      </c>
    </row>
    <row r="7" spans="1:6" ht="18" x14ac:dyDescent="0.2">
      <c r="A7" s="28" t="s">
        <v>79</v>
      </c>
      <c r="B7" s="78">
        <v>112919</v>
      </c>
      <c r="C7" s="78">
        <v>137956</v>
      </c>
      <c r="D7" s="78">
        <v>171263</v>
      </c>
      <c r="E7" s="78">
        <v>312446</v>
      </c>
      <c r="F7" s="78">
        <v>715470</v>
      </c>
    </row>
    <row r="8" spans="1:6" ht="18" x14ac:dyDescent="0.2">
      <c r="A8" s="28" t="s">
        <v>80</v>
      </c>
      <c r="B8" s="78">
        <v>235714</v>
      </c>
      <c r="C8" s="78">
        <v>304029</v>
      </c>
      <c r="D8" s="78">
        <v>362594</v>
      </c>
      <c r="F8" s="78" t="s">
        <v>158</v>
      </c>
    </row>
    <row r="9" spans="1:6" ht="18" x14ac:dyDescent="0.2">
      <c r="A9" s="28" t="s">
        <v>81</v>
      </c>
      <c r="B9" s="78">
        <v>383049</v>
      </c>
      <c r="C9" s="78">
        <v>463092</v>
      </c>
      <c r="D9" s="78">
        <v>547618</v>
      </c>
      <c r="E9" s="78">
        <v>1019098</v>
      </c>
      <c r="F9" s="78">
        <v>2550537</v>
      </c>
    </row>
    <row r="10" spans="1:6" ht="18" x14ac:dyDescent="0.2">
      <c r="A10" s="28" t="s">
        <v>83</v>
      </c>
      <c r="B10" s="78">
        <v>179200</v>
      </c>
      <c r="C10" s="78">
        <v>128512</v>
      </c>
      <c r="D10" s="78">
        <v>130056</v>
      </c>
      <c r="E10" s="78">
        <v>142310</v>
      </c>
      <c r="F10" s="78">
        <v>181280</v>
      </c>
    </row>
    <row r="11" spans="1:6" ht="18" x14ac:dyDescent="0.2">
      <c r="A11" s="28" t="s">
        <v>32</v>
      </c>
      <c r="B11" s="78">
        <v>663078</v>
      </c>
      <c r="C11" s="78">
        <v>787314</v>
      </c>
      <c r="D11" s="78">
        <v>1349722</v>
      </c>
      <c r="E11" s="78">
        <v>3138151</v>
      </c>
      <c r="F11" s="78">
        <v>7371063</v>
      </c>
    </row>
    <row r="12" spans="1:6" ht="18" x14ac:dyDescent="0.2">
      <c r="A12" s="28" t="s">
        <v>34</v>
      </c>
      <c r="B12" s="78">
        <v>1158885</v>
      </c>
      <c r="C12" s="78">
        <v>1159928</v>
      </c>
      <c r="D12" s="78">
        <v>1163304</v>
      </c>
      <c r="E12" s="78">
        <v>1160786</v>
      </c>
      <c r="F12" s="78">
        <v>1164322</v>
      </c>
    </row>
    <row r="13" spans="1:6" ht="18" x14ac:dyDescent="0.2">
      <c r="A13" s="28" t="s">
        <v>36</v>
      </c>
      <c r="B13" s="78">
        <v>293066</v>
      </c>
      <c r="C13" s="78">
        <v>347659</v>
      </c>
      <c r="D13" s="78">
        <v>494922</v>
      </c>
      <c r="E13" s="78">
        <v>904347</v>
      </c>
      <c r="F13" s="78">
        <v>2040430</v>
      </c>
    </row>
    <row r="14" spans="1:6" ht="18" x14ac:dyDescent="0.2">
      <c r="A14" s="28" t="s">
        <v>37</v>
      </c>
      <c r="B14" s="78">
        <v>112343</v>
      </c>
      <c r="C14" s="78">
        <v>136900</v>
      </c>
      <c r="D14" s="78">
        <v>171680</v>
      </c>
      <c r="E14" s="78">
        <v>312136</v>
      </c>
      <c r="F14" s="78">
        <v>713424</v>
      </c>
    </row>
    <row r="15" spans="1:6" ht="18" x14ac:dyDescent="0.2">
      <c r="A15" s="28" t="s">
        <v>38</v>
      </c>
      <c r="B15" s="78">
        <v>292945</v>
      </c>
      <c r="C15" s="78">
        <v>371736</v>
      </c>
      <c r="D15" s="78">
        <v>442455</v>
      </c>
      <c r="F15" s="78" t="s">
        <v>158</v>
      </c>
    </row>
    <row r="16" spans="1:6" ht="18" x14ac:dyDescent="0.2">
      <c r="A16" s="28" t="s">
        <v>40</v>
      </c>
      <c r="B16" s="78">
        <v>382069</v>
      </c>
      <c r="C16" s="78">
        <v>461747</v>
      </c>
      <c r="D16" s="78">
        <v>549074</v>
      </c>
      <c r="E16" s="78">
        <v>1026999</v>
      </c>
      <c r="F16" s="78">
        <v>2530139</v>
      </c>
    </row>
    <row r="17" spans="1:6" ht="18" x14ac:dyDescent="0.2">
      <c r="A17" s="28" t="s">
        <v>42</v>
      </c>
      <c r="B17" s="78">
        <v>318305</v>
      </c>
      <c r="C17" s="78">
        <v>323084</v>
      </c>
      <c r="D17" s="78">
        <v>330269</v>
      </c>
      <c r="E17" s="78">
        <v>374908</v>
      </c>
      <c r="F17" s="78">
        <v>477259</v>
      </c>
    </row>
    <row r="21" spans="1:6" ht="18" x14ac:dyDescent="0.2">
      <c r="A21" s="75"/>
      <c r="B21" s="2" t="s">
        <v>133</v>
      </c>
      <c r="C21" s="2" t="s">
        <v>169</v>
      </c>
      <c r="D21" s="2" t="s">
        <v>134</v>
      </c>
    </row>
    <row r="22" spans="1:6" ht="18" x14ac:dyDescent="0.2">
      <c r="A22" s="28" t="s">
        <v>75</v>
      </c>
      <c r="B22" s="78">
        <v>389783</v>
      </c>
      <c r="C22" s="78">
        <v>2010172</v>
      </c>
      <c r="D22" s="78">
        <v>3773642</v>
      </c>
    </row>
    <row r="23" spans="1:6" ht="18" x14ac:dyDescent="0.2">
      <c r="A23" s="28" t="s">
        <v>27</v>
      </c>
      <c r="B23" s="78">
        <v>251150</v>
      </c>
      <c r="C23" s="78">
        <v>484684</v>
      </c>
      <c r="D23" s="78">
        <v>364713</v>
      </c>
    </row>
    <row r="24" spans="1:6" ht="18" x14ac:dyDescent="0.2">
      <c r="A24" s="28" t="s">
        <v>28</v>
      </c>
      <c r="B24" s="78">
        <v>1043725</v>
      </c>
      <c r="C24" s="78">
        <v>1475773</v>
      </c>
      <c r="D24" s="78">
        <v>1851488</v>
      </c>
    </row>
    <row r="25" spans="1:6" ht="18" x14ac:dyDescent="0.2">
      <c r="A25" s="28" t="s">
        <v>78</v>
      </c>
      <c r="B25" s="78">
        <v>249042</v>
      </c>
      <c r="C25" s="78">
        <v>416744</v>
      </c>
      <c r="D25" s="78">
        <v>248431</v>
      </c>
    </row>
    <row r="26" spans="1:6" ht="18" x14ac:dyDescent="0.2">
      <c r="A26" s="28" t="s">
        <v>77</v>
      </c>
      <c r="B26" s="78">
        <v>347060</v>
      </c>
      <c r="C26" s="78">
        <v>1463177</v>
      </c>
      <c r="D26" s="78">
        <v>2006009</v>
      </c>
    </row>
    <row r="27" spans="1:6" ht="18" x14ac:dyDescent="0.2">
      <c r="A27" s="28" t="s">
        <v>79</v>
      </c>
      <c r="B27" s="78">
        <v>136507</v>
      </c>
      <c r="C27" s="78">
        <v>638162</v>
      </c>
      <c r="D27" s="78">
        <v>723438</v>
      </c>
    </row>
    <row r="28" spans="1:6" ht="18" x14ac:dyDescent="0.2">
      <c r="A28" s="28" t="s">
        <v>81</v>
      </c>
      <c r="B28" s="78">
        <v>461236</v>
      </c>
      <c r="C28" s="78">
        <v>1305772</v>
      </c>
      <c r="D28" s="78">
        <v>2522744</v>
      </c>
    </row>
    <row r="29" spans="1:6" ht="18" x14ac:dyDescent="0.2">
      <c r="A29" s="28" t="s">
        <v>83</v>
      </c>
      <c r="B29" s="78">
        <v>125468</v>
      </c>
      <c r="C29" s="78">
        <v>248155</v>
      </c>
      <c r="D29" s="78">
        <v>181604</v>
      </c>
    </row>
    <row r="30" spans="1:6" ht="18" x14ac:dyDescent="0.2">
      <c r="A30" s="28" t="s">
        <v>32</v>
      </c>
      <c r="B30" s="78">
        <v>788407</v>
      </c>
      <c r="C30" s="78">
        <v>3920403</v>
      </c>
      <c r="D30" s="78">
        <v>7329264</v>
      </c>
    </row>
    <row r="31" spans="1:6" ht="18" x14ac:dyDescent="0.2">
      <c r="A31" s="28" t="s">
        <v>34</v>
      </c>
      <c r="B31" s="78">
        <v>1159042</v>
      </c>
      <c r="C31" s="78">
        <v>1186949</v>
      </c>
      <c r="D31" s="78">
        <v>1190759</v>
      </c>
    </row>
    <row r="32" spans="1:6" ht="18" x14ac:dyDescent="0.2">
      <c r="A32" s="28" t="s">
        <v>36</v>
      </c>
      <c r="B32" s="78">
        <v>346111</v>
      </c>
      <c r="C32" s="78">
        <v>1473093</v>
      </c>
      <c r="D32" s="78">
        <v>2003160</v>
      </c>
    </row>
    <row r="33" spans="1:5" ht="18" x14ac:dyDescent="0.2">
      <c r="A33" s="28" t="s">
        <v>37</v>
      </c>
      <c r="B33" s="78">
        <v>136339</v>
      </c>
      <c r="C33" s="78">
        <v>638205</v>
      </c>
      <c r="D33" s="78">
        <v>715783</v>
      </c>
    </row>
    <row r="34" spans="1:5" ht="18" x14ac:dyDescent="0.2">
      <c r="A34" s="28" t="s">
        <v>40</v>
      </c>
      <c r="B34" s="78">
        <v>462597</v>
      </c>
      <c r="C34" s="78">
        <v>1303897</v>
      </c>
      <c r="D34" s="78">
        <v>2529679</v>
      </c>
    </row>
    <row r="35" spans="1:5" ht="18" x14ac:dyDescent="0.2">
      <c r="A35" s="28" t="s">
        <v>42</v>
      </c>
      <c r="B35" s="78">
        <v>325694</v>
      </c>
      <c r="C35" s="78">
        <v>767217</v>
      </c>
      <c r="D35" s="78">
        <v>481545</v>
      </c>
    </row>
    <row r="40" spans="1:5" ht="18" x14ac:dyDescent="0.2">
      <c r="A40" s="75"/>
      <c r="B40" s="2" t="s">
        <v>133</v>
      </c>
      <c r="C40" s="2" t="s">
        <v>169</v>
      </c>
      <c r="D40" s="2" t="s">
        <v>134</v>
      </c>
      <c r="E40" s="76" t="s">
        <v>205</v>
      </c>
    </row>
    <row r="41" spans="1:5" ht="18" x14ac:dyDescent="0.2">
      <c r="A41" s="28" t="s">
        <v>75</v>
      </c>
      <c r="B41" s="77">
        <f>B22/$B22</f>
        <v>1</v>
      </c>
      <c r="C41" s="77">
        <f>C22/$B22</f>
        <v>5.157156674354705</v>
      </c>
      <c r="D41" s="77">
        <f>D22/$B22</f>
        <v>9.6813919539846527</v>
      </c>
      <c r="E41" s="76">
        <f>D41/C41</f>
        <v>1.8772731885629688</v>
      </c>
    </row>
    <row r="42" spans="1:5" ht="18" x14ac:dyDescent="0.2">
      <c r="A42" s="28" t="s">
        <v>27</v>
      </c>
      <c r="B42" s="77">
        <f t="shared" ref="B42:B54" si="0">B23/$B23</f>
        <v>1</v>
      </c>
      <c r="C42" s="77">
        <f t="shared" ref="C42:D54" si="1">C23/$B23</f>
        <v>1.9298586502090385</v>
      </c>
      <c r="D42" s="77">
        <f t="shared" si="1"/>
        <v>1.4521720087597054</v>
      </c>
      <c r="E42" s="76">
        <f t="shared" ref="E42:E55" si="2">D42/C42</f>
        <v>0.75247583992869582</v>
      </c>
    </row>
    <row r="43" spans="1:5" ht="18" x14ac:dyDescent="0.2">
      <c r="A43" s="28" t="s">
        <v>28</v>
      </c>
      <c r="B43" s="77">
        <f t="shared" si="0"/>
        <v>1</v>
      </c>
      <c r="C43" s="77">
        <f t="shared" si="1"/>
        <v>1.4139481185178089</v>
      </c>
      <c r="D43" s="77">
        <f t="shared" si="1"/>
        <v>1.7739232077415028</v>
      </c>
      <c r="E43" s="76">
        <f t="shared" si="2"/>
        <v>1.2545886122052645</v>
      </c>
    </row>
    <row r="44" spans="1:5" ht="18" x14ac:dyDescent="0.2">
      <c r="A44" s="28" t="s">
        <v>78</v>
      </c>
      <c r="B44" s="77">
        <f t="shared" si="0"/>
        <v>1</v>
      </c>
      <c r="C44" s="77">
        <f t="shared" si="1"/>
        <v>1.6733884244424635</v>
      </c>
      <c r="D44" s="77">
        <f t="shared" si="1"/>
        <v>0.99754659856570382</v>
      </c>
      <c r="E44" s="76">
        <f t="shared" si="2"/>
        <v>0.59612375943024976</v>
      </c>
    </row>
    <row r="45" spans="1:5" ht="18" x14ac:dyDescent="0.2">
      <c r="A45" s="28" t="s">
        <v>77</v>
      </c>
      <c r="B45" s="77">
        <f t="shared" si="0"/>
        <v>1</v>
      </c>
      <c r="C45" s="77">
        <f t="shared" si="1"/>
        <v>4.2159194375612286</v>
      </c>
      <c r="D45" s="77">
        <f t="shared" si="1"/>
        <v>5.780006338961563</v>
      </c>
      <c r="E45" s="76">
        <f t="shared" si="2"/>
        <v>1.3709954434767633</v>
      </c>
    </row>
    <row r="46" spans="1:5" ht="18" x14ac:dyDescent="0.2">
      <c r="A46" s="28" t="s">
        <v>79</v>
      </c>
      <c r="B46" s="77">
        <f t="shared" si="0"/>
        <v>1</v>
      </c>
      <c r="C46" s="77">
        <f t="shared" si="1"/>
        <v>4.6749397466796578</v>
      </c>
      <c r="D46" s="77">
        <f t="shared" si="1"/>
        <v>5.2996403114858577</v>
      </c>
      <c r="E46" s="76">
        <f t="shared" si="2"/>
        <v>1.1336275115096166</v>
      </c>
    </row>
    <row r="47" spans="1:5" ht="18" x14ac:dyDescent="0.2">
      <c r="A47" s="28" t="s">
        <v>81</v>
      </c>
      <c r="B47" s="77">
        <f t="shared" si="0"/>
        <v>1</v>
      </c>
      <c r="C47" s="77">
        <f t="shared" si="1"/>
        <v>2.8310279336391782</v>
      </c>
      <c r="D47" s="77">
        <f t="shared" si="1"/>
        <v>5.4695296984623925</v>
      </c>
      <c r="E47" s="76">
        <f t="shared" si="2"/>
        <v>1.9319942532080641</v>
      </c>
    </row>
    <row r="48" spans="1:5" ht="18" x14ac:dyDescent="0.2">
      <c r="A48" s="28" t="s">
        <v>83</v>
      </c>
      <c r="B48" s="77">
        <f t="shared" si="0"/>
        <v>1</v>
      </c>
      <c r="C48" s="77">
        <f t="shared" si="1"/>
        <v>1.9778349858131157</v>
      </c>
      <c r="D48" s="77">
        <f t="shared" si="1"/>
        <v>1.4474128861542386</v>
      </c>
      <c r="E48" s="76">
        <f t="shared" si="2"/>
        <v>0.73181680804336002</v>
      </c>
    </row>
    <row r="49" spans="1:6" ht="18" x14ac:dyDescent="0.2">
      <c r="A49" s="28" t="s">
        <v>32</v>
      </c>
      <c r="B49" s="77">
        <f t="shared" si="0"/>
        <v>1</v>
      </c>
      <c r="C49" s="77">
        <f t="shared" si="1"/>
        <v>4.972562394803699</v>
      </c>
      <c r="D49" s="77">
        <f t="shared" si="1"/>
        <v>9.2962949339617733</v>
      </c>
      <c r="E49" s="76">
        <f t="shared" si="2"/>
        <v>1.8695180061845682</v>
      </c>
    </row>
    <row r="50" spans="1:6" ht="18" x14ac:dyDescent="0.2">
      <c r="A50" s="28" t="s">
        <v>34</v>
      </c>
      <c r="B50" s="77">
        <f t="shared" si="0"/>
        <v>1</v>
      </c>
      <c r="C50" s="77">
        <f t="shared" si="1"/>
        <v>1.0240776434331111</v>
      </c>
      <c r="D50" s="77">
        <f t="shared" si="1"/>
        <v>1.0273648409634855</v>
      </c>
      <c r="E50" s="76">
        <f t="shared" si="2"/>
        <v>1.003209910451081</v>
      </c>
    </row>
    <row r="51" spans="1:6" ht="18" x14ac:dyDescent="0.2">
      <c r="A51" s="28" t="s">
        <v>36</v>
      </c>
      <c r="B51" s="77">
        <f t="shared" si="0"/>
        <v>1</v>
      </c>
      <c r="C51" s="77">
        <f t="shared" si="1"/>
        <v>4.2561288141665532</v>
      </c>
      <c r="D51" s="77">
        <f t="shared" si="1"/>
        <v>5.7876230457858897</v>
      </c>
      <c r="E51" s="76">
        <f t="shared" si="2"/>
        <v>1.3598326785885211</v>
      </c>
    </row>
    <row r="52" spans="1:6" ht="18" x14ac:dyDescent="0.2">
      <c r="A52" s="28" t="s">
        <v>37</v>
      </c>
      <c r="B52" s="77">
        <f t="shared" si="0"/>
        <v>1</v>
      </c>
      <c r="C52" s="77">
        <f t="shared" si="1"/>
        <v>4.6810157035037667</v>
      </c>
      <c r="D52" s="77">
        <f t="shared" si="1"/>
        <v>5.2500238376400006</v>
      </c>
      <c r="E52" s="76">
        <f t="shared" si="2"/>
        <v>1.1215565531451492</v>
      </c>
    </row>
    <row r="53" spans="1:6" ht="18" x14ac:dyDescent="0.2">
      <c r="A53" s="28" t="s">
        <v>40</v>
      </c>
      <c r="B53" s="77">
        <f t="shared" si="0"/>
        <v>1</v>
      </c>
      <c r="C53" s="77">
        <f t="shared" si="1"/>
        <v>2.8186456029762406</v>
      </c>
      <c r="D53" s="77">
        <f t="shared" si="1"/>
        <v>5.4684293240120452</v>
      </c>
      <c r="E53" s="76">
        <f t="shared" si="2"/>
        <v>1.9400911268298033</v>
      </c>
    </row>
    <row r="54" spans="1:6" ht="18" x14ac:dyDescent="0.2">
      <c r="A54" s="28" t="s">
        <v>42</v>
      </c>
      <c r="B54" s="77">
        <f t="shared" si="0"/>
        <v>1</v>
      </c>
      <c r="C54" s="77">
        <f t="shared" si="1"/>
        <v>2.3556375002302774</v>
      </c>
      <c r="D54" s="77">
        <f t="shared" si="1"/>
        <v>1.4785197148243443</v>
      </c>
      <c r="E54" s="76">
        <f t="shared" si="2"/>
        <v>0.62765162920008288</v>
      </c>
    </row>
    <row r="55" spans="1:6" ht="18" x14ac:dyDescent="0.2">
      <c r="A55" s="28" t="s">
        <v>170</v>
      </c>
      <c r="B55" s="77">
        <f>GEOMEAN(B41:B54)</f>
        <v>1</v>
      </c>
      <c r="C55" s="77">
        <f>GEOMEAN(C41:C54)</f>
        <v>2.7921697801472343</v>
      </c>
      <c r="D55" s="77">
        <f>GEOMEAN(D41:D54)</f>
        <v>3.241757227947776</v>
      </c>
      <c r="E55" s="76">
        <f t="shared" si="2"/>
        <v>1.1610172314725198</v>
      </c>
    </row>
    <row r="60" spans="1:6" ht="18" x14ac:dyDescent="0.2">
      <c r="A60" s="75" t="s">
        <v>225</v>
      </c>
      <c r="B60" s="2" t="s">
        <v>231</v>
      </c>
      <c r="C60" s="2" t="s">
        <v>227</v>
      </c>
      <c r="D60" s="2" t="s">
        <v>228</v>
      </c>
      <c r="E60" s="2" t="s">
        <v>229</v>
      </c>
      <c r="F60" s="2" t="s">
        <v>230</v>
      </c>
    </row>
    <row r="61" spans="1:6" ht="18" x14ac:dyDescent="0.2">
      <c r="A61" s="2" t="s">
        <v>207</v>
      </c>
      <c r="B61" s="78">
        <v>331</v>
      </c>
      <c r="C61" s="78">
        <v>2429</v>
      </c>
      <c r="D61" s="75">
        <v>2536</v>
      </c>
      <c r="E61" s="78">
        <v>3298</v>
      </c>
      <c r="F61" s="75">
        <v>3808</v>
      </c>
    </row>
    <row r="62" spans="1:6" ht="18" x14ac:dyDescent="0.2">
      <c r="A62" s="4" t="s">
        <v>208</v>
      </c>
      <c r="B62" s="78">
        <v>152</v>
      </c>
      <c r="C62" s="78">
        <v>272</v>
      </c>
      <c r="D62" s="75">
        <v>271</v>
      </c>
      <c r="E62" s="78">
        <v>486</v>
      </c>
      <c r="F62" s="75">
        <v>466</v>
      </c>
    </row>
    <row r="63" spans="1:6" ht="18" x14ac:dyDescent="0.2">
      <c r="A63" s="2" t="s">
        <v>209</v>
      </c>
      <c r="B63" s="78">
        <v>58</v>
      </c>
      <c r="C63" s="78">
        <v>152</v>
      </c>
      <c r="D63" s="75">
        <v>153</v>
      </c>
      <c r="E63" s="78">
        <v>292</v>
      </c>
      <c r="F63" s="75">
        <v>293</v>
      </c>
    </row>
    <row r="64" spans="1:6" ht="18" x14ac:dyDescent="0.2">
      <c r="A64" s="2" t="s">
        <v>210</v>
      </c>
      <c r="B64" s="78">
        <v>341</v>
      </c>
      <c r="C64" s="78">
        <v>583</v>
      </c>
      <c r="D64" s="75">
        <v>587</v>
      </c>
      <c r="E64" s="78">
        <v>872</v>
      </c>
      <c r="F64" s="75">
        <v>911</v>
      </c>
    </row>
    <row r="65" spans="1:7" ht="18" x14ac:dyDescent="0.2">
      <c r="A65" s="2" t="s">
        <v>211</v>
      </c>
      <c r="B65" s="78">
        <v>99</v>
      </c>
      <c r="C65" s="78">
        <v>316</v>
      </c>
      <c r="D65" s="75">
        <v>333</v>
      </c>
      <c r="E65" s="78">
        <v>504</v>
      </c>
      <c r="F65" s="75">
        <v>569</v>
      </c>
    </row>
    <row r="66" spans="1:7" ht="18" x14ac:dyDescent="0.2">
      <c r="A66" s="2" t="s">
        <v>212</v>
      </c>
      <c r="B66" s="78">
        <v>94</v>
      </c>
      <c r="C66" s="78">
        <v>325</v>
      </c>
      <c r="D66" s="75">
        <v>341</v>
      </c>
      <c r="E66" s="78">
        <v>513</v>
      </c>
      <c r="F66" s="75">
        <v>579</v>
      </c>
    </row>
    <row r="67" spans="1:7" ht="18" x14ac:dyDescent="0.2">
      <c r="A67" s="2" t="s">
        <v>213</v>
      </c>
      <c r="B67" s="78">
        <v>176</v>
      </c>
      <c r="C67" s="78">
        <v>226</v>
      </c>
      <c r="D67" s="75">
        <v>265</v>
      </c>
      <c r="E67" s="78">
        <v>385</v>
      </c>
      <c r="F67" s="75">
        <v>402</v>
      </c>
    </row>
    <row r="68" spans="1:7" ht="18" x14ac:dyDescent="0.2">
      <c r="A68" s="2" t="s">
        <v>214</v>
      </c>
      <c r="B68" s="78">
        <v>176</v>
      </c>
      <c r="C68" s="78">
        <v>232</v>
      </c>
      <c r="D68" s="75">
        <v>260</v>
      </c>
      <c r="E68" s="78">
        <v>362</v>
      </c>
      <c r="F68" s="75">
        <v>384</v>
      </c>
    </row>
    <row r="69" spans="1:7" ht="18" x14ac:dyDescent="0.2">
      <c r="A69" s="2" t="s">
        <v>215</v>
      </c>
      <c r="B69" s="78">
        <v>317</v>
      </c>
      <c r="C69" s="78">
        <v>1674</v>
      </c>
      <c r="D69" s="75">
        <v>1735</v>
      </c>
      <c r="E69" s="78">
        <v>2312</v>
      </c>
      <c r="F69" s="75">
        <v>2732</v>
      </c>
    </row>
    <row r="70" spans="1:7" ht="18" x14ac:dyDescent="0.2">
      <c r="A70" s="4" t="s">
        <v>216</v>
      </c>
      <c r="B70" s="78">
        <v>75</v>
      </c>
      <c r="C70" s="78">
        <v>259</v>
      </c>
      <c r="D70" s="75">
        <v>250</v>
      </c>
      <c r="E70" s="78">
        <v>390</v>
      </c>
      <c r="F70" s="75">
        <v>401</v>
      </c>
    </row>
    <row r="71" spans="1:7" ht="18" x14ac:dyDescent="0.2">
      <c r="A71" s="2" t="s">
        <v>217</v>
      </c>
      <c r="B71" s="78">
        <v>107</v>
      </c>
      <c r="C71" s="78">
        <v>243</v>
      </c>
      <c r="D71" s="75">
        <v>241</v>
      </c>
      <c r="E71" s="78">
        <v>444</v>
      </c>
      <c r="F71" s="75">
        <v>484</v>
      </c>
    </row>
    <row r="72" spans="1:7" ht="18" x14ac:dyDescent="0.2">
      <c r="A72" s="2" t="s">
        <v>218</v>
      </c>
      <c r="B72" s="78">
        <v>124</v>
      </c>
      <c r="C72" s="78">
        <v>278</v>
      </c>
      <c r="D72" s="75">
        <v>251</v>
      </c>
      <c r="E72" s="78">
        <v>509</v>
      </c>
      <c r="F72" s="75">
        <v>545</v>
      </c>
    </row>
    <row r="75" spans="1:7" ht="18" x14ac:dyDescent="0.2">
      <c r="A75" s="75"/>
      <c r="B75" s="2" t="s">
        <v>231</v>
      </c>
      <c r="C75" s="2" t="s">
        <v>227</v>
      </c>
      <c r="D75" s="2" t="s">
        <v>228</v>
      </c>
      <c r="E75" s="2" t="s">
        <v>229</v>
      </c>
      <c r="F75" s="2" t="s">
        <v>230</v>
      </c>
      <c r="G75" s="76" t="s">
        <v>232</v>
      </c>
    </row>
    <row r="76" spans="1:7" ht="18" x14ac:dyDescent="0.2">
      <c r="A76" s="2" t="s">
        <v>207</v>
      </c>
      <c r="B76" s="78">
        <f>B61/$B61</f>
        <v>1</v>
      </c>
      <c r="C76" s="78">
        <f t="shared" ref="C76:F76" si="3">C61/$B61</f>
        <v>7.3383685800604228</v>
      </c>
      <c r="D76" s="78">
        <f t="shared" si="3"/>
        <v>7.6616314199395772</v>
      </c>
      <c r="E76" s="78">
        <f t="shared" si="3"/>
        <v>9.9637462235649554</v>
      </c>
      <c r="F76" s="78">
        <f t="shared" si="3"/>
        <v>11.504531722054381</v>
      </c>
      <c r="G76" s="76">
        <f>F76/D76</f>
        <v>1.501577287066246</v>
      </c>
    </row>
    <row r="77" spans="1:7" ht="18" x14ac:dyDescent="0.2">
      <c r="A77" s="2" t="s">
        <v>208</v>
      </c>
      <c r="B77" s="78">
        <f t="shared" ref="B77:B87" si="4">B62/$B62</f>
        <v>1</v>
      </c>
      <c r="C77" s="78">
        <f t="shared" ref="C77:F77" si="5">C62/$B62</f>
        <v>1.7894736842105263</v>
      </c>
      <c r="D77" s="78">
        <f t="shared" si="5"/>
        <v>1.7828947368421053</v>
      </c>
      <c r="E77" s="78">
        <f t="shared" si="5"/>
        <v>3.1973684210526314</v>
      </c>
      <c r="F77" s="78">
        <f t="shared" si="5"/>
        <v>3.0657894736842106</v>
      </c>
      <c r="G77" s="76">
        <f t="shared" ref="G77:G87" si="6">F77/D77</f>
        <v>1.7195571955719557</v>
      </c>
    </row>
    <row r="78" spans="1:7" ht="18" x14ac:dyDescent="0.2">
      <c r="A78" s="2" t="s">
        <v>209</v>
      </c>
      <c r="B78" s="78">
        <f t="shared" si="4"/>
        <v>1</v>
      </c>
      <c r="C78" s="78">
        <f t="shared" ref="C78:F78" si="7">C63/$B63</f>
        <v>2.6206896551724137</v>
      </c>
      <c r="D78" s="78">
        <f t="shared" si="7"/>
        <v>2.6379310344827585</v>
      </c>
      <c r="E78" s="78">
        <f t="shared" si="7"/>
        <v>5.0344827586206895</v>
      </c>
      <c r="F78" s="78">
        <f t="shared" si="7"/>
        <v>5.0517241379310347</v>
      </c>
      <c r="G78" s="76">
        <f t="shared" si="6"/>
        <v>1.9150326797385624</v>
      </c>
    </row>
    <row r="79" spans="1:7" ht="18" x14ac:dyDescent="0.2">
      <c r="A79" s="2" t="s">
        <v>210</v>
      </c>
      <c r="B79" s="78">
        <f t="shared" si="4"/>
        <v>1</v>
      </c>
      <c r="C79" s="78">
        <f t="shared" ref="C79:F79" si="8">C64/$B64</f>
        <v>1.7096774193548387</v>
      </c>
      <c r="D79" s="78">
        <f t="shared" si="8"/>
        <v>1.7214076246334311</v>
      </c>
      <c r="E79" s="78">
        <f t="shared" si="8"/>
        <v>2.5571847507331378</v>
      </c>
      <c r="F79" s="78">
        <f t="shared" si="8"/>
        <v>2.6715542521994133</v>
      </c>
      <c r="G79" s="76">
        <f t="shared" si="6"/>
        <v>1.5519591141396933</v>
      </c>
    </row>
    <row r="80" spans="1:7" ht="18" x14ac:dyDescent="0.2">
      <c r="A80" s="2" t="s">
        <v>211</v>
      </c>
      <c r="B80" s="78">
        <f t="shared" si="4"/>
        <v>1</v>
      </c>
      <c r="C80" s="78">
        <f t="shared" ref="C80:F80" si="9">C65/$B65</f>
        <v>3.191919191919192</v>
      </c>
      <c r="D80" s="78">
        <f t="shared" si="9"/>
        <v>3.3636363636363638</v>
      </c>
      <c r="E80" s="78">
        <f t="shared" si="9"/>
        <v>5.0909090909090908</v>
      </c>
      <c r="F80" s="78">
        <f t="shared" si="9"/>
        <v>5.7474747474747474</v>
      </c>
      <c r="G80" s="76">
        <f t="shared" si="6"/>
        <v>1.7087087087087087</v>
      </c>
    </row>
    <row r="81" spans="1:7" ht="18" x14ac:dyDescent="0.2">
      <c r="A81" s="2" t="s">
        <v>212</v>
      </c>
      <c r="B81" s="78">
        <f t="shared" si="4"/>
        <v>1</v>
      </c>
      <c r="C81" s="78">
        <f t="shared" ref="C81:F81" si="10">C66/$B66</f>
        <v>3.4574468085106385</v>
      </c>
      <c r="D81" s="78">
        <f t="shared" si="10"/>
        <v>3.6276595744680851</v>
      </c>
      <c r="E81" s="78">
        <f t="shared" si="10"/>
        <v>5.457446808510638</v>
      </c>
      <c r="F81" s="78">
        <f t="shared" si="10"/>
        <v>6.1595744680851068</v>
      </c>
      <c r="G81" s="76">
        <f t="shared" si="6"/>
        <v>1.6979472140762464</v>
      </c>
    </row>
    <row r="82" spans="1:7" ht="18" x14ac:dyDescent="0.2">
      <c r="A82" s="2" t="s">
        <v>213</v>
      </c>
      <c r="B82" s="78">
        <f t="shared" si="4"/>
        <v>1</v>
      </c>
      <c r="C82" s="78">
        <f t="shared" ref="C82:F82" si="11">C67/$B67</f>
        <v>1.2840909090909092</v>
      </c>
      <c r="D82" s="78">
        <f t="shared" si="11"/>
        <v>1.5056818181818181</v>
      </c>
      <c r="E82" s="78">
        <f t="shared" si="11"/>
        <v>2.1875</v>
      </c>
      <c r="F82" s="78">
        <f t="shared" si="11"/>
        <v>2.2840909090909092</v>
      </c>
      <c r="G82" s="76">
        <f t="shared" si="6"/>
        <v>1.5169811320754718</v>
      </c>
    </row>
    <row r="83" spans="1:7" ht="18" x14ac:dyDescent="0.2">
      <c r="A83" s="2" t="s">
        <v>214</v>
      </c>
      <c r="B83" s="78">
        <f t="shared" si="4"/>
        <v>1</v>
      </c>
      <c r="C83" s="78">
        <f t="shared" ref="C83:F83" si="12">C68/$B68</f>
        <v>1.3181818181818181</v>
      </c>
      <c r="D83" s="78">
        <f t="shared" si="12"/>
        <v>1.4772727272727273</v>
      </c>
      <c r="E83" s="78">
        <f t="shared" si="12"/>
        <v>2.0568181818181817</v>
      </c>
      <c r="F83" s="78">
        <f t="shared" si="12"/>
        <v>2.1818181818181817</v>
      </c>
      <c r="G83" s="76">
        <f t="shared" si="6"/>
        <v>1.4769230769230768</v>
      </c>
    </row>
    <row r="84" spans="1:7" ht="18" x14ac:dyDescent="0.2">
      <c r="A84" s="2" t="s">
        <v>215</v>
      </c>
      <c r="B84" s="78">
        <f t="shared" si="4"/>
        <v>1</v>
      </c>
      <c r="C84" s="78">
        <f t="shared" ref="C84:F84" si="13">C69/$B69</f>
        <v>5.2807570977917981</v>
      </c>
      <c r="D84" s="78">
        <f t="shared" si="13"/>
        <v>5.4731861198738168</v>
      </c>
      <c r="E84" s="78">
        <f t="shared" si="13"/>
        <v>7.2933753943217665</v>
      </c>
      <c r="F84" s="78">
        <f t="shared" si="13"/>
        <v>8.618296529968454</v>
      </c>
      <c r="G84" s="76">
        <f t="shared" si="6"/>
        <v>1.5746397694524497</v>
      </c>
    </row>
    <row r="85" spans="1:7" ht="18" x14ac:dyDescent="0.2">
      <c r="A85" s="2" t="s">
        <v>216</v>
      </c>
      <c r="B85" s="78">
        <f t="shared" si="4"/>
        <v>1</v>
      </c>
      <c r="C85" s="78">
        <f t="shared" ref="C85:F85" si="14">C70/$B70</f>
        <v>3.4533333333333331</v>
      </c>
      <c r="D85" s="78">
        <f t="shared" si="14"/>
        <v>3.3333333333333335</v>
      </c>
      <c r="E85" s="78">
        <f t="shared" si="14"/>
        <v>5.2</v>
      </c>
      <c r="F85" s="78">
        <f t="shared" si="14"/>
        <v>5.3466666666666667</v>
      </c>
      <c r="G85" s="76">
        <f t="shared" si="6"/>
        <v>1.6039999999999999</v>
      </c>
    </row>
    <row r="86" spans="1:7" ht="18" x14ac:dyDescent="0.2">
      <c r="A86" s="2" t="s">
        <v>217</v>
      </c>
      <c r="B86" s="78">
        <f t="shared" si="4"/>
        <v>1</v>
      </c>
      <c r="C86" s="78">
        <f t="shared" ref="C86:F86" si="15">C71/$B71</f>
        <v>2.2710280373831777</v>
      </c>
      <c r="D86" s="78">
        <f t="shared" si="15"/>
        <v>2.2523364485981308</v>
      </c>
      <c r="E86" s="78">
        <f t="shared" si="15"/>
        <v>4.1495327102803738</v>
      </c>
      <c r="F86" s="78">
        <f t="shared" si="15"/>
        <v>4.5233644859813085</v>
      </c>
      <c r="G86" s="76">
        <f t="shared" si="6"/>
        <v>2.008298755186722</v>
      </c>
    </row>
    <row r="87" spans="1:7" ht="18" x14ac:dyDescent="0.2">
      <c r="A87" s="2" t="s">
        <v>218</v>
      </c>
      <c r="B87" s="78">
        <f t="shared" si="4"/>
        <v>1</v>
      </c>
      <c r="C87" s="78">
        <f t="shared" ref="C87:F87" si="16">C72/$B72</f>
        <v>2.2419354838709675</v>
      </c>
      <c r="D87" s="78">
        <f t="shared" si="16"/>
        <v>2.024193548387097</v>
      </c>
      <c r="E87" s="78">
        <f t="shared" si="16"/>
        <v>4.104838709677419</v>
      </c>
      <c r="F87" s="78">
        <f t="shared" si="16"/>
        <v>4.395161290322581</v>
      </c>
      <c r="G87" s="76">
        <f t="shared" si="6"/>
        <v>2.1713147410358564</v>
      </c>
    </row>
    <row r="88" spans="1:7" x14ac:dyDescent="0.2">
      <c r="A88" s="75" t="s">
        <v>226</v>
      </c>
      <c r="B88" s="75">
        <f>GEOMEAN(B76:B87)</f>
        <v>1</v>
      </c>
      <c r="C88" s="75">
        <f t="shared" ref="C88:G88" si="17">GEOMEAN(C76:C87)</f>
        <v>2.6145750697701859</v>
      </c>
      <c r="D88" s="75">
        <f t="shared" si="17"/>
        <v>2.684431456688305</v>
      </c>
      <c r="E88" s="75">
        <f t="shared" si="17"/>
        <v>4.2332510694874408</v>
      </c>
      <c r="F88" s="75">
        <f t="shared" si="17"/>
        <v>4.5412592679223085</v>
      </c>
      <c r="G88" s="75">
        <f t="shared" si="17"/>
        <v>1.6917024484300713</v>
      </c>
    </row>
    <row r="90" spans="1:7" x14ac:dyDescent="0.2">
      <c r="F90" s="76">
        <f>POWER(2,13)</f>
        <v>8192</v>
      </c>
    </row>
  </sheetData>
  <sortState xmlns:xlrd2="http://schemas.microsoft.com/office/spreadsheetml/2017/richdata2" ref="A1:F19">
    <sortCondition ref="A2:A19"/>
  </sortState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8609-3905-414C-9DEE-F349E5DBD3B1}">
  <dimension ref="A1:Q189"/>
  <sheetViews>
    <sheetView topLeftCell="M121" zoomScale="113" zoomScaleNormal="90" workbookViewId="0">
      <pane xSplit="3440" ySplit="2560" topLeftCell="B96" activePane="bottomRight"/>
      <selection pane="topRight" activeCell="E61" sqref="E61"/>
      <selection pane="bottomLeft" activeCell="A105" sqref="A105"/>
      <selection pane="bottomRight" activeCell="M113" sqref="M113"/>
    </sheetView>
  </sheetViews>
  <sheetFormatPr baseColWidth="10" defaultRowHeight="16" x14ac:dyDescent="0.2"/>
  <cols>
    <col min="1" max="1" width="3.6640625" bestFit="1" customWidth="1"/>
    <col min="2" max="2" width="17.83203125" bestFit="1" customWidth="1"/>
    <col min="3" max="3" width="19.1640625" customWidth="1"/>
    <col min="4" max="5" width="18" bestFit="1" customWidth="1"/>
    <col min="6" max="6" width="24.83203125" bestFit="1" customWidth="1"/>
    <col min="7" max="7" width="18.1640625" bestFit="1" customWidth="1"/>
    <col min="8" max="8" width="22.1640625" bestFit="1" customWidth="1"/>
    <col min="9" max="9" width="18.5" bestFit="1" customWidth="1"/>
    <col min="10" max="10" width="18.83203125" bestFit="1" customWidth="1"/>
    <col min="11" max="11" width="15.83203125" bestFit="1" customWidth="1"/>
    <col min="12" max="12" width="16.6640625" bestFit="1" customWidth="1"/>
    <col min="13" max="13" width="18.83203125" bestFit="1" customWidth="1"/>
    <col min="14" max="14" width="20.6640625" bestFit="1" customWidth="1"/>
    <col min="15" max="15" width="19.83203125" bestFit="1" customWidth="1"/>
    <col min="16" max="16" width="20" bestFit="1" customWidth="1"/>
    <col min="17" max="17" width="12.1640625" bestFit="1" customWidth="1"/>
  </cols>
  <sheetData>
    <row r="1" spans="1:17" ht="18" x14ac:dyDescent="0.2">
      <c r="C1" s="109" t="s">
        <v>201</v>
      </c>
      <c r="D1" s="110"/>
      <c r="E1" s="110"/>
      <c r="F1" s="110"/>
      <c r="G1" s="110"/>
      <c r="H1" s="110"/>
      <c r="I1" s="110"/>
      <c r="J1" s="110"/>
      <c r="K1" s="110"/>
      <c r="L1" s="110"/>
      <c r="M1" s="111"/>
      <c r="N1" s="133"/>
      <c r="O1" s="133"/>
      <c r="P1" s="133"/>
    </row>
    <row r="2" spans="1:17" ht="18" x14ac:dyDescent="0.2">
      <c r="B2" s="138" t="s">
        <v>90</v>
      </c>
      <c r="C2" s="137" t="s">
        <v>47</v>
      </c>
      <c r="D2" s="137"/>
      <c r="E2" s="137"/>
      <c r="F2" s="134" t="s">
        <v>51</v>
      </c>
      <c r="G2" s="135"/>
      <c r="H2" s="135"/>
      <c r="I2" s="135"/>
      <c r="J2" s="136"/>
      <c r="K2" s="134" t="s">
        <v>199</v>
      </c>
      <c r="L2" s="135"/>
      <c r="M2" s="136"/>
      <c r="N2" s="137" t="s">
        <v>234</v>
      </c>
      <c r="O2" s="137" t="s">
        <v>202</v>
      </c>
      <c r="P2" s="137" t="s">
        <v>200</v>
      </c>
    </row>
    <row r="3" spans="1:17" ht="38" x14ac:dyDescent="0.2">
      <c r="B3" s="139"/>
      <c r="C3" s="8" t="s">
        <v>67</v>
      </c>
      <c r="D3" s="8" t="s">
        <v>55</v>
      </c>
      <c r="E3" s="79" t="s">
        <v>206</v>
      </c>
      <c r="F3" s="8" t="s">
        <v>57</v>
      </c>
      <c r="G3" s="74" t="s">
        <v>59</v>
      </c>
      <c r="H3" s="8" t="s">
        <v>69</v>
      </c>
      <c r="I3" s="8" t="s">
        <v>60</v>
      </c>
      <c r="J3" s="8" t="s">
        <v>70</v>
      </c>
      <c r="K3" s="8" t="s">
        <v>44</v>
      </c>
      <c r="L3" s="8" t="s">
        <v>45</v>
      </c>
      <c r="M3" s="8" t="s">
        <v>46</v>
      </c>
      <c r="N3" s="137"/>
      <c r="O3" s="137"/>
      <c r="P3" s="137"/>
    </row>
    <row r="4" spans="1:17" ht="18" x14ac:dyDescent="0.2">
      <c r="A4" s="130" t="s">
        <v>219</v>
      </c>
      <c r="B4" s="15" t="s">
        <v>73</v>
      </c>
      <c r="C4" s="2">
        <v>2362</v>
      </c>
      <c r="D4" s="2">
        <v>2026</v>
      </c>
      <c r="E4" s="2">
        <f>C4-D4</f>
        <v>336</v>
      </c>
      <c r="F4" s="2">
        <v>73187</v>
      </c>
      <c r="G4" s="2">
        <v>71717</v>
      </c>
      <c r="H4" s="2">
        <v>46433</v>
      </c>
      <c r="I4" s="2">
        <v>326</v>
      </c>
      <c r="J4" s="2">
        <v>14474</v>
      </c>
      <c r="K4" s="4">
        <v>7.8777715310521399E+65</v>
      </c>
      <c r="L4" s="4"/>
      <c r="M4" s="22"/>
      <c r="N4" s="2"/>
      <c r="O4" s="2"/>
      <c r="P4" s="2"/>
    </row>
    <row r="5" spans="1:17" ht="18" x14ac:dyDescent="0.2">
      <c r="A5" s="130"/>
      <c r="B5" s="2" t="s">
        <v>75</v>
      </c>
      <c r="C5" s="2">
        <v>49</v>
      </c>
      <c r="D5" s="2">
        <v>46</v>
      </c>
      <c r="E5" s="2">
        <f t="shared" ref="E5:E35" si="0">C5-D5</f>
        <v>3</v>
      </c>
      <c r="F5" s="2">
        <v>194</v>
      </c>
      <c r="G5" s="2">
        <v>184</v>
      </c>
      <c r="H5" s="2">
        <v>60</v>
      </c>
      <c r="I5" s="2">
        <v>2</v>
      </c>
      <c r="J5" s="2">
        <v>1</v>
      </c>
      <c r="K5" s="2">
        <v>255</v>
      </c>
      <c r="L5" s="2"/>
      <c r="M5" s="2"/>
      <c r="N5" s="2"/>
      <c r="O5" s="2"/>
      <c r="P5" s="2"/>
    </row>
    <row r="6" spans="1:17" ht="18" x14ac:dyDescent="0.2">
      <c r="A6" s="130"/>
      <c r="B6" s="2" t="s">
        <v>27</v>
      </c>
      <c r="C6" s="2">
        <v>147</v>
      </c>
      <c r="D6" s="2">
        <v>118</v>
      </c>
      <c r="E6" s="2">
        <f t="shared" si="0"/>
        <v>29</v>
      </c>
      <c r="F6" s="2">
        <v>2501</v>
      </c>
      <c r="G6" s="2">
        <v>1976</v>
      </c>
      <c r="H6" s="2">
        <v>83</v>
      </c>
      <c r="I6" s="2">
        <v>6</v>
      </c>
      <c r="J6" s="2">
        <v>0</v>
      </c>
      <c r="K6" s="2">
        <v>16227</v>
      </c>
      <c r="L6" s="2"/>
      <c r="M6" s="22"/>
      <c r="N6" s="2"/>
      <c r="O6" s="2"/>
      <c r="P6" s="2"/>
    </row>
    <row r="7" spans="1:17" ht="18" x14ac:dyDescent="0.2">
      <c r="A7" s="130"/>
      <c r="B7" s="15" t="s">
        <v>28</v>
      </c>
      <c r="C7" s="2">
        <v>12849</v>
      </c>
      <c r="D7" s="2">
        <v>1297</v>
      </c>
      <c r="E7" s="2">
        <f t="shared" si="0"/>
        <v>11552</v>
      </c>
      <c r="F7" s="2">
        <v>164154</v>
      </c>
      <c r="G7" s="2">
        <v>13531</v>
      </c>
      <c r="H7" s="2">
        <v>3646</v>
      </c>
      <c r="I7" s="2">
        <v>83</v>
      </c>
      <c r="J7" s="2">
        <v>34</v>
      </c>
      <c r="K7" s="2">
        <v>1595874</v>
      </c>
      <c r="L7" s="2"/>
      <c r="M7" s="22"/>
      <c r="N7" s="2"/>
      <c r="O7" s="2"/>
      <c r="P7" s="2"/>
    </row>
    <row r="8" spans="1:17" ht="18" x14ac:dyDescent="0.2">
      <c r="A8" s="130"/>
      <c r="B8" s="2" t="s">
        <v>78</v>
      </c>
      <c r="C8" s="2">
        <v>32</v>
      </c>
      <c r="D8" s="2">
        <v>30</v>
      </c>
      <c r="E8" s="2">
        <f t="shared" si="0"/>
        <v>2</v>
      </c>
      <c r="F8" s="2">
        <v>73</v>
      </c>
      <c r="G8" s="2">
        <v>67</v>
      </c>
      <c r="H8" s="2">
        <v>0</v>
      </c>
      <c r="I8" s="2">
        <v>0</v>
      </c>
      <c r="J8" s="2">
        <v>0</v>
      </c>
      <c r="K8" s="2">
        <v>85</v>
      </c>
      <c r="L8" s="2"/>
      <c r="M8" s="22"/>
      <c r="N8" s="2"/>
      <c r="O8" s="2"/>
      <c r="P8" s="2"/>
    </row>
    <row r="9" spans="1:17" ht="18" x14ac:dyDescent="0.2">
      <c r="A9" s="130"/>
      <c r="B9" s="2" t="s">
        <v>77</v>
      </c>
      <c r="C9" s="2">
        <v>10464</v>
      </c>
      <c r="D9" s="2">
        <v>1154</v>
      </c>
      <c r="E9" s="2">
        <f t="shared" si="0"/>
        <v>9310</v>
      </c>
      <c r="F9" s="2">
        <v>53970</v>
      </c>
      <c r="G9" s="2">
        <v>6272</v>
      </c>
      <c r="H9" s="2">
        <v>911</v>
      </c>
      <c r="I9" s="2">
        <v>57</v>
      </c>
      <c r="J9" s="2">
        <v>341</v>
      </c>
      <c r="K9" s="2">
        <v>19372811709</v>
      </c>
      <c r="L9" s="2"/>
      <c r="M9" s="22"/>
      <c r="N9" s="2"/>
      <c r="O9" s="2"/>
      <c r="P9" s="2"/>
    </row>
    <row r="10" spans="1:17" ht="18" x14ac:dyDescent="0.2">
      <c r="A10" s="130"/>
      <c r="B10" s="2" t="s">
        <v>80</v>
      </c>
      <c r="C10" s="2">
        <v>124</v>
      </c>
      <c r="D10" s="2">
        <v>100</v>
      </c>
      <c r="E10" s="2">
        <f t="shared" si="0"/>
        <v>24</v>
      </c>
      <c r="F10" s="2">
        <v>757</v>
      </c>
      <c r="G10" s="2">
        <v>640</v>
      </c>
      <c r="H10" s="2">
        <v>0</v>
      </c>
      <c r="I10" s="2">
        <v>0</v>
      </c>
      <c r="J10" s="2">
        <v>12</v>
      </c>
      <c r="K10" s="2">
        <v>153231</v>
      </c>
      <c r="L10" s="2"/>
      <c r="M10" s="22"/>
      <c r="N10" s="2"/>
      <c r="O10" s="2"/>
      <c r="P10" s="2"/>
    </row>
    <row r="11" spans="1:17" ht="18" x14ac:dyDescent="0.2">
      <c r="A11" s="130"/>
      <c r="B11" s="15" t="s">
        <v>82</v>
      </c>
      <c r="C11" s="2">
        <v>2096</v>
      </c>
      <c r="D11" s="2">
        <v>1072</v>
      </c>
      <c r="E11" s="2">
        <f t="shared" si="0"/>
        <v>1024</v>
      </c>
      <c r="F11" s="2">
        <v>32679</v>
      </c>
      <c r="G11" s="2">
        <v>21980</v>
      </c>
      <c r="H11" s="2">
        <v>920</v>
      </c>
      <c r="I11" s="2">
        <v>21</v>
      </c>
      <c r="J11" s="2">
        <v>667</v>
      </c>
      <c r="K11" s="4">
        <v>6.2015216856664699E+24</v>
      </c>
      <c r="L11" s="4"/>
      <c r="M11" s="22"/>
      <c r="N11" s="2"/>
      <c r="O11" s="2"/>
      <c r="P11" s="2"/>
      <c r="Q11">
        <f>POWER(2,64)</f>
        <v>1.8446744073709552E+19</v>
      </c>
    </row>
    <row r="12" spans="1:17" ht="18" x14ac:dyDescent="0.2">
      <c r="A12" s="130"/>
      <c r="B12" s="2" t="s">
        <v>81</v>
      </c>
      <c r="C12" s="2">
        <v>343</v>
      </c>
      <c r="D12" s="2">
        <v>240</v>
      </c>
      <c r="E12" s="2">
        <f t="shared" si="0"/>
        <v>103</v>
      </c>
      <c r="F12" s="2">
        <v>2080</v>
      </c>
      <c r="G12" s="2">
        <v>1135</v>
      </c>
      <c r="H12" s="2">
        <v>53</v>
      </c>
      <c r="I12" s="2">
        <v>1</v>
      </c>
      <c r="J12" s="2">
        <v>18</v>
      </c>
      <c r="K12" s="2">
        <v>8864</v>
      </c>
      <c r="L12" s="2"/>
      <c r="M12" s="22"/>
      <c r="N12" s="2"/>
      <c r="O12" s="2"/>
      <c r="P12" s="2"/>
    </row>
    <row r="13" spans="1:17" ht="18" x14ac:dyDescent="0.2">
      <c r="A13" s="130"/>
      <c r="B13" s="2" t="s">
        <v>85</v>
      </c>
      <c r="C13" s="2">
        <v>255</v>
      </c>
      <c r="D13" s="2">
        <v>115</v>
      </c>
      <c r="E13" s="2">
        <f t="shared" si="0"/>
        <v>140</v>
      </c>
      <c r="F13" s="2">
        <v>2916</v>
      </c>
      <c r="G13" s="2">
        <v>1342</v>
      </c>
      <c r="H13" s="2">
        <v>7</v>
      </c>
      <c r="I13" s="2">
        <v>1</v>
      </c>
      <c r="J13" s="2">
        <v>25</v>
      </c>
      <c r="K13" s="2">
        <v>33328</v>
      </c>
      <c r="L13" s="2"/>
      <c r="M13" s="22"/>
      <c r="N13" s="2"/>
      <c r="O13" s="2"/>
      <c r="P13" s="2"/>
    </row>
    <row r="14" spans="1:17" ht="18" x14ac:dyDescent="0.2">
      <c r="A14" s="130"/>
      <c r="B14" s="2" t="s">
        <v>83</v>
      </c>
      <c r="C14" s="2">
        <v>364</v>
      </c>
      <c r="D14" s="2">
        <v>233</v>
      </c>
      <c r="E14" s="2">
        <f t="shared" si="0"/>
        <v>131</v>
      </c>
      <c r="F14" s="2">
        <v>2032</v>
      </c>
      <c r="G14" s="2">
        <v>1260</v>
      </c>
      <c r="H14" s="2">
        <v>711</v>
      </c>
      <c r="I14" s="2">
        <v>27</v>
      </c>
      <c r="J14" s="2">
        <v>91</v>
      </c>
      <c r="K14" s="2">
        <v>26403529</v>
      </c>
      <c r="L14" s="2"/>
      <c r="M14" s="22"/>
      <c r="N14" s="2"/>
      <c r="O14" s="2"/>
      <c r="P14" s="2"/>
    </row>
    <row r="15" spans="1:17" ht="18" x14ac:dyDescent="0.2">
      <c r="A15" s="130"/>
      <c r="B15" s="15" t="s">
        <v>30</v>
      </c>
      <c r="C15" s="2">
        <v>2362</v>
      </c>
      <c r="D15" s="2">
        <v>2025</v>
      </c>
      <c r="E15" s="2">
        <f t="shared" si="0"/>
        <v>337</v>
      </c>
      <c r="F15" s="2">
        <v>74823</v>
      </c>
      <c r="G15" s="2">
        <v>73347</v>
      </c>
      <c r="H15" s="2">
        <v>48063</v>
      </c>
      <c r="I15" s="2">
        <v>326</v>
      </c>
      <c r="J15" s="2">
        <v>14976</v>
      </c>
      <c r="K15" s="4">
        <v>3.7025629983269398E+60</v>
      </c>
      <c r="L15" s="4"/>
      <c r="M15" s="22"/>
      <c r="N15" s="2"/>
      <c r="O15" s="2"/>
      <c r="P15" s="2"/>
    </row>
    <row r="16" spans="1:17" ht="18" x14ac:dyDescent="0.2">
      <c r="A16" s="130"/>
      <c r="B16" s="2" t="s">
        <v>32</v>
      </c>
      <c r="C16" s="2">
        <v>49</v>
      </c>
      <c r="D16" s="2">
        <v>46</v>
      </c>
      <c r="E16" s="2">
        <f t="shared" si="0"/>
        <v>3</v>
      </c>
      <c r="F16" s="2">
        <v>194</v>
      </c>
      <c r="G16" s="2">
        <v>184</v>
      </c>
      <c r="H16" s="2">
        <v>60</v>
      </c>
      <c r="I16" s="2">
        <v>2</v>
      </c>
      <c r="J16" s="2">
        <v>1</v>
      </c>
      <c r="K16" s="2">
        <v>255</v>
      </c>
      <c r="L16" s="2"/>
      <c r="M16" s="22"/>
      <c r="N16" s="2"/>
      <c r="O16" s="2"/>
      <c r="P16" s="2"/>
    </row>
    <row r="17" spans="1:16" ht="18" x14ac:dyDescent="0.2">
      <c r="A17" s="130"/>
      <c r="B17" s="2" t="s">
        <v>34</v>
      </c>
      <c r="C17" s="2">
        <v>43</v>
      </c>
      <c r="D17" s="2">
        <v>31</v>
      </c>
      <c r="E17" s="2">
        <f t="shared" si="0"/>
        <v>12</v>
      </c>
      <c r="F17" s="2">
        <v>94</v>
      </c>
      <c r="G17" s="2">
        <v>73</v>
      </c>
      <c r="H17" s="2">
        <v>0</v>
      </c>
      <c r="I17" s="2">
        <v>0</v>
      </c>
      <c r="J17" s="2">
        <v>0</v>
      </c>
      <c r="K17" s="2">
        <v>95</v>
      </c>
      <c r="L17" s="2"/>
      <c r="M17" s="22"/>
      <c r="N17" s="2"/>
      <c r="O17" s="2"/>
      <c r="P17" s="2"/>
    </row>
    <row r="18" spans="1:16" ht="18" x14ac:dyDescent="0.2">
      <c r="A18" s="130"/>
      <c r="B18" s="2" t="s">
        <v>36</v>
      </c>
      <c r="C18" s="2">
        <v>10465</v>
      </c>
      <c r="D18" s="2">
        <v>1179</v>
      </c>
      <c r="E18" s="2">
        <f t="shared" si="0"/>
        <v>9286</v>
      </c>
      <c r="F18" s="2">
        <v>53831</v>
      </c>
      <c r="G18" s="2">
        <v>6409</v>
      </c>
      <c r="H18" s="2">
        <v>923</v>
      </c>
      <c r="I18" s="2">
        <v>57</v>
      </c>
      <c r="J18" s="2">
        <v>330</v>
      </c>
      <c r="K18" s="2">
        <v>28828683857</v>
      </c>
      <c r="L18" s="2"/>
      <c r="M18" s="22"/>
      <c r="N18" s="2"/>
      <c r="O18" s="2"/>
      <c r="P18" s="2"/>
    </row>
    <row r="19" spans="1:16" ht="18" x14ac:dyDescent="0.2">
      <c r="A19" s="130"/>
      <c r="B19" s="2" t="s">
        <v>38</v>
      </c>
      <c r="C19" s="2">
        <v>124</v>
      </c>
      <c r="D19" s="2">
        <v>100</v>
      </c>
      <c r="E19" s="2">
        <f t="shared" si="0"/>
        <v>24</v>
      </c>
      <c r="F19" s="2">
        <v>757</v>
      </c>
      <c r="G19" s="2">
        <v>640</v>
      </c>
      <c r="H19" s="2">
        <v>0</v>
      </c>
      <c r="I19" s="2">
        <v>0</v>
      </c>
      <c r="J19" s="2">
        <v>12</v>
      </c>
      <c r="K19" s="2">
        <v>153231</v>
      </c>
      <c r="L19" s="2"/>
      <c r="M19" s="22"/>
      <c r="N19" s="2"/>
      <c r="O19" s="2"/>
      <c r="P19" s="2"/>
    </row>
    <row r="20" spans="1:16" ht="18" x14ac:dyDescent="0.2">
      <c r="A20" s="130"/>
      <c r="B20" s="15" t="s">
        <v>39</v>
      </c>
      <c r="C20" s="2">
        <v>2295</v>
      </c>
      <c r="D20" s="2">
        <v>1085</v>
      </c>
      <c r="E20" s="2">
        <f t="shared" si="0"/>
        <v>1210</v>
      </c>
      <c r="F20" s="2">
        <v>34437</v>
      </c>
      <c r="G20" s="2">
        <v>21969</v>
      </c>
      <c r="H20" s="2">
        <v>737</v>
      </c>
      <c r="I20" s="2">
        <v>21</v>
      </c>
      <c r="J20" s="2">
        <v>615</v>
      </c>
      <c r="K20" s="4">
        <v>2.3393131707155601E+21</v>
      </c>
      <c r="L20" s="4"/>
      <c r="M20" s="22"/>
      <c r="N20" s="2"/>
      <c r="O20" s="2"/>
      <c r="P20" s="2"/>
    </row>
    <row r="21" spans="1:16" ht="18" x14ac:dyDescent="0.2">
      <c r="A21" s="130"/>
      <c r="B21" s="2" t="s">
        <v>40</v>
      </c>
      <c r="C21" s="2">
        <v>343</v>
      </c>
      <c r="D21" s="2">
        <v>240</v>
      </c>
      <c r="E21" s="2">
        <f t="shared" si="0"/>
        <v>103</v>
      </c>
      <c r="F21" s="2">
        <v>2080</v>
      </c>
      <c r="G21" s="2">
        <v>1135</v>
      </c>
      <c r="H21" s="2">
        <v>53</v>
      </c>
      <c r="I21" s="2">
        <v>1</v>
      </c>
      <c r="J21" s="2">
        <v>18</v>
      </c>
      <c r="K21" s="2">
        <v>8864</v>
      </c>
      <c r="L21" s="2"/>
      <c r="M21" s="22"/>
      <c r="N21" s="2"/>
      <c r="O21" s="2"/>
      <c r="P21" s="2"/>
    </row>
    <row r="22" spans="1:16" ht="18" x14ac:dyDescent="0.2">
      <c r="A22" s="130"/>
      <c r="B22" s="2" t="s">
        <v>41</v>
      </c>
      <c r="C22" s="2">
        <v>273</v>
      </c>
      <c r="D22" s="2">
        <v>122</v>
      </c>
      <c r="E22" s="2">
        <f t="shared" si="0"/>
        <v>151</v>
      </c>
      <c r="F22" s="2">
        <v>3014</v>
      </c>
      <c r="G22" s="2">
        <v>1358</v>
      </c>
      <c r="H22" s="2">
        <v>7</v>
      </c>
      <c r="I22" s="2">
        <v>1</v>
      </c>
      <c r="J22" s="2">
        <v>24</v>
      </c>
      <c r="K22" s="2">
        <v>33658</v>
      </c>
      <c r="L22" s="2"/>
      <c r="M22" s="22"/>
      <c r="N22" s="2"/>
      <c r="O22" s="2"/>
      <c r="P22" s="2"/>
    </row>
    <row r="23" spans="1:16" ht="18" x14ac:dyDescent="0.2">
      <c r="A23" s="130"/>
      <c r="B23" s="2" t="s">
        <v>42</v>
      </c>
      <c r="C23" s="2">
        <v>375</v>
      </c>
      <c r="D23" s="2">
        <v>232</v>
      </c>
      <c r="E23" s="2">
        <f t="shared" si="0"/>
        <v>143</v>
      </c>
      <c r="F23" s="2">
        <v>2090</v>
      </c>
      <c r="G23" s="2">
        <v>1255</v>
      </c>
      <c r="H23" s="2">
        <v>681</v>
      </c>
      <c r="I23" s="2">
        <v>27</v>
      </c>
      <c r="J23" s="2">
        <v>77</v>
      </c>
      <c r="K23" s="2">
        <v>13491326</v>
      </c>
      <c r="L23" s="2"/>
      <c r="M23" s="22"/>
      <c r="N23" s="2"/>
      <c r="O23" s="2"/>
      <c r="P23" s="2"/>
    </row>
    <row r="24" spans="1:16" ht="18" x14ac:dyDescent="0.2">
      <c r="A24" s="130" t="s">
        <v>220</v>
      </c>
      <c r="B24" s="2" t="s">
        <v>207</v>
      </c>
      <c r="C24" s="2">
        <v>73</v>
      </c>
      <c r="D24" s="2">
        <v>73</v>
      </c>
      <c r="E24" s="2">
        <f t="shared" si="0"/>
        <v>0</v>
      </c>
      <c r="F24" s="2">
        <v>270</v>
      </c>
      <c r="G24" s="2">
        <v>270</v>
      </c>
      <c r="H24" s="2">
        <v>0</v>
      </c>
      <c r="I24" s="2">
        <v>0</v>
      </c>
      <c r="J24" s="2">
        <v>2</v>
      </c>
      <c r="K24" s="2">
        <v>495</v>
      </c>
      <c r="L24" s="2"/>
      <c r="M24" s="22"/>
      <c r="N24" s="2">
        <v>32328363</v>
      </c>
      <c r="O24" s="2">
        <v>3761</v>
      </c>
      <c r="P24" s="2">
        <v>5</v>
      </c>
    </row>
    <row r="25" spans="1:16" ht="18" x14ac:dyDescent="0.2">
      <c r="A25" s="130"/>
      <c r="B25" s="2" t="s">
        <v>208</v>
      </c>
      <c r="C25" s="2">
        <v>155</v>
      </c>
      <c r="D25" s="2">
        <v>155</v>
      </c>
      <c r="E25" s="2">
        <f t="shared" si="0"/>
        <v>0</v>
      </c>
      <c r="F25" s="2">
        <v>536</v>
      </c>
      <c r="G25" s="2">
        <v>536</v>
      </c>
      <c r="H25" s="2">
        <v>0</v>
      </c>
      <c r="I25" s="2">
        <v>0</v>
      </c>
      <c r="J25" s="2">
        <v>4</v>
      </c>
      <c r="K25" s="2">
        <v>4819</v>
      </c>
      <c r="L25" s="2"/>
      <c r="M25" s="22"/>
      <c r="N25" s="2">
        <v>2025479</v>
      </c>
      <c r="O25" s="2">
        <v>13740</v>
      </c>
      <c r="P25" s="2">
        <v>5</v>
      </c>
    </row>
    <row r="26" spans="1:16" ht="18" x14ac:dyDescent="0.2">
      <c r="A26" s="130"/>
      <c r="B26" s="2" t="s">
        <v>209</v>
      </c>
      <c r="C26" s="2">
        <v>39</v>
      </c>
      <c r="D26" s="2">
        <v>39</v>
      </c>
      <c r="E26" s="2">
        <f t="shared" si="0"/>
        <v>0</v>
      </c>
      <c r="F26" s="2">
        <v>187</v>
      </c>
      <c r="G26" s="2">
        <v>187</v>
      </c>
      <c r="H26" s="2">
        <v>0</v>
      </c>
      <c r="I26" s="2">
        <v>0</v>
      </c>
      <c r="J26" s="2">
        <v>0</v>
      </c>
      <c r="K26" s="2">
        <v>373</v>
      </c>
      <c r="L26" s="2"/>
      <c r="M26" s="22"/>
      <c r="N26" s="2">
        <v>662506</v>
      </c>
      <c r="O26" s="2">
        <v>10677</v>
      </c>
      <c r="P26" s="2">
        <v>5</v>
      </c>
    </row>
    <row r="27" spans="1:16" ht="18" x14ac:dyDescent="0.2">
      <c r="A27" s="130"/>
      <c r="B27" s="2" t="s">
        <v>210</v>
      </c>
      <c r="C27" s="2">
        <v>115</v>
      </c>
      <c r="D27" s="2">
        <v>115</v>
      </c>
      <c r="E27" s="2">
        <f t="shared" si="0"/>
        <v>0</v>
      </c>
      <c r="F27" s="2">
        <v>542</v>
      </c>
      <c r="G27" s="2">
        <v>542</v>
      </c>
      <c r="H27" s="2">
        <v>38</v>
      </c>
      <c r="I27" s="2">
        <v>7</v>
      </c>
      <c r="J27" s="2">
        <v>8</v>
      </c>
      <c r="K27" s="2">
        <v>14473</v>
      </c>
      <c r="L27" s="2"/>
      <c r="M27" s="22"/>
      <c r="N27" s="2">
        <v>4130829</v>
      </c>
      <c r="O27" s="2">
        <v>6939</v>
      </c>
      <c r="P27" s="2">
        <v>5</v>
      </c>
    </row>
    <row r="28" spans="1:16" ht="18" x14ac:dyDescent="0.2">
      <c r="A28" s="130"/>
      <c r="B28" s="2" t="s">
        <v>211</v>
      </c>
      <c r="C28" s="2">
        <v>39</v>
      </c>
      <c r="D28" s="2">
        <v>39</v>
      </c>
      <c r="E28" s="2">
        <f t="shared" si="0"/>
        <v>0</v>
      </c>
      <c r="F28" s="2">
        <v>160</v>
      </c>
      <c r="G28" s="2">
        <v>160</v>
      </c>
      <c r="H28" s="2">
        <v>0</v>
      </c>
      <c r="I28" s="2">
        <v>0</v>
      </c>
      <c r="J28" s="2">
        <v>0</v>
      </c>
      <c r="K28" s="2">
        <v>221</v>
      </c>
      <c r="L28" s="2"/>
      <c r="M28" s="22"/>
      <c r="N28" s="2">
        <v>1503067565</v>
      </c>
      <c r="O28" s="2">
        <v>2497</v>
      </c>
      <c r="P28" s="2">
        <v>5</v>
      </c>
    </row>
    <row r="29" spans="1:16" ht="18" x14ac:dyDescent="0.2">
      <c r="A29" s="130"/>
      <c r="B29" s="2" t="s">
        <v>212</v>
      </c>
      <c r="C29" s="2">
        <v>36</v>
      </c>
      <c r="D29" s="2">
        <v>36</v>
      </c>
      <c r="E29" s="2">
        <f t="shared" si="0"/>
        <v>0</v>
      </c>
      <c r="F29" s="2">
        <v>148</v>
      </c>
      <c r="G29" s="2">
        <v>148</v>
      </c>
      <c r="H29" s="2">
        <v>0</v>
      </c>
      <c r="I29" s="2">
        <v>0</v>
      </c>
      <c r="J29" s="2">
        <v>0</v>
      </c>
      <c r="K29" s="2">
        <v>208</v>
      </c>
      <c r="L29" s="2"/>
      <c r="M29" s="22"/>
      <c r="N29" s="2">
        <v>1502936468</v>
      </c>
      <c r="O29" s="2">
        <v>2461</v>
      </c>
      <c r="P29" s="2">
        <v>5</v>
      </c>
    </row>
    <row r="30" spans="1:16" ht="18" x14ac:dyDescent="0.2">
      <c r="A30" s="130"/>
      <c r="B30" s="2" t="s">
        <v>213</v>
      </c>
      <c r="C30" s="2">
        <v>43</v>
      </c>
      <c r="D30" s="2">
        <v>43</v>
      </c>
      <c r="E30" s="2">
        <f t="shared" si="0"/>
        <v>0</v>
      </c>
      <c r="F30" s="2">
        <v>339</v>
      </c>
      <c r="G30" s="2">
        <v>339</v>
      </c>
      <c r="H30" s="2">
        <v>0</v>
      </c>
      <c r="I30" s="2">
        <v>0</v>
      </c>
      <c r="J30" s="2">
        <v>0</v>
      </c>
      <c r="K30" s="2">
        <v>612</v>
      </c>
      <c r="L30" s="2"/>
      <c r="M30" s="22"/>
      <c r="N30" s="2">
        <v>16808171</v>
      </c>
      <c r="O30" s="2">
        <v>5376</v>
      </c>
      <c r="P30" s="2">
        <v>5</v>
      </c>
    </row>
    <row r="31" spans="1:16" ht="18" x14ac:dyDescent="0.2">
      <c r="A31" s="130"/>
      <c r="B31" s="2" t="s">
        <v>214</v>
      </c>
      <c r="C31" s="2">
        <v>35</v>
      </c>
      <c r="D31" s="2">
        <v>35</v>
      </c>
      <c r="E31" s="2">
        <f t="shared" si="0"/>
        <v>0</v>
      </c>
      <c r="F31" s="2">
        <v>265</v>
      </c>
      <c r="G31" s="2">
        <v>265</v>
      </c>
      <c r="H31" s="2">
        <v>0</v>
      </c>
      <c r="I31" s="2">
        <v>0</v>
      </c>
      <c r="J31" s="2">
        <v>0</v>
      </c>
      <c r="K31" s="2">
        <v>495</v>
      </c>
      <c r="L31" s="2"/>
      <c r="M31" s="22"/>
      <c r="N31" s="2">
        <v>37601</v>
      </c>
      <c r="O31" s="2">
        <v>4925</v>
      </c>
      <c r="P31" s="2">
        <v>5</v>
      </c>
    </row>
    <row r="32" spans="1:16" ht="18" x14ac:dyDescent="0.2">
      <c r="A32" s="130"/>
      <c r="B32" s="2" t="s">
        <v>215</v>
      </c>
      <c r="C32" s="22"/>
      <c r="D32" s="22"/>
      <c r="E32" s="22"/>
      <c r="F32" s="22"/>
      <c r="G32" s="22"/>
      <c r="H32" s="22"/>
      <c r="I32" s="22"/>
      <c r="J32" s="22"/>
      <c r="M32" s="22"/>
      <c r="N32" s="2">
        <v>43806613</v>
      </c>
      <c r="O32" s="2">
        <v>3628705</v>
      </c>
      <c r="P32" s="2">
        <v>5</v>
      </c>
    </row>
    <row r="33" spans="1:17" ht="18" x14ac:dyDescent="0.2">
      <c r="A33" s="130"/>
      <c r="B33" s="2" t="s">
        <v>216</v>
      </c>
      <c r="C33" s="2">
        <v>205</v>
      </c>
      <c r="D33" s="2">
        <v>150</v>
      </c>
      <c r="E33" s="2">
        <f t="shared" si="0"/>
        <v>55</v>
      </c>
      <c r="F33" s="2">
        <v>835</v>
      </c>
      <c r="G33" s="2">
        <v>613</v>
      </c>
      <c r="H33" s="2">
        <v>16</v>
      </c>
      <c r="I33" s="2">
        <v>7</v>
      </c>
      <c r="J33" s="2">
        <v>30</v>
      </c>
      <c r="K33" s="2">
        <v>315092</v>
      </c>
      <c r="L33" s="2"/>
      <c r="M33" s="22"/>
      <c r="N33" s="2">
        <v>368195465</v>
      </c>
      <c r="O33" s="2">
        <v>2535</v>
      </c>
      <c r="P33" s="2">
        <v>5</v>
      </c>
    </row>
    <row r="34" spans="1:17" ht="18" x14ac:dyDescent="0.2">
      <c r="A34" s="130"/>
      <c r="B34" s="2" t="s">
        <v>217</v>
      </c>
      <c r="C34" s="2">
        <v>42</v>
      </c>
      <c r="D34" s="2">
        <v>42</v>
      </c>
      <c r="E34" s="2">
        <f t="shared" si="0"/>
        <v>0</v>
      </c>
      <c r="F34" s="2">
        <v>221</v>
      </c>
      <c r="G34" s="2">
        <v>221</v>
      </c>
      <c r="H34" s="2">
        <v>0</v>
      </c>
      <c r="I34" s="2">
        <v>0</v>
      </c>
      <c r="J34" s="2">
        <v>0</v>
      </c>
      <c r="K34" s="2">
        <v>394</v>
      </c>
      <c r="L34" s="2"/>
      <c r="M34" s="22"/>
      <c r="N34" s="2">
        <v>161893449</v>
      </c>
      <c r="O34" s="2">
        <v>4630</v>
      </c>
      <c r="P34" s="2">
        <v>5</v>
      </c>
    </row>
    <row r="35" spans="1:17" ht="18" x14ac:dyDescent="0.2">
      <c r="A35" s="130"/>
      <c r="B35" s="2" t="s">
        <v>218</v>
      </c>
      <c r="C35" s="2">
        <v>42</v>
      </c>
      <c r="D35" s="2">
        <v>42</v>
      </c>
      <c r="E35" s="2">
        <f t="shared" si="0"/>
        <v>0</v>
      </c>
      <c r="F35" s="2">
        <v>234</v>
      </c>
      <c r="G35" s="2">
        <v>234</v>
      </c>
      <c r="H35" s="2">
        <v>0</v>
      </c>
      <c r="I35" s="2">
        <v>0</v>
      </c>
      <c r="J35" s="2">
        <v>0</v>
      </c>
      <c r="K35" s="2">
        <v>397</v>
      </c>
      <c r="L35" s="2"/>
      <c r="M35" s="22"/>
      <c r="N35" s="2">
        <v>27416376</v>
      </c>
      <c r="O35" s="2">
        <v>4958</v>
      </c>
      <c r="P35" s="2">
        <v>5</v>
      </c>
    </row>
    <row r="36" spans="1:17" ht="18" x14ac:dyDescent="0.2">
      <c r="E36" s="2"/>
    </row>
    <row r="37" spans="1:17" ht="18" x14ac:dyDescent="0.2">
      <c r="B37" s="22"/>
      <c r="C37" s="137" t="s">
        <v>221</v>
      </c>
      <c r="D37" s="134" t="s">
        <v>222</v>
      </c>
      <c r="E37" s="136"/>
    </row>
    <row r="38" spans="1:17" ht="18" x14ac:dyDescent="0.2">
      <c r="B38" s="22"/>
      <c r="C38" s="137"/>
      <c r="D38" s="8" t="s">
        <v>223</v>
      </c>
      <c r="E38" s="8" t="s">
        <v>224</v>
      </c>
    </row>
    <row r="39" spans="1:17" ht="18" x14ac:dyDescent="0.2">
      <c r="B39" s="2" t="s">
        <v>207</v>
      </c>
      <c r="C39" s="2">
        <v>6</v>
      </c>
      <c r="D39" s="2">
        <v>136</v>
      </c>
      <c r="E39" s="2">
        <v>272</v>
      </c>
      <c r="P39">
        <v>4208</v>
      </c>
    </row>
    <row r="40" spans="1:17" ht="18" x14ac:dyDescent="0.2">
      <c r="B40" s="2" t="s">
        <v>208</v>
      </c>
      <c r="C40" s="2">
        <v>4</v>
      </c>
      <c r="D40" s="2">
        <v>32</v>
      </c>
      <c r="E40" s="2">
        <v>64</v>
      </c>
      <c r="P40">
        <v>48</v>
      </c>
      <c r="Q40">
        <v>4256</v>
      </c>
    </row>
    <row r="41" spans="1:17" ht="18" x14ac:dyDescent="0.2">
      <c r="B41" s="2" t="s">
        <v>209</v>
      </c>
      <c r="C41" s="2">
        <v>7</v>
      </c>
      <c r="D41" s="2">
        <v>56</v>
      </c>
      <c r="E41" s="2">
        <v>112</v>
      </c>
      <c r="P41">
        <v>8560</v>
      </c>
      <c r="Q41">
        <v>8608</v>
      </c>
    </row>
    <row r="42" spans="1:17" ht="18" x14ac:dyDescent="0.2">
      <c r="B42" s="2" t="s">
        <v>210</v>
      </c>
      <c r="C42" s="2">
        <v>13</v>
      </c>
      <c r="D42" s="2">
        <v>272</v>
      </c>
      <c r="E42" s="2">
        <v>544</v>
      </c>
      <c r="P42">
        <v>48</v>
      </c>
      <c r="Q42">
        <v>2848</v>
      </c>
    </row>
    <row r="43" spans="1:17" ht="18" x14ac:dyDescent="0.2">
      <c r="B43" s="2" t="s">
        <v>211</v>
      </c>
      <c r="C43" s="2">
        <v>5</v>
      </c>
      <c r="D43" s="2">
        <v>536</v>
      </c>
      <c r="E43" s="2">
        <v>1072</v>
      </c>
      <c r="P43">
        <v>2800</v>
      </c>
      <c r="Q43">
        <v>14512</v>
      </c>
    </row>
    <row r="44" spans="1:17" ht="18" x14ac:dyDescent="0.2">
      <c r="B44" s="2" t="s">
        <v>212</v>
      </c>
      <c r="C44" s="2">
        <v>5</v>
      </c>
      <c r="D44" s="2">
        <v>536</v>
      </c>
      <c r="E44" s="2">
        <v>1072</v>
      </c>
      <c r="P44">
        <v>48</v>
      </c>
      <c r="Q44">
        <v>2480</v>
      </c>
    </row>
    <row r="45" spans="1:17" ht="18" x14ac:dyDescent="0.2">
      <c r="B45" s="2" t="s">
        <v>213</v>
      </c>
      <c r="C45" s="2">
        <v>20</v>
      </c>
      <c r="D45" s="2">
        <v>7200</v>
      </c>
      <c r="E45" s="2">
        <v>14400</v>
      </c>
      <c r="P45">
        <v>7792</v>
      </c>
      <c r="Q45">
        <v>2288</v>
      </c>
    </row>
    <row r="46" spans="1:17" ht="18" x14ac:dyDescent="0.2">
      <c r="B46" s="2" t="s">
        <v>214</v>
      </c>
      <c r="C46" s="2">
        <v>19</v>
      </c>
      <c r="D46" s="2">
        <v>6960</v>
      </c>
      <c r="E46" s="2">
        <v>13920</v>
      </c>
      <c r="P46">
        <v>6720</v>
      </c>
      <c r="Q46">
        <v>4864</v>
      </c>
    </row>
    <row r="47" spans="1:17" ht="18" x14ac:dyDescent="0.2">
      <c r="B47" s="2" t="s">
        <v>215</v>
      </c>
      <c r="C47" s="2">
        <v>5</v>
      </c>
      <c r="D47" s="2">
        <v>80</v>
      </c>
      <c r="E47" s="2">
        <v>160</v>
      </c>
      <c r="P47">
        <v>2432</v>
      </c>
      <c r="Q47">
        <v>3712</v>
      </c>
    </row>
    <row r="48" spans="1:17" ht="18" x14ac:dyDescent="0.2">
      <c r="B48" s="2" t="s">
        <v>216</v>
      </c>
      <c r="C48" s="2">
        <v>7</v>
      </c>
      <c r="D48" s="2">
        <v>120</v>
      </c>
      <c r="E48" s="2">
        <v>240</v>
      </c>
      <c r="P48">
        <v>48</v>
      </c>
      <c r="Q48">
        <v>19144</v>
      </c>
    </row>
    <row r="49" spans="1:17" ht="18" x14ac:dyDescent="0.2">
      <c r="B49" s="2" t="s">
        <v>217</v>
      </c>
      <c r="C49" s="2">
        <v>9</v>
      </c>
      <c r="D49" s="2">
        <v>160</v>
      </c>
      <c r="E49" s="2">
        <v>320</v>
      </c>
      <c r="P49">
        <v>2240</v>
      </c>
      <c r="Q49">
        <v>2352</v>
      </c>
    </row>
    <row r="50" spans="1:17" ht="18" x14ac:dyDescent="0.2">
      <c r="B50" s="2" t="s">
        <v>218</v>
      </c>
      <c r="C50" s="2">
        <v>9</v>
      </c>
      <c r="D50" s="2">
        <v>160</v>
      </c>
      <c r="E50" s="2">
        <v>320</v>
      </c>
      <c r="P50">
        <v>48</v>
      </c>
      <c r="Q50">
        <v>3344</v>
      </c>
    </row>
    <row r="51" spans="1:17" x14ac:dyDescent="0.2">
      <c r="P51">
        <v>4816</v>
      </c>
      <c r="Q51">
        <v>3552</v>
      </c>
    </row>
    <row r="52" spans="1:17" x14ac:dyDescent="0.2">
      <c r="P52">
        <v>48</v>
      </c>
    </row>
    <row r="53" spans="1:17" x14ac:dyDescent="0.2">
      <c r="P53">
        <v>3664</v>
      </c>
    </row>
    <row r="54" spans="1:17" x14ac:dyDescent="0.2">
      <c r="P54">
        <v>48</v>
      </c>
    </row>
    <row r="55" spans="1:17" x14ac:dyDescent="0.2">
      <c r="P55">
        <v>12880</v>
      </c>
    </row>
    <row r="56" spans="1:17" x14ac:dyDescent="0.2">
      <c r="P56">
        <v>6264</v>
      </c>
    </row>
    <row r="57" spans="1:17" x14ac:dyDescent="0.2">
      <c r="P57">
        <v>2304</v>
      </c>
    </row>
    <row r="58" spans="1:17" ht="18" x14ac:dyDescent="0.2">
      <c r="C58" s="131" t="s">
        <v>201</v>
      </c>
      <c r="D58" s="132"/>
      <c r="E58" s="132"/>
      <c r="F58" s="132"/>
      <c r="G58" s="132"/>
      <c r="P58">
        <v>48</v>
      </c>
    </row>
    <row r="59" spans="1:17" ht="18" x14ac:dyDescent="0.2">
      <c r="C59" s="109" t="s">
        <v>201</v>
      </c>
      <c r="D59" s="110"/>
      <c r="E59" s="110"/>
      <c r="F59" s="110"/>
      <c r="G59" s="110"/>
      <c r="H59" s="110" t="s">
        <v>239</v>
      </c>
      <c r="I59" s="110"/>
      <c r="J59" s="85"/>
      <c r="K59" s="85"/>
      <c r="L59" s="85"/>
      <c r="M59" s="86"/>
      <c r="N59" s="133"/>
      <c r="O59" s="133"/>
      <c r="P59" s="133"/>
    </row>
    <row r="60" spans="1:17" ht="38" x14ac:dyDescent="0.2">
      <c r="B60" s="80" t="s">
        <v>90</v>
      </c>
      <c r="C60" s="81" t="s">
        <v>47</v>
      </c>
      <c r="D60" s="81" t="s">
        <v>51</v>
      </c>
      <c r="E60" s="81" t="s">
        <v>237</v>
      </c>
      <c r="F60" s="82" t="s">
        <v>238</v>
      </c>
      <c r="G60" s="91" t="s">
        <v>258</v>
      </c>
      <c r="H60" s="83"/>
      <c r="I60" s="83"/>
      <c r="J60" s="84"/>
      <c r="K60" s="134" t="s">
        <v>199</v>
      </c>
      <c r="L60" s="135"/>
      <c r="M60" s="136"/>
      <c r="N60" s="8" t="s">
        <v>234</v>
      </c>
      <c r="O60" s="8" t="s">
        <v>202</v>
      </c>
      <c r="P60" s="8" t="s">
        <v>200</v>
      </c>
    </row>
    <row r="61" spans="1:17" ht="18" x14ac:dyDescent="0.2">
      <c r="A61" s="130" t="s">
        <v>219</v>
      </c>
      <c r="B61" s="15" t="s">
        <v>73</v>
      </c>
      <c r="C61" s="2">
        <v>2026</v>
      </c>
      <c r="D61" s="2">
        <v>71717</v>
      </c>
      <c r="E61" s="2">
        <v>46433</v>
      </c>
      <c r="F61" s="4">
        <v>7.8777715310521399E+65</v>
      </c>
      <c r="G61" s="2"/>
      <c r="H61" s="2"/>
      <c r="I61" s="2"/>
      <c r="J61" s="2"/>
      <c r="K61" s="4"/>
      <c r="L61" s="4"/>
      <c r="M61" s="22"/>
      <c r="N61" s="2"/>
      <c r="O61" s="2"/>
      <c r="P61" s="2"/>
    </row>
    <row r="62" spans="1:17" ht="18" x14ac:dyDescent="0.2">
      <c r="A62" s="130"/>
      <c r="B62" s="2" t="s">
        <v>75</v>
      </c>
      <c r="C62" s="2">
        <v>46</v>
      </c>
      <c r="D62" s="2">
        <v>184</v>
      </c>
      <c r="E62" s="2">
        <v>60</v>
      </c>
      <c r="F62" s="2">
        <v>255</v>
      </c>
      <c r="G62" s="2" t="s">
        <v>280</v>
      </c>
      <c r="H62" s="2"/>
      <c r="I62" s="2"/>
      <c r="J62" s="2"/>
      <c r="K62" s="2"/>
      <c r="L62" s="2"/>
      <c r="M62" s="2"/>
      <c r="N62" s="2"/>
      <c r="O62" s="2"/>
      <c r="P62" s="2"/>
    </row>
    <row r="63" spans="1:17" ht="18" x14ac:dyDescent="0.2">
      <c r="A63" s="130"/>
      <c r="B63" s="2" t="s">
        <v>27</v>
      </c>
      <c r="C63" s="2">
        <v>118</v>
      </c>
      <c r="D63" s="2">
        <v>1976</v>
      </c>
      <c r="E63" s="2">
        <v>83</v>
      </c>
      <c r="F63" s="2">
        <v>16227</v>
      </c>
      <c r="G63" s="2" t="s">
        <v>281</v>
      </c>
      <c r="H63" s="2"/>
      <c r="I63" s="2"/>
      <c r="J63" s="2"/>
      <c r="K63" s="2"/>
      <c r="L63" s="2"/>
      <c r="M63" s="22"/>
      <c r="N63" s="2"/>
      <c r="O63" s="2"/>
      <c r="P63" s="2"/>
    </row>
    <row r="64" spans="1:17" ht="18" x14ac:dyDescent="0.2">
      <c r="A64" s="130"/>
      <c r="B64" s="15" t="s">
        <v>28</v>
      </c>
      <c r="C64" s="2">
        <v>1297</v>
      </c>
      <c r="D64" s="2">
        <v>13531</v>
      </c>
      <c r="E64" s="2">
        <v>3646</v>
      </c>
      <c r="F64" s="2">
        <v>1595874</v>
      </c>
      <c r="G64" s="2" t="s">
        <v>282</v>
      </c>
      <c r="H64" s="2"/>
      <c r="I64" s="2"/>
      <c r="J64" s="2"/>
      <c r="K64" s="2"/>
      <c r="L64" s="2"/>
      <c r="M64" s="22"/>
      <c r="N64" s="2"/>
      <c r="O64" s="2"/>
      <c r="P64" s="2"/>
    </row>
    <row r="65" spans="1:16" ht="18" x14ac:dyDescent="0.2">
      <c r="A65" s="130"/>
      <c r="B65" s="2" t="s">
        <v>78</v>
      </c>
      <c r="C65" s="2">
        <v>30</v>
      </c>
      <c r="D65" s="2">
        <v>67</v>
      </c>
      <c r="E65" s="2">
        <v>0</v>
      </c>
      <c r="F65" s="2">
        <v>85</v>
      </c>
      <c r="G65" s="2" t="s">
        <v>283</v>
      </c>
      <c r="H65" s="2"/>
      <c r="I65" s="2"/>
      <c r="J65" s="2"/>
      <c r="K65" s="2"/>
      <c r="L65" s="2"/>
      <c r="M65" s="22"/>
      <c r="N65" s="2"/>
      <c r="O65" s="2"/>
      <c r="P65" s="2"/>
    </row>
    <row r="66" spans="1:16" ht="18" x14ac:dyDescent="0.2">
      <c r="A66" s="130"/>
      <c r="B66" s="2" t="s">
        <v>77</v>
      </c>
      <c r="C66" s="2">
        <v>1154</v>
      </c>
      <c r="D66" s="2">
        <v>6272</v>
      </c>
      <c r="E66" s="2">
        <v>911</v>
      </c>
      <c r="F66" s="2">
        <v>19372811709</v>
      </c>
      <c r="G66" s="2" t="s">
        <v>284</v>
      </c>
      <c r="H66" s="2"/>
      <c r="I66" s="2"/>
      <c r="J66" s="2"/>
      <c r="K66" s="2"/>
      <c r="L66" s="2"/>
      <c r="M66" s="22"/>
      <c r="N66" s="2"/>
      <c r="O66" s="2"/>
      <c r="P66" s="2"/>
    </row>
    <row r="67" spans="1:16" ht="18" x14ac:dyDescent="0.2">
      <c r="A67" s="130"/>
      <c r="B67" s="2" t="s">
        <v>79</v>
      </c>
      <c r="C67" s="2"/>
      <c r="D67" s="2"/>
      <c r="E67" s="2"/>
      <c r="F67" s="2"/>
      <c r="G67" s="2" t="s">
        <v>285</v>
      </c>
      <c r="H67" s="2"/>
      <c r="I67" s="2"/>
      <c r="J67" s="2"/>
      <c r="K67" s="2"/>
      <c r="L67" s="2"/>
      <c r="M67" s="22"/>
      <c r="N67" s="2"/>
      <c r="O67" s="2"/>
      <c r="P67" s="2"/>
    </row>
    <row r="68" spans="1:16" ht="18" x14ac:dyDescent="0.2">
      <c r="A68" s="130"/>
      <c r="B68" s="2" t="s">
        <v>80</v>
      </c>
      <c r="C68" s="2">
        <v>100</v>
      </c>
      <c r="D68" s="2">
        <v>640</v>
      </c>
      <c r="E68" s="2">
        <v>0</v>
      </c>
      <c r="F68" s="2">
        <v>153231</v>
      </c>
      <c r="G68" s="2"/>
      <c r="H68" s="2"/>
      <c r="I68" s="2"/>
      <c r="J68" s="2"/>
      <c r="K68" s="2"/>
      <c r="L68" s="2"/>
      <c r="M68" s="22"/>
      <c r="N68" s="2"/>
      <c r="O68" s="2"/>
      <c r="P68" s="2"/>
    </row>
    <row r="69" spans="1:16" ht="18" x14ac:dyDescent="0.2">
      <c r="A69" s="130"/>
      <c r="B69" s="15" t="s">
        <v>82</v>
      </c>
      <c r="C69" s="2">
        <v>1072</v>
      </c>
      <c r="D69" s="2">
        <v>21980</v>
      </c>
      <c r="E69" s="2">
        <v>920</v>
      </c>
      <c r="F69" s="4">
        <v>6.2015216856664699E+24</v>
      </c>
      <c r="G69" s="2"/>
      <c r="H69" s="2"/>
      <c r="I69" s="2"/>
      <c r="J69" s="2"/>
      <c r="K69" s="4"/>
      <c r="L69" s="4"/>
      <c r="M69" s="22"/>
      <c r="N69" s="2"/>
      <c r="O69" s="2"/>
      <c r="P69" s="2"/>
    </row>
    <row r="70" spans="1:16" ht="18" x14ac:dyDescent="0.2">
      <c r="A70" s="130"/>
      <c r="B70" s="2" t="s">
        <v>81</v>
      </c>
      <c r="C70" s="2">
        <v>240</v>
      </c>
      <c r="D70" s="2">
        <v>1135</v>
      </c>
      <c r="E70" s="2">
        <v>53</v>
      </c>
      <c r="F70" s="2">
        <v>8864</v>
      </c>
      <c r="G70" s="2" t="s">
        <v>286</v>
      </c>
      <c r="H70" s="2"/>
      <c r="I70" s="2"/>
      <c r="J70" s="2"/>
      <c r="K70" s="2"/>
      <c r="L70" s="2"/>
      <c r="M70" s="22"/>
      <c r="N70" s="2"/>
      <c r="O70" s="2"/>
      <c r="P70" s="2"/>
    </row>
    <row r="71" spans="1:16" ht="18" x14ac:dyDescent="0.2">
      <c r="A71" s="130"/>
      <c r="B71" s="2" t="s">
        <v>85</v>
      </c>
      <c r="C71" s="2">
        <v>115</v>
      </c>
      <c r="D71" s="2">
        <v>1342</v>
      </c>
      <c r="E71" s="2">
        <v>7</v>
      </c>
      <c r="F71" s="2">
        <v>33328</v>
      </c>
      <c r="G71" s="2" t="s">
        <v>287</v>
      </c>
      <c r="H71" s="2"/>
      <c r="I71" s="2"/>
      <c r="J71" s="2"/>
      <c r="K71" s="2"/>
      <c r="L71" s="2"/>
      <c r="M71" s="22"/>
      <c r="N71" s="2"/>
      <c r="O71" s="2"/>
      <c r="P71" s="2"/>
    </row>
    <row r="72" spans="1:16" ht="18" x14ac:dyDescent="0.2">
      <c r="A72" s="130"/>
      <c r="B72" s="2" t="s">
        <v>83</v>
      </c>
      <c r="C72" s="2">
        <v>233</v>
      </c>
      <c r="D72" s="2">
        <v>1260</v>
      </c>
      <c r="E72" s="2">
        <v>711</v>
      </c>
      <c r="F72" s="2">
        <v>26403529</v>
      </c>
      <c r="G72" s="2" t="s">
        <v>280</v>
      </c>
      <c r="H72" s="2"/>
      <c r="I72" s="2"/>
      <c r="J72" s="2"/>
      <c r="K72" s="2"/>
      <c r="L72" s="2"/>
      <c r="M72" s="22"/>
      <c r="N72" s="2"/>
      <c r="O72" s="2"/>
      <c r="P72" s="2"/>
    </row>
    <row r="73" spans="1:16" ht="18" x14ac:dyDescent="0.2">
      <c r="A73" s="130"/>
      <c r="B73" s="15" t="s">
        <v>30</v>
      </c>
      <c r="C73" s="2">
        <v>2025</v>
      </c>
      <c r="D73" s="2">
        <v>73347</v>
      </c>
      <c r="E73" s="2">
        <v>48063</v>
      </c>
      <c r="F73" s="4">
        <v>3.7025629983269398E+60</v>
      </c>
      <c r="G73" s="2"/>
      <c r="H73" s="2"/>
      <c r="I73" s="2"/>
      <c r="J73" s="2"/>
      <c r="K73" s="4"/>
      <c r="L73" s="4"/>
      <c r="M73" s="22"/>
      <c r="N73" s="2"/>
      <c r="O73" s="2"/>
      <c r="P73" s="2"/>
    </row>
    <row r="74" spans="1:16" ht="18" x14ac:dyDescent="0.2">
      <c r="A74" s="130"/>
      <c r="B74" s="2" t="s">
        <v>32</v>
      </c>
      <c r="C74" s="2">
        <v>46</v>
      </c>
      <c r="D74" s="2">
        <v>184</v>
      </c>
      <c r="E74" s="2">
        <v>60</v>
      </c>
      <c r="F74" s="2">
        <v>255</v>
      </c>
      <c r="G74" s="2" t="s">
        <v>288</v>
      </c>
      <c r="H74" s="2"/>
      <c r="I74" s="2"/>
      <c r="J74" s="2"/>
      <c r="K74" s="2"/>
      <c r="L74" s="2"/>
      <c r="M74" s="22"/>
      <c r="N74" s="2"/>
      <c r="O74" s="2"/>
      <c r="P74" s="2"/>
    </row>
    <row r="75" spans="1:16" ht="18" x14ac:dyDescent="0.2">
      <c r="A75" s="130"/>
      <c r="B75" s="2" t="s">
        <v>34</v>
      </c>
      <c r="C75" s="2">
        <v>31</v>
      </c>
      <c r="D75" s="2">
        <v>73</v>
      </c>
      <c r="E75" s="2">
        <v>0</v>
      </c>
      <c r="F75" s="2">
        <v>95</v>
      </c>
      <c r="G75" s="2" t="s">
        <v>284</v>
      </c>
      <c r="H75" s="2"/>
      <c r="I75" s="2"/>
      <c r="J75" s="2"/>
      <c r="K75" s="2"/>
      <c r="L75" s="2"/>
      <c r="M75" s="22"/>
      <c r="N75" s="2"/>
      <c r="O75" s="2"/>
      <c r="P75" s="2"/>
    </row>
    <row r="76" spans="1:16" ht="18" x14ac:dyDescent="0.2">
      <c r="A76" s="130"/>
      <c r="B76" s="2" t="s">
        <v>36</v>
      </c>
      <c r="C76" s="2">
        <v>1179</v>
      </c>
      <c r="D76" s="2">
        <v>6409</v>
      </c>
      <c r="E76" s="2">
        <v>923</v>
      </c>
      <c r="F76" s="2">
        <v>28828683857</v>
      </c>
      <c r="G76" s="2" t="s">
        <v>285</v>
      </c>
      <c r="H76" s="2"/>
      <c r="I76" s="2"/>
      <c r="J76" s="2"/>
      <c r="K76" s="2"/>
      <c r="L76" s="2"/>
      <c r="M76" s="22"/>
      <c r="N76" s="2"/>
      <c r="O76" s="2"/>
      <c r="P76" s="2"/>
    </row>
    <row r="77" spans="1:16" ht="18" x14ac:dyDescent="0.2">
      <c r="A77" s="130"/>
      <c r="B77" s="2" t="s">
        <v>37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2"/>
      <c r="N77" s="2"/>
      <c r="O77" s="2"/>
      <c r="P77" s="2"/>
    </row>
    <row r="78" spans="1:16" ht="18" x14ac:dyDescent="0.2">
      <c r="A78" s="130"/>
      <c r="B78" s="2" t="s">
        <v>38</v>
      </c>
      <c r="C78" s="2">
        <v>100</v>
      </c>
      <c r="D78" s="2">
        <v>640</v>
      </c>
      <c r="E78" s="2">
        <v>0</v>
      </c>
      <c r="F78" s="2">
        <v>153231</v>
      </c>
      <c r="G78" s="2" t="s">
        <v>286</v>
      </c>
      <c r="H78" s="2"/>
      <c r="I78" s="2"/>
      <c r="J78" s="2"/>
      <c r="K78" s="2"/>
      <c r="L78" s="2"/>
      <c r="M78" s="22"/>
      <c r="N78" s="2"/>
      <c r="O78" s="2"/>
      <c r="P78" s="2"/>
    </row>
    <row r="79" spans="1:16" ht="18" x14ac:dyDescent="0.2">
      <c r="A79" s="130"/>
      <c r="B79" s="15" t="s">
        <v>39</v>
      </c>
      <c r="C79" s="2">
        <v>1085</v>
      </c>
      <c r="D79" s="2">
        <v>21969</v>
      </c>
      <c r="E79" s="2">
        <v>737</v>
      </c>
      <c r="F79" s="4">
        <v>2.3393131707155601E+21</v>
      </c>
      <c r="G79" s="2"/>
      <c r="H79" s="2"/>
      <c r="I79" s="2"/>
      <c r="J79" s="2"/>
      <c r="K79" s="4"/>
      <c r="L79" s="4"/>
      <c r="M79" s="22"/>
      <c r="N79" s="2"/>
      <c r="O79" s="2"/>
      <c r="P79" s="2"/>
    </row>
    <row r="80" spans="1:16" ht="18" x14ac:dyDescent="0.2">
      <c r="A80" s="130"/>
      <c r="B80" s="2" t="s">
        <v>40</v>
      </c>
      <c r="C80" s="2">
        <v>240</v>
      </c>
      <c r="D80" s="2">
        <v>1135</v>
      </c>
      <c r="E80" s="2">
        <v>53</v>
      </c>
      <c r="F80" s="2">
        <v>8864</v>
      </c>
      <c r="G80" s="2" t="s">
        <v>287</v>
      </c>
      <c r="H80" s="2"/>
      <c r="I80" s="2"/>
      <c r="J80" s="2"/>
      <c r="K80" s="2"/>
      <c r="L80" s="2"/>
      <c r="M80" s="22"/>
      <c r="N80" s="2"/>
      <c r="O80" s="2"/>
      <c r="P80" s="2"/>
    </row>
    <row r="81" spans="1:16" ht="18" x14ac:dyDescent="0.2">
      <c r="A81" s="130"/>
      <c r="B81" s="2" t="s">
        <v>41</v>
      </c>
      <c r="C81" s="2">
        <v>122</v>
      </c>
      <c r="D81" s="2">
        <v>1358</v>
      </c>
      <c r="E81" s="2">
        <v>7</v>
      </c>
      <c r="F81" s="2">
        <v>33658</v>
      </c>
      <c r="G81" s="2"/>
      <c r="H81" s="2"/>
      <c r="I81" s="2"/>
      <c r="J81" s="2"/>
      <c r="K81" s="2"/>
      <c r="L81" s="2"/>
      <c r="M81" s="22"/>
      <c r="N81" s="2"/>
      <c r="O81" s="2"/>
      <c r="P81" s="2"/>
    </row>
    <row r="82" spans="1:16" ht="18" x14ac:dyDescent="0.2">
      <c r="A82" s="130"/>
      <c r="B82" s="2" t="s">
        <v>42</v>
      </c>
      <c r="C82" s="2">
        <v>232</v>
      </c>
      <c r="D82" s="2">
        <v>1255</v>
      </c>
      <c r="E82" s="2">
        <v>681</v>
      </c>
      <c r="F82" s="2" t="s">
        <v>279</v>
      </c>
      <c r="G82" s="2"/>
      <c r="H82" s="2"/>
      <c r="I82" s="2"/>
      <c r="J82" s="2"/>
      <c r="K82" s="2"/>
      <c r="L82" s="2"/>
      <c r="M82" s="22"/>
      <c r="N82" s="2"/>
      <c r="O82" s="2"/>
      <c r="P82" s="2"/>
    </row>
    <row r="83" spans="1:16" ht="18" x14ac:dyDescent="0.2">
      <c r="A83" s="130" t="s">
        <v>220</v>
      </c>
      <c r="B83" s="2" t="s">
        <v>207</v>
      </c>
      <c r="C83" s="2">
        <v>73</v>
      </c>
      <c r="D83" s="2">
        <v>270</v>
      </c>
      <c r="E83" s="2">
        <v>0</v>
      </c>
      <c r="F83" s="2">
        <v>495</v>
      </c>
      <c r="G83" s="2">
        <v>4256</v>
      </c>
      <c r="H83" s="2"/>
      <c r="I83" s="2"/>
      <c r="J83" s="2"/>
      <c r="K83" s="2"/>
      <c r="L83" s="2"/>
      <c r="M83" s="22"/>
      <c r="N83" s="3">
        <v>32328363</v>
      </c>
      <c r="O83" s="3">
        <v>3761</v>
      </c>
      <c r="P83" s="3">
        <v>17</v>
      </c>
    </row>
    <row r="84" spans="1:16" ht="18" x14ac:dyDescent="0.2">
      <c r="A84" s="130"/>
      <c r="B84" s="2" t="s">
        <v>208</v>
      </c>
      <c r="C84" s="2">
        <v>155</v>
      </c>
      <c r="D84" s="2">
        <v>536</v>
      </c>
      <c r="E84" s="2">
        <v>0</v>
      </c>
      <c r="F84" s="2">
        <v>4819</v>
      </c>
      <c r="G84" s="2">
        <v>8608</v>
      </c>
      <c r="H84" s="2"/>
      <c r="I84" s="2"/>
      <c r="J84" s="2"/>
      <c r="K84" s="2"/>
      <c r="L84" s="2"/>
      <c r="M84" s="22"/>
      <c r="N84" s="3">
        <v>2025479</v>
      </c>
      <c r="O84" s="3">
        <v>13740</v>
      </c>
      <c r="P84" s="3">
        <v>1783</v>
      </c>
    </row>
    <row r="85" spans="1:16" ht="18" x14ac:dyDescent="0.2">
      <c r="A85" s="130"/>
      <c r="B85" s="2" t="s">
        <v>209</v>
      </c>
      <c r="C85" s="2">
        <v>39</v>
      </c>
      <c r="D85" s="2">
        <v>187</v>
      </c>
      <c r="E85" s="2">
        <v>0</v>
      </c>
      <c r="F85" s="2">
        <v>373</v>
      </c>
      <c r="G85" s="2">
        <v>2848</v>
      </c>
      <c r="H85" s="2"/>
      <c r="I85" s="2"/>
      <c r="J85" s="2"/>
      <c r="K85" s="2"/>
      <c r="L85" s="2"/>
      <c r="M85" s="22"/>
      <c r="N85" s="3">
        <v>662506</v>
      </c>
      <c r="O85" s="3">
        <v>10677</v>
      </c>
      <c r="P85" s="3">
        <v>13</v>
      </c>
    </row>
    <row r="86" spans="1:16" ht="18" x14ac:dyDescent="0.2">
      <c r="A86" s="130"/>
      <c r="B86" s="2" t="s">
        <v>210</v>
      </c>
      <c r="C86" s="2">
        <v>115</v>
      </c>
      <c r="D86" s="2">
        <v>542</v>
      </c>
      <c r="E86" s="2">
        <v>38</v>
      </c>
      <c r="F86" s="2">
        <v>14473</v>
      </c>
      <c r="G86" s="2">
        <v>14512</v>
      </c>
      <c r="H86" s="2"/>
      <c r="I86" s="2"/>
      <c r="J86" s="2"/>
      <c r="K86" s="2"/>
      <c r="L86" s="2"/>
      <c r="M86" s="22"/>
      <c r="N86" s="3">
        <v>4130829</v>
      </c>
      <c r="O86" s="3">
        <v>6939</v>
      </c>
      <c r="P86" s="3">
        <v>18</v>
      </c>
    </row>
    <row r="87" spans="1:16" ht="18" x14ac:dyDescent="0.2">
      <c r="A87" s="130"/>
      <c r="B87" s="2" t="s">
        <v>211</v>
      </c>
      <c r="C87" s="2">
        <v>39</v>
      </c>
      <c r="D87" s="2">
        <v>160</v>
      </c>
      <c r="E87" s="2">
        <v>0</v>
      </c>
      <c r="F87" s="2">
        <v>221</v>
      </c>
      <c r="G87" s="2">
        <v>2480</v>
      </c>
      <c r="H87" s="2"/>
      <c r="I87" s="2"/>
      <c r="J87" s="2"/>
      <c r="K87" s="2"/>
      <c r="L87" s="2"/>
      <c r="M87" s="22"/>
      <c r="N87" s="3">
        <v>1503067565</v>
      </c>
      <c r="O87" s="3">
        <v>2497</v>
      </c>
      <c r="P87" s="3">
        <v>13</v>
      </c>
    </row>
    <row r="88" spans="1:16" ht="18" x14ac:dyDescent="0.2">
      <c r="A88" s="130"/>
      <c r="B88" s="2" t="s">
        <v>212</v>
      </c>
      <c r="C88" s="2">
        <v>36</v>
      </c>
      <c r="D88" s="2">
        <v>148</v>
      </c>
      <c r="E88" s="2">
        <v>0</v>
      </c>
      <c r="F88" s="2">
        <v>208</v>
      </c>
      <c r="G88" s="2">
        <v>2288</v>
      </c>
      <c r="H88" s="2"/>
      <c r="I88" s="2"/>
      <c r="J88" s="2"/>
      <c r="K88" s="2"/>
      <c r="L88" s="2"/>
      <c r="M88" s="22"/>
      <c r="N88" s="3">
        <v>1502936468</v>
      </c>
      <c r="O88" s="3">
        <v>2461</v>
      </c>
      <c r="P88" s="3">
        <v>13</v>
      </c>
    </row>
    <row r="89" spans="1:16" ht="18" x14ac:dyDescent="0.2">
      <c r="A89" s="130"/>
      <c r="B89" s="2" t="s">
        <v>213</v>
      </c>
      <c r="C89" s="2">
        <v>43</v>
      </c>
      <c r="D89" s="2">
        <v>339</v>
      </c>
      <c r="E89" s="2">
        <v>0</v>
      </c>
      <c r="F89" s="2">
        <v>612</v>
      </c>
      <c r="G89" s="2">
        <v>4864</v>
      </c>
      <c r="H89" s="2"/>
      <c r="I89" s="2"/>
      <c r="J89" s="2"/>
      <c r="K89" s="2"/>
      <c r="L89" s="2"/>
      <c r="M89" s="22"/>
      <c r="N89" s="3">
        <v>16808171</v>
      </c>
      <c r="O89" s="3">
        <v>5376</v>
      </c>
      <c r="P89" s="3">
        <v>13</v>
      </c>
    </row>
    <row r="90" spans="1:16" ht="18" x14ac:dyDescent="0.2">
      <c r="A90" s="130"/>
      <c r="B90" s="2" t="s">
        <v>214</v>
      </c>
      <c r="C90" s="2">
        <v>35</v>
      </c>
      <c r="D90" s="2">
        <v>265</v>
      </c>
      <c r="E90" s="2">
        <v>0</v>
      </c>
      <c r="F90" s="2">
        <v>495</v>
      </c>
      <c r="G90" s="2">
        <v>3712</v>
      </c>
      <c r="H90" s="2"/>
      <c r="I90" s="2"/>
      <c r="J90" s="2"/>
      <c r="K90" s="2"/>
      <c r="L90" s="2"/>
      <c r="M90" s="22"/>
      <c r="N90" s="3">
        <v>37601</v>
      </c>
      <c r="O90" s="3">
        <v>4925</v>
      </c>
      <c r="P90" s="3">
        <v>13</v>
      </c>
    </row>
    <row r="91" spans="1:16" ht="18" x14ac:dyDescent="0.2">
      <c r="A91" s="130"/>
      <c r="B91" s="2" t="s">
        <v>215</v>
      </c>
      <c r="C91" s="2">
        <v>151</v>
      </c>
      <c r="D91" s="2">
        <v>611</v>
      </c>
      <c r="E91" s="2">
        <v>16</v>
      </c>
      <c r="F91" s="2">
        <v>315164</v>
      </c>
      <c r="G91" s="2">
        <v>19144</v>
      </c>
      <c r="H91" s="2"/>
      <c r="I91" s="2"/>
      <c r="J91" s="2"/>
      <c r="M91" s="22"/>
      <c r="N91" s="3">
        <v>43806613</v>
      </c>
      <c r="O91" s="3">
        <v>3628705</v>
      </c>
      <c r="P91" s="3">
        <v>69</v>
      </c>
    </row>
    <row r="92" spans="1:16" ht="18" x14ac:dyDescent="0.2">
      <c r="A92" s="130"/>
      <c r="B92" s="2" t="s">
        <v>216</v>
      </c>
      <c r="C92" s="2">
        <v>205</v>
      </c>
      <c r="D92" s="2">
        <v>150</v>
      </c>
      <c r="E92" s="2">
        <f t="shared" ref="E92:E94" si="1">C92-D92</f>
        <v>55</v>
      </c>
      <c r="F92" s="2">
        <v>835</v>
      </c>
      <c r="G92" s="2">
        <v>2352</v>
      </c>
      <c r="H92" s="2"/>
      <c r="I92" s="2"/>
      <c r="J92" s="2"/>
      <c r="K92" s="2"/>
      <c r="L92" s="2"/>
      <c r="M92" s="22"/>
      <c r="N92" s="3">
        <v>368195465</v>
      </c>
      <c r="O92" s="3">
        <v>2535</v>
      </c>
      <c r="P92" s="3">
        <v>13</v>
      </c>
    </row>
    <row r="93" spans="1:16" ht="18" x14ac:dyDescent="0.2">
      <c r="A93" s="130"/>
      <c r="B93" s="2" t="s">
        <v>217</v>
      </c>
      <c r="C93" s="2">
        <v>42</v>
      </c>
      <c r="D93" s="2">
        <v>42</v>
      </c>
      <c r="E93" s="2">
        <f t="shared" si="1"/>
        <v>0</v>
      </c>
      <c r="F93" s="2">
        <v>221</v>
      </c>
      <c r="G93" s="2">
        <v>3344</v>
      </c>
      <c r="H93" s="2"/>
      <c r="I93" s="2"/>
      <c r="J93" s="2"/>
      <c r="K93" s="2"/>
      <c r="L93" s="2"/>
      <c r="M93" s="22"/>
      <c r="N93" s="3">
        <v>161893449</v>
      </c>
      <c r="O93" s="3">
        <v>4630</v>
      </c>
      <c r="P93" s="3">
        <v>13</v>
      </c>
    </row>
    <row r="94" spans="1:16" ht="18" x14ac:dyDescent="0.2">
      <c r="A94" s="130"/>
      <c r="B94" s="2" t="s">
        <v>218</v>
      </c>
      <c r="C94" s="2">
        <v>42</v>
      </c>
      <c r="D94" s="2">
        <v>42</v>
      </c>
      <c r="E94" s="2">
        <f t="shared" si="1"/>
        <v>0</v>
      </c>
      <c r="F94" s="2">
        <v>234</v>
      </c>
      <c r="G94" s="2">
        <v>3552</v>
      </c>
      <c r="H94" s="2"/>
      <c r="I94" s="2"/>
      <c r="J94" s="2"/>
      <c r="K94" s="2"/>
      <c r="L94" s="2"/>
      <c r="M94" s="22"/>
      <c r="N94" s="3">
        <v>27416376</v>
      </c>
      <c r="O94" s="3">
        <v>4958</v>
      </c>
      <c r="P94" s="3">
        <v>13</v>
      </c>
    </row>
    <row r="99" spans="2:15" x14ac:dyDescent="0.2">
      <c r="L99" s="140" t="s">
        <v>306</v>
      </c>
      <c r="M99" s="140"/>
      <c r="N99" s="143"/>
      <c r="O99" s="143" t="s">
        <v>307</v>
      </c>
    </row>
    <row r="100" spans="2:15" ht="38" x14ac:dyDescent="0.2">
      <c r="C100" s="81" t="s">
        <v>47</v>
      </c>
      <c r="D100" s="81" t="s">
        <v>294</v>
      </c>
      <c r="E100" s="81" t="s">
        <v>293</v>
      </c>
      <c r="F100" s="81" t="s">
        <v>295</v>
      </c>
      <c r="G100" s="81" t="s">
        <v>237</v>
      </c>
      <c r="H100" s="81" t="s">
        <v>238</v>
      </c>
      <c r="I100" s="98" t="s">
        <v>291</v>
      </c>
      <c r="J100" s="81" t="s">
        <v>289</v>
      </c>
      <c r="K100" s="81" t="s">
        <v>290</v>
      </c>
      <c r="L100" s="141" t="s">
        <v>45</v>
      </c>
      <c r="M100" s="141" t="s">
        <v>44</v>
      </c>
      <c r="N100" s="141"/>
      <c r="O100" s="141" t="s">
        <v>308</v>
      </c>
    </row>
    <row r="101" spans="2:15" ht="18" x14ac:dyDescent="0.2">
      <c r="B101" s="28" t="s">
        <v>269</v>
      </c>
      <c r="C101" s="3">
        <v>25</v>
      </c>
      <c r="D101" s="3">
        <v>137</v>
      </c>
      <c r="E101" s="3">
        <v>113</v>
      </c>
      <c r="F101" s="87">
        <f xml:space="preserve"> (E101/D101)</f>
        <v>0.82481751824817517</v>
      </c>
      <c r="G101" s="3">
        <v>48</v>
      </c>
      <c r="H101" s="3">
        <v>188</v>
      </c>
      <c r="I101" s="94">
        <v>2.6</v>
      </c>
      <c r="J101" s="3">
        <v>20604088422</v>
      </c>
      <c r="K101" s="3">
        <v>29</v>
      </c>
    </row>
    <row r="102" spans="2:15" ht="18" x14ac:dyDescent="0.2">
      <c r="B102" s="28" t="s">
        <v>270</v>
      </c>
      <c r="C102" s="3">
        <v>102</v>
      </c>
      <c r="D102" s="3">
        <v>2067</v>
      </c>
      <c r="E102" s="3">
        <v>1962</v>
      </c>
      <c r="F102" s="87">
        <f t="shared" ref="F102:F126" si="2" xml:space="preserve"> (E102/D102)</f>
        <v>0.94920174165457183</v>
      </c>
      <c r="G102" s="3">
        <v>66</v>
      </c>
      <c r="H102" s="3">
        <v>16077</v>
      </c>
      <c r="I102" s="94">
        <v>36</v>
      </c>
      <c r="J102" s="3">
        <v>662301863</v>
      </c>
      <c r="K102" s="3">
        <v>19</v>
      </c>
    </row>
    <row r="103" spans="2:15" ht="18" x14ac:dyDescent="0.2">
      <c r="B103" s="28" t="s">
        <v>271</v>
      </c>
      <c r="C103" s="3">
        <v>2226</v>
      </c>
      <c r="D103" s="3">
        <v>56033</v>
      </c>
      <c r="E103" s="3">
        <v>51337</v>
      </c>
      <c r="F103" s="87">
        <f t="shared" si="2"/>
        <v>0.91619224385629894</v>
      </c>
      <c r="G103" s="3">
        <v>6729</v>
      </c>
      <c r="H103" s="3">
        <v>65117646</v>
      </c>
      <c r="I103" s="94">
        <v>179</v>
      </c>
      <c r="J103" s="3">
        <v>4555757974</v>
      </c>
      <c r="K103" s="3">
        <v>29333</v>
      </c>
    </row>
    <row r="104" spans="2:15" ht="18" x14ac:dyDescent="0.2">
      <c r="B104" s="28" t="s">
        <v>272</v>
      </c>
      <c r="C104" s="3">
        <v>19</v>
      </c>
      <c r="D104" s="3">
        <v>56</v>
      </c>
      <c r="E104" s="3">
        <v>38</v>
      </c>
      <c r="F104" s="87">
        <f t="shared" si="2"/>
        <v>0.6785714285714286</v>
      </c>
      <c r="G104" s="3">
        <v>0</v>
      </c>
      <c r="H104" s="3">
        <v>70</v>
      </c>
      <c r="I104" s="94">
        <v>1.1000000000000001</v>
      </c>
      <c r="J104" s="3">
        <v>2651595</v>
      </c>
      <c r="K104" s="3">
        <v>12</v>
      </c>
    </row>
    <row r="105" spans="2:15" ht="18" x14ac:dyDescent="0.2">
      <c r="B105" s="28" t="s">
        <v>273</v>
      </c>
      <c r="C105" s="3">
        <v>5440</v>
      </c>
      <c r="D105" s="3">
        <v>33617</v>
      </c>
      <c r="E105" s="3">
        <v>18885</v>
      </c>
      <c r="F105" s="87">
        <f t="shared" si="2"/>
        <v>0.56176934289198921</v>
      </c>
      <c r="G105" s="3">
        <v>60</v>
      </c>
      <c r="H105" s="3">
        <v>10316506067</v>
      </c>
      <c r="I105" s="94">
        <v>70</v>
      </c>
      <c r="J105" s="3">
        <v>9984356426</v>
      </c>
      <c r="K105" s="3">
        <v>77</v>
      </c>
    </row>
    <row r="106" spans="2:15" ht="18" x14ac:dyDescent="0.2">
      <c r="B106" s="28" t="s">
        <v>274</v>
      </c>
      <c r="C106" s="3">
        <v>398</v>
      </c>
      <c r="D106" s="3">
        <v>21323</v>
      </c>
      <c r="E106" s="3">
        <v>20926</v>
      </c>
      <c r="F106" s="87">
        <f t="shared" si="2"/>
        <v>0.98138160671575292</v>
      </c>
      <c r="G106" s="3">
        <v>17911</v>
      </c>
      <c r="H106" s="3">
        <v>18929528</v>
      </c>
      <c r="I106" s="94">
        <v>310</v>
      </c>
      <c r="J106" s="3">
        <v>3265253366</v>
      </c>
      <c r="K106" s="3">
        <v>12</v>
      </c>
    </row>
    <row r="107" spans="2:15" ht="18" x14ac:dyDescent="0.2">
      <c r="B107" s="28" t="s">
        <v>275</v>
      </c>
      <c r="C107" s="3">
        <v>115</v>
      </c>
      <c r="D107" s="3">
        <v>802</v>
      </c>
      <c r="E107" s="3">
        <v>680</v>
      </c>
      <c r="F107" s="87">
        <f t="shared" si="2"/>
        <v>0.84788029925187036</v>
      </c>
      <c r="G107" s="3">
        <v>0</v>
      </c>
      <c r="H107" s="3">
        <v>4925</v>
      </c>
      <c r="I107" s="94">
        <v>11</v>
      </c>
      <c r="J107" s="3">
        <v>11536625846</v>
      </c>
      <c r="K107" s="3">
        <v>134</v>
      </c>
    </row>
    <row r="108" spans="2:15" ht="18" x14ac:dyDescent="0.2">
      <c r="B108" s="28" t="s">
        <v>276</v>
      </c>
      <c r="C108" s="3">
        <v>139</v>
      </c>
      <c r="D108" s="3">
        <v>1982</v>
      </c>
      <c r="E108" s="3">
        <v>1664</v>
      </c>
      <c r="F108" s="87">
        <f t="shared" si="2"/>
        <v>0.83955600403632691</v>
      </c>
      <c r="G108" s="3">
        <v>1651</v>
      </c>
      <c r="H108" s="3">
        <v>516678285489</v>
      </c>
      <c r="I108" s="94">
        <v>31</v>
      </c>
      <c r="J108" s="3"/>
      <c r="K108" s="3">
        <v>15</v>
      </c>
    </row>
    <row r="109" spans="2:15" ht="18" x14ac:dyDescent="0.2">
      <c r="B109" s="28" t="s">
        <v>7</v>
      </c>
      <c r="C109" s="3">
        <v>25</v>
      </c>
      <c r="D109" s="3">
        <v>137</v>
      </c>
      <c r="E109" s="3">
        <v>113</v>
      </c>
      <c r="F109" s="87">
        <f t="shared" si="2"/>
        <v>0.82481751824817517</v>
      </c>
      <c r="G109" s="3">
        <v>48</v>
      </c>
      <c r="H109" s="3">
        <v>188</v>
      </c>
      <c r="I109" s="94">
        <v>2.6</v>
      </c>
      <c r="J109" s="3"/>
      <c r="K109" s="3">
        <v>34</v>
      </c>
    </row>
    <row r="110" spans="2:15" ht="18" x14ac:dyDescent="0.2">
      <c r="B110" s="28" t="s">
        <v>9</v>
      </c>
      <c r="C110" s="3">
        <v>25</v>
      </c>
      <c r="D110" s="3">
        <v>72</v>
      </c>
      <c r="E110" s="3">
        <v>44</v>
      </c>
      <c r="F110" s="87">
        <f t="shared" si="2"/>
        <v>0.61111111111111116</v>
      </c>
      <c r="G110" s="3">
        <v>0</v>
      </c>
      <c r="H110" s="3">
        <v>74</v>
      </c>
      <c r="I110" s="94">
        <v>1.2</v>
      </c>
      <c r="J110" s="3"/>
      <c r="K110" s="3">
        <v>39</v>
      </c>
    </row>
    <row r="111" spans="2:15" ht="18" x14ac:dyDescent="0.2">
      <c r="B111" s="28" t="s">
        <v>11</v>
      </c>
      <c r="C111" s="3">
        <v>5444</v>
      </c>
      <c r="D111" s="3">
        <v>33617</v>
      </c>
      <c r="E111" s="3">
        <v>19288</v>
      </c>
      <c r="F111" s="87">
        <f t="shared" si="2"/>
        <v>0.57375732516286404</v>
      </c>
      <c r="G111" s="3">
        <v>60</v>
      </c>
      <c r="H111" s="3">
        <v>69077904007</v>
      </c>
      <c r="I111" s="94">
        <v>70</v>
      </c>
      <c r="J111" s="3"/>
      <c r="K111" s="3">
        <v>76</v>
      </c>
    </row>
    <row r="112" spans="2:15" ht="18" x14ac:dyDescent="0.2">
      <c r="B112" s="28" t="s">
        <v>12</v>
      </c>
      <c r="C112" s="3">
        <v>398</v>
      </c>
      <c r="D112" s="3">
        <v>21323</v>
      </c>
      <c r="E112" s="3">
        <v>20926</v>
      </c>
      <c r="F112" s="87">
        <f t="shared" si="2"/>
        <v>0.98138160671575292</v>
      </c>
      <c r="G112" s="3">
        <v>17911</v>
      </c>
      <c r="H112" s="3">
        <v>18929528</v>
      </c>
      <c r="I112" s="94">
        <v>310</v>
      </c>
      <c r="J112" s="3"/>
      <c r="K112" s="3">
        <v>12</v>
      </c>
    </row>
    <row r="113" spans="2:15" ht="18" x14ac:dyDescent="0.2">
      <c r="B113" s="28" t="s">
        <v>15</v>
      </c>
      <c r="C113" s="3">
        <v>115</v>
      </c>
      <c r="D113" s="3">
        <v>802</v>
      </c>
      <c r="E113" s="3">
        <v>680</v>
      </c>
      <c r="F113" s="87">
        <f t="shared" si="2"/>
        <v>0.84788029925187036</v>
      </c>
      <c r="G113" s="3">
        <v>0</v>
      </c>
      <c r="H113" s="3">
        <v>4925</v>
      </c>
      <c r="I113" s="94">
        <v>11</v>
      </c>
      <c r="J113" s="3"/>
      <c r="K113" s="3">
        <v>134</v>
      </c>
    </row>
    <row r="114" spans="2:15" ht="18" x14ac:dyDescent="0.2">
      <c r="B114" s="28" t="s">
        <v>17</v>
      </c>
      <c r="C114" s="3">
        <v>151</v>
      </c>
      <c r="D114" s="3">
        <v>2042</v>
      </c>
      <c r="E114" s="3">
        <v>1672</v>
      </c>
      <c r="F114" s="87">
        <f t="shared" si="2"/>
        <v>0.81880509304603333</v>
      </c>
      <c r="G114" s="3">
        <v>1561</v>
      </c>
      <c r="H114" s="3">
        <v>304699440136</v>
      </c>
      <c r="I114" s="94">
        <v>31</v>
      </c>
      <c r="J114" s="3"/>
      <c r="K114" s="3">
        <v>42</v>
      </c>
      <c r="L114" s="145"/>
      <c r="M114" s="145"/>
      <c r="N114" s="144"/>
    </row>
    <row r="115" spans="2:15" ht="18" x14ac:dyDescent="0.2">
      <c r="B115" s="2" t="s">
        <v>244</v>
      </c>
      <c r="C115" s="3">
        <v>73</v>
      </c>
      <c r="D115" s="3">
        <v>270</v>
      </c>
      <c r="E115" s="3">
        <v>198</v>
      </c>
      <c r="F115" s="87">
        <f t="shared" si="2"/>
        <v>0.73333333333333328</v>
      </c>
      <c r="G115" s="3">
        <v>0</v>
      </c>
      <c r="H115" s="3">
        <v>495</v>
      </c>
      <c r="I115" s="94">
        <v>5.4</v>
      </c>
      <c r="J115" s="3">
        <v>32342202</v>
      </c>
      <c r="K115" s="3">
        <v>17</v>
      </c>
      <c r="L115" s="142">
        <v>9034225846</v>
      </c>
      <c r="M115" s="142">
        <v>12332232675</v>
      </c>
      <c r="N115">
        <f>M115/L115</f>
        <v>1.3650569384935431</v>
      </c>
      <c r="O115" s="142">
        <v>8967042780</v>
      </c>
    </row>
    <row r="116" spans="2:15" ht="18" x14ac:dyDescent="0.2">
      <c r="B116" s="2" t="s">
        <v>245</v>
      </c>
      <c r="C116" s="3">
        <v>155</v>
      </c>
      <c r="D116" s="3">
        <v>544</v>
      </c>
      <c r="E116" s="3">
        <v>390</v>
      </c>
      <c r="F116" s="87">
        <f t="shared" si="2"/>
        <v>0.71691176470588236</v>
      </c>
      <c r="G116" s="3">
        <v>0</v>
      </c>
      <c r="H116" s="3">
        <v>4835</v>
      </c>
      <c r="I116" s="94">
        <v>11</v>
      </c>
      <c r="J116" s="3">
        <v>2036518</v>
      </c>
      <c r="K116" s="3">
        <v>1783</v>
      </c>
      <c r="L116" s="142">
        <v>1068630</v>
      </c>
      <c r="M116" s="142">
        <v>1627178</v>
      </c>
      <c r="N116">
        <f t="shared" ref="N116:N126" si="3">M116/L116</f>
        <v>1.5226766982023712</v>
      </c>
      <c r="O116" s="142">
        <v>1245505</v>
      </c>
    </row>
    <row r="117" spans="2:15" ht="18" x14ac:dyDescent="0.2">
      <c r="B117" s="2" t="s">
        <v>246</v>
      </c>
      <c r="C117" s="3">
        <v>39</v>
      </c>
      <c r="D117" s="3">
        <v>201</v>
      </c>
      <c r="E117" s="3">
        <v>163</v>
      </c>
      <c r="F117" s="87">
        <f t="shared" si="2"/>
        <v>0.81094527363184077</v>
      </c>
      <c r="G117" s="3">
        <v>0</v>
      </c>
      <c r="H117" s="3">
        <v>421</v>
      </c>
      <c r="I117" s="94">
        <v>4.2</v>
      </c>
      <c r="J117" s="3">
        <v>2684481412</v>
      </c>
      <c r="K117" s="3">
        <v>13</v>
      </c>
      <c r="L117" s="142">
        <v>536903807</v>
      </c>
      <c r="M117" s="142">
        <v>1610727582</v>
      </c>
      <c r="N117">
        <f t="shared" si="3"/>
        <v>3.000030100363956</v>
      </c>
      <c r="O117" s="142">
        <v>536952849</v>
      </c>
    </row>
    <row r="118" spans="2:15" ht="18" x14ac:dyDescent="0.2">
      <c r="B118" s="2" t="s">
        <v>247</v>
      </c>
      <c r="C118" s="3">
        <v>115</v>
      </c>
      <c r="D118" s="3">
        <v>562</v>
      </c>
      <c r="E118" s="3">
        <v>446</v>
      </c>
      <c r="F118" s="87">
        <f t="shared" si="2"/>
        <v>0.79359430604982206</v>
      </c>
      <c r="G118" s="3">
        <v>38</v>
      </c>
      <c r="H118" s="3">
        <v>14513</v>
      </c>
      <c r="I118" s="94">
        <v>12</v>
      </c>
      <c r="J118" s="3">
        <v>4142726</v>
      </c>
      <c r="K118" s="3">
        <v>18</v>
      </c>
      <c r="L118" s="142">
        <v>286992279</v>
      </c>
      <c r="M118" s="142">
        <v>495334476</v>
      </c>
      <c r="N118">
        <f t="shared" si="3"/>
        <v>1.7259505298398636</v>
      </c>
      <c r="O118" s="142">
        <v>217724131</v>
      </c>
    </row>
    <row r="119" spans="2:15" ht="18" x14ac:dyDescent="0.2">
      <c r="B119" s="2" t="s">
        <v>248</v>
      </c>
      <c r="C119" s="3">
        <v>39</v>
      </c>
      <c r="D119" s="3">
        <v>170</v>
      </c>
      <c r="E119" s="3">
        <v>132</v>
      </c>
      <c r="F119" s="87">
        <f t="shared" si="2"/>
        <v>0.77647058823529413</v>
      </c>
      <c r="G119" s="3">
        <v>0</v>
      </c>
      <c r="H119" s="3">
        <v>241</v>
      </c>
      <c r="I119" s="94">
        <v>3.7</v>
      </c>
      <c r="J119" s="3">
        <v>1503084843</v>
      </c>
      <c r="K119" s="3">
        <v>13</v>
      </c>
      <c r="L119" s="142">
        <v>1446937674</v>
      </c>
      <c r="M119" s="142">
        <v>1469503198</v>
      </c>
      <c r="N119">
        <f t="shared" si="3"/>
        <v>1.0155953669639539</v>
      </c>
      <c r="O119" s="142">
        <v>1452719242</v>
      </c>
    </row>
    <row r="120" spans="2:15" ht="18" x14ac:dyDescent="0.2">
      <c r="B120" s="2" t="s">
        <v>249</v>
      </c>
      <c r="C120" s="3">
        <v>36</v>
      </c>
      <c r="D120" s="3">
        <v>158</v>
      </c>
      <c r="E120" s="3">
        <v>123</v>
      </c>
      <c r="F120" s="87">
        <f t="shared" si="2"/>
        <v>0.77848101265822789</v>
      </c>
      <c r="G120" s="3">
        <v>0</v>
      </c>
      <c r="H120" s="3">
        <v>228</v>
      </c>
      <c r="I120" s="94">
        <v>3.4</v>
      </c>
      <c r="J120" s="3">
        <v>1502953667</v>
      </c>
      <c r="K120" s="3">
        <v>13</v>
      </c>
      <c r="L120" s="142">
        <v>1442920259</v>
      </c>
      <c r="M120" s="142">
        <v>1469372122</v>
      </c>
      <c r="N120">
        <f t="shared" si="3"/>
        <v>1.0183321724364256</v>
      </c>
      <c r="O120" s="142">
        <v>1452588170</v>
      </c>
    </row>
    <row r="121" spans="2:15" ht="18" x14ac:dyDescent="0.2">
      <c r="B121" s="2" t="s">
        <v>250</v>
      </c>
      <c r="C121" s="3">
        <v>43</v>
      </c>
      <c r="D121" s="3">
        <v>379</v>
      </c>
      <c r="E121" s="3">
        <v>337</v>
      </c>
      <c r="F121" s="87">
        <f t="shared" si="2"/>
        <v>0.8891820580474934</v>
      </c>
      <c r="G121" s="3">
        <v>0</v>
      </c>
      <c r="H121" s="3">
        <v>732</v>
      </c>
      <c r="I121" s="94">
        <v>8.1</v>
      </c>
      <c r="J121" s="3">
        <v>16827390</v>
      </c>
      <c r="K121" s="3">
        <v>13</v>
      </c>
      <c r="L121" s="142">
        <v>16790686</v>
      </c>
      <c r="M121" s="142">
        <v>16792209</v>
      </c>
      <c r="N121">
        <f t="shared" si="3"/>
        <v>1.000090705049216</v>
      </c>
      <c r="O121" s="142">
        <v>1664</v>
      </c>
    </row>
    <row r="122" spans="2:15" ht="18" x14ac:dyDescent="0.2">
      <c r="B122" s="2" t="s">
        <v>251</v>
      </c>
      <c r="C122" s="3">
        <v>35</v>
      </c>
      <c r="D122" s="3">
        <v>303</v>
      </c>
      <c r="E122" s="3">
        <v>269</v>
      </c>
      <c r="F122" s="87">
        <f t="shared" si="2"/>
        <v>0.88778877887788776</v>
      </c>
      <c r="G122" s="3">
        <v>0</v>
      </c>
      <c r="H122" s="3">
        <v>603</v>
      </c>
      <c r="I122" s="94">
        <v>6.5</v>
      </c>
      <c r="J122" s="3">
        <v>56543</v>
      </c>
      <c r="K122" s="3">
        <v>13</v>
      </c>
      <c r="L122" s="142">
        <v>23542</v>
      </c>
      <c r="M122" s="142">
        <v>24808</v>
      </c>
      <c r="N122">
        <f t="shared" si="3"/>
        <v>1.0537762297171014</v>
      </c>
      <c r="O122" s="142">
        <v>893</v>
      </c>
    </row>
    <row r="123" spans="2:15" ht="18" x14ac:dyDescent="0.2">
      <c r="B123" s="2" t="s">
        <v>252</v>
      </c>
      <c r="C123" s="3">
        <v>205</v>
      </c>
      <c r="D123" s="3">
        <v>845</v>
      </c>
      <c r="E123" s="3">
        <v>534</v>
      </c>
      <c r="F123" s="87">
        <f t="shared" si="2"/>
        <v>0.63195266272189354</v>
      </c>
      <c r="G123" s="3">
        <v>16</v>
      </c>
      <c r="H123" s="3">
        <v>315116</v>
      </c>
      <c r="I123" s="94">
        <v>13</v>
      </c>
      <c r="J123" s="3">
        <v>43807206</v>
      </c>
      <c r="K123" s="3">
        <v>69</v>
      </c>
      <c r="L123" s="142">
        <v>4613979553</v>
      </c>
      <c r="M123" s="142">
        <v>6388244670</v>
      </c>
      <c r="N123">
        <f t="shared" si="3"/>
        <v>1.3845411746236231</v>
      </c>
      <c r="O123" s="142">
        <v>6159926079</v>
      </c>
    </row>
    <row r="124" spans="2:15" ht="18" x14ac:dyDescent="0.2">
      <c r="B124" s="2" t="s">
        <v>253</v>
      </c>
      <c r="C124" s="3">
        <v>30</v>
      </c>
      <c r="D124" s="3">
        <v>170</v>
      </c>
      <c r="E124" s="3">
        <v>141</v>
      </c>
      <c r="F124" s="87">
        <f t="shared" si="2"/>
        <v>0.8294117647058824</v>
      </c>
      <c r="G124" s="3">
        <v>0</v>
      </c>
      <c r="H124" s="3">
        <v>239</v>
      </c>
      <c r="I124" s="94">
        <v>3.7</v>
      </c>
      <c r="J124" s="3">
        <v>368206583</v>
      </c>
      <c r="K124" s="3">
        <v>13</v>
      </c>
      <c r="L124" s="142">
        <v>276145966</v>
      </c>
      <c r="M124" s="142">
        <v>368194592</v>
      </c>
      <c r="N124">
        <f t="shared" si="3"/>
        <v>1.3333332271093179</v>
      </c>
      <c r="O124" s="142">
        <v>368194357</v>
      </c>
    </row>
    <row r="125" spans="2:15" ht="18" x14ac:dyDescent="0.2">
      <c r="B125" s="2" t="s">
        <v>254</v>
      </c>
      <c r="C125" s="3">
        <v>42</v>
      </c>
      <c r="D125" s="3">
        <v>239</v>
      </c>
      <c r="E125" s="3">
        <v>198</v>
      </c>
      <c r="F125" s="87">
        <f t="shared" si="2"/>
        <v>0.82845188284518834</v>
      </c>
      <c r="G125" s="3">
        <v>0</v>
      </c>
      <c r="H125" s="3">
        <v>434</v>
      </c>
      <c r="I125" s="94">
        <v>4.8</v>
      </c>
      <c r="J125" s="3">
        <v>161904699</v>
      </c>
      <c r="K125" s="3">
        <v>13</v>
      </c>
      <c r="L125" s="142">
        <v>430138207</v>
      </c>
      <c r="M125" s="142">
        <v>591036261</v>
      </c>
      <c r="N125">
        <f t="shared" si="3"/>
        <v>1.3740612932810221</v>
      </c>
      <c r="O125" s="142">
        <v>576694030</v>
      </c>
    </row>
    <row r="126" spans="2:15" ht="18" x14ac:dyDescent="0.2">
      <c r="B126" s="2" t="s">
        <v>255</v>
      </c>
      <c r="C126" s="3">
        <v>42</v>
      </c>
      <c r="D126" s="3">
        <v>252</v>
      </c>
      <c r="E126" s="3">
        <v>211</v>
      </c>
      <c r="F126" s="87">
        <f t="shared" si="2"/>
        <v>0.83730158730158732</v>
      </c>
      <c r="G126" s="3">
        <v>0</v>
      </c>
      <c r="H126" s="3">
        <v>437</v>
      </c>
      <c r="I126" s="94">
        <v>5.0999999999999996</v>
      </c>
      <c r="J126" s="3">
        <v>27427576</v>
      </c>
      <c r="K126" s="3">
        <v>13</v>
      </c>
      <c r="L126" s="142">
        <v>145724253</v>
      </c>
      <c r="M126" s="142">
        <v>181151153</v>
      </c>
      <c r="N126">
        <f t="shared" si="3"/>
        <v>1.2431091549325011</v>
      </c>
      <c r="O126" s="142">
        <v>118664778</v>
      </c>
    </row>
    <row r="134" spans="2:7" ht="38" x14ac:dyDescent="0.2">
      <c r="C134" s="98" t="s">
        <v>291</v>
      </c>
      <c r="D134" s="98" t="s">
        <v>299</v>
      </c>
      <c r="E134" s="98" t="s">
        <v>298</v>
      </c>
      <c r="F134" s="98" t="s">
        <v>297</v>
      </c>
      <c r="G134" s="98" t="s">
        <v>296</v>
      </c>
    </row>
    <row r="135" spans="2:7" ht="18" x14ac:dyDescent="0.2">
      <c r="B135" s="28" t="s">
        <v>269</v>
      </c>
      <c r="C135" s="94">
        <v>2.6</v>
      </c>
      <c r="D135" s="100">
        <v>1.28125</v>
      </c>
      <c r="E135" s="100">
        <v>27</v>
      </c>
      <c r="F135" s="3">
        <v>5</v>
      </c>
      <c r="G135" s="101">
        <v>4.0099999999999999E-4</v>
      </c>
    </row>
    <row r="136" spans="2:7" ht="18" x14ac:dyDescent="0.2">
      <c r="B136" s="28" t="s">
        <v>270</v>
      </c>
      <c r="C136" s="94">
        <v>36</v>
      </c>
      <c r="D136" s="100">
        <v>25.078125</v>
      </c>
      <c r="E136" s="100">
        <v>18.5625</v>
      </c>
      <c r="F136" s="3">
        <v>32</v>
      </c>
      <c r="G136" s="101">
        <v>4.1199999999999999E-4</v>
      </c>
    </row>
    <row r="137" spans="2:7" ht="18" x14ac:dyDescent="0.2">
      <c r="B137" s="28" t="s">
        <v>271</v>
      </c>
      <c r="C137" s="94">
        <v>179</v>
      </c>
      <c r="D137" s="100">
        <v>65.765625</v>
      </c>
      <c r="E137" s="100">
        <v>11630.25</v>
      </c>
      <c r="F137" s="3">
        <v>127</v>
      </c>
      <c r="G137" s="101">
        <v>3.79E-4</v>
      </c>
    </row>
    <row r="138" spans="2:7" ht="18" x14ac:dyDescent="0.2">
      <c r="B138" s="28" t="s">
        <v>272</v>
      </c>
      <c r="C138" s="94">
        <v>1.1000000000000001</v>
      </c>
      <c r="D138" s="100">
        <v>0.734375</v>
      </c>
      <c r="E138" s="100">
        <v>0</v>
      </c>
      <c r="F138" s="3">
        <v>9</v>
      </c>
      <c r="G138" s="101">
        <v>3.8400000000000001E-4</v>
      </c>
    </row>
    <row r="139" spans="2:7" ht="18" x14ac:dyDescent="0.2">
      <c r="B139" s="28" t="s">
        <v>273</v>
      </c>
      <c r="C139" s="94">
        <v>70</v>
      </c>
      <c r="D139" s="100">
        <v>48.1875</v>
      </c>
      <c r="E139" s="100">
        <v>4.21875</v>
      </c>
      <c r="F139" s="3">
        <v>76</v>
      </c>
      <c r="G139" s="101">
        <v>3.79E-4</v>
      </c>
    </row>
    <row r="140" spans="2:7" ht="18" x14ac:dyDescent="0.2">
      <c r="B140" s="28" t="s">
        <v>274</v>
      </c>
      <c r="C140" s="94">
        <v>310</v>
      </c>
      <c r="D140" s="100">
        <v>46.296875</v>
      </c>
      <c r="E140" s="100">
        <v>291385.0078125</v>
      </c>
      <c r="F140" s="3">
        <v>107</v>
      </c>
      <c r="G140" s="101">
        <v>4.08E-4</v>
      </c>
    </row>
    <row r="141" spans="2:7" ht="18" x14ac:dyDescent="0.2">
      <c r="B141" s="28" t="s">
        <v>275</v>
      </c>
      <c r="C141" s="94">
        <v>11</v>
      </c>
      <c r="D141" s="100">
        <v>7.390625</v>
      </c>
      <c r="E141" s="100">
        <v>0</v>
      </c>
      <c r="F141" s="3">
        <v>14</v>
      </c>
      <c r="G141" s="101">
        <v>3.8099999999999999E-4</v>
      </c>
    </row>
    <row r="142" spans="2:7" ht="18" x14ac:dyDescent="0.2">
      <c r="B142" s="28" t="s">
        <v>276</v>
      </c>
      <c r="C142" s="94">
        <v>31</v>
      </c>
      <c r="D142" s="100">
        <v>4.734375</v>
      </c>
      <c r="E142" s="100">
        <v>2877.1875</v>
      </c>
      <c r="F142" s="3">
        <v>28</v>
      </c>
      <c r="G142" s="101">
        <v>3.9100000000000002E-4</v>
      </c>
    </row>
    <row r="143" spans="2:7" ht="18" x14ac:dyDescent="0.2">
      <c r="B143" s="28" t="s">
        <v>7</v>
      </c>
      <c r="C143" s="94">
        <v>2.6</v>
      </c>
      <c r="D143" s="100">
        <v>1.28125</v>
      </c>
      <c r="E143" s="100">
        <v>27</v>
      </c>
      <c r="F143" s="3">
        <v>7</v>
      </c>
      <c r="G143" s="101">
        <v>4.0099999999999999E-4</v>
      </c>
    </row>
    <row r="144" spans="2:7" ht="18" x14ac:dyDescent="0.2">
      <c r="B144" s="28" t="s">
        <v>9</v>
      </c>
      <c r="C144" s="94">
        <v>1.2</v>
      </c>
      <c r="D144" s="100">
        <v>0.796875</v>
      </c>
      <c r="E144" s="100">
        <v>0</v>
      </c>
      <c r="F144" s="3">
        <v>7</v>
      </c>
      <c r="G144" s="101">
        <v>6.0099999999999997E-4</v>
      </c>
    </row>
    <row r="145" spans="2:7" ht="18" x14ac:dyDescent="0.2">
      <c r="B145" s="28" t="s">
        <v>11</v>
      </c>
      <c r="C145" s="94">
        <v>70</v>
      </c>
      <c r="D145" s="100">
        <v>48.1875</v>
      </c>
      <c r="E145" s="100">
        <v>4.21875</v>
      </c>
      <c r="F145" s="3">
        <v>61</v>
      </c>
      <c r="G145" s="101">
        <v>3.7800000000000003E-4</v>
      </c>
    </row>
    <row r="146" spans="2:7" ht="18" x14ac:dyDescent="0.2">
      <c r="B146" s="28" t="s">
        <v>12</v>
      </c>
      <c r="C146" s="94">
        <v>310</v>
      </c>
      <c r="D146" s="100">
        <v>46.296875</v>
      </c>
      <c r="E146" s="100">
        <v>291385.0078125</v>
      </c>
      <c r="F146" s="3">
        <v>100</v>
      </c>
      <c r="G146" s="101">
        <v>4.08E-4</v>
      </c>
    </row>
    <row r="147" spans="2:7" ht="18" x14ac:dyDescent="0.2">
      <c r="B147" s="28" t="s">
        <v>15</v>
      </c>
      <c r="C147" s="94">
        <v>11</v>
      </c>
      <c r="D147" s="100">
        <v>7.390625</v>
      </c>
      <c r="E147" s="100">
        <v>0</v>
      </c>
      <c r="F147" s="3">
        <v>16</v>
      </c>
      <c r="G147" s="101">
        <v>3.8200000000000002E-4</v>
      </c>
    </row>
    <row r="148" spans="2:7" ht="18" x14ac:dyDescent="0.2">
      <c r="B148" s="28" t="s">
        <v>17</v>
      </c>
      <c r="C148" s="94">
        <v>31</v>
      </c>
      <c r="D148" s="100">
        <v>4.84375</v>
      </c>
      <c r="E148" s="100">
        <v>2621.71875</v>
      </c>
      <c r="F148" s="3">
        <v>23</v>
      </c>
      <c r="G148" s="101">
        <v>5.7200000000000003E-4</v>
      </c>
    </row>
    <row r="149" spans="2:7" ht="18" x14ac:dyDescent="0.2">
      <c r="B149" s="2" t="s">
        <v>244</v>
      </c>
      <c r="C149" s="94">
        <v>5.4</v>
      </c>
      <c r="D149" s="100">
        <v>3.90625</v>
      </c>
      <c r="E149" s="100">
        <v>4.6875E-2</v>
      </c>
      <c r="F149" s="3">
        <v>3</v>
      </c>
      <c r="G149" s="101">
        <v>3.9300000000000001E-4</v>
      </c>
    </row>
    <row r="150" spans="2:7" ht="18" x14ac:dyDescent="0.2">
      <c r="B150" s="2" t="s">
        <v>245</v>
      </c>
      <c r="C150" s="94">
        <v>11</v>
      </c>
      <c r="D150" s="100">
        <v>7.90625</v>
      </c>
      <c r="E150" s="100">
        <v>4.6875E-2</v>
      </c>
      <c r="F150" s="3">
        <v>16</v>
      </c>
      <c r="G150" s="101">
        <v>3.7199999999999999E-4</v>
      </c>
    </row>
    <row r="151" spans="2:7" ht="18" x14ac:dyDescent="0.2">
      <c r="B151" s="2" t="s">
        <v>246</v>
      </c>
      <c r="C151" s="94">
        <v>4.2</v>
      </c>
      <c r="D151" s="100">
        <v>2.921875</v>
      </c>
      <c r="E151" s="100">
        <v>4.6875E-2</v>
      </c>
      <c r="F151" s="3">
        <v>23</v>
      </c>
      <c r="G151" s="101">
        <v>3.8000000000000002E-4</v>
      </c>
    </row>
    <row r="152" spans="2:7" ht="18" x14ac:dyDescent="0.2">
      <c r="B152" s="2" t="s">
        <v>247</v>
      </c>
      <c r="C152" s="94">
        <v>12</v>
      </c>
      <c r="D152" s="100">
        <v>7.71875</v>
      </c>
      <c r="E152" s="100">
        <v>6.5625</v>
      </c>
      <c r="F152" s="3">
        <v>9</v>
      </c>
      <c r="G152" s="101">
        <v>3.7800000000000003E-4</v>
      </c>
    </row>
    <row r="153" spans="2:7" ht="18" x14ac:dyDescent="0.2">
      <c r="B153" s="2" t="s">
        <v>248</v>
      </c>
      <c r="C153" s="94">
        <v>3.7</v>
      </c>
      <c r="D153" s="100">
        <v>2.59375</v>
      </c>
      <c r="E153" s="100">
        <v>4.6875E-2</v>
      </c>
      <c r="F153" s="3">
        <v>6</v>
      </c>
      <c r="G153" s="101">
        <v>4.1599999999999997E-4</v>
      </c>
    </row>
    <row r="154" spans="2:7" ht="18" x14ac:dyDescent="0.2">
      <c r="B154" s="2" t="s">
        <v>249</v>
      </c>
      <c r="C154" s="94">
        <v>3.4</v>
      </c>
      <c r="D154" s="100">
        <v>2.390625</v>
      </c>
      <c r="E154" s="100">
        <v>4.6875E-2</v>
      </c>
      <c r="F154" s="3">
        <v>11</v>
      </c>
      <c r="G154" s="101">
        <v>3.9300000000000001E-4</v>
      </c>
    </row>
    <row r="155" spans="2:7" ht="18" x14ac:dyDescent="0.2">
      <c r="B155" s="2" t="s">
        <v>250</v>
      </c>
      <c r="C155" s="94">
        <v>8.1</v>
      </c>
      <c r="D155" s="100">
        <v>5.75</v>
      </c>
      <c r="E155" s="100">
        <v>4.6875E-2</v>
      </c>
      <c r="F155" s="3">
        <v>10</v>
      </c>
      <c r="G155" s="101">
        <v>4.2900000000000002E-4</v>
      </c>
    </row>
    <row r="156" spans="2:7" ht="18" x14ac:dyDescent="0.2">
      <c r="B156" s="2" t="s">
        <v>251</v>
      </c>
      <c r="C156" s="94">
        <v>6.5</v>
      </c>
      <c r="D156" s="100">
        <v>4.5625</v>
      </c>
      <c r="E156" s="100">
        <v>4.6875E-2</v>
      </c>
      <c r="F156" s="3">
        <v>22</v>
      </c>
      <c r="G156" s="101">
        <v>5.4900000000000001E-4</v>
      </c>
    </row>
    <row r="157" spans="2:7" ht="18" x14ac:dyDescent="0.2">
      <c r="B157" s="2" t="s">
        <v>252</v>
      </c>
      <c r="C157" s="94">
        <v>13</v>
      </c>
      <c r="D157" s="100">
        <v>8.609375</v>
      </c>
      <c r="E157" s="100">
        <v>1.40625</v>
      </c>
      <c r="F157" s="3">
        <v>14</v>
      </c>
      <c r="G157" s="101">
        <v>3.8999999999999999E-4</v>
      </c>
    </row>
    <row r="158" spans="2:7" ht="18" x14ac:dyDescent="0.2">
      <c r="B158" s="2" t="s">
        <v>253</v>
      </c>
      <c r="C158" s="94">
        <v>3.7</v>
      </c>
      <c r="D158" s="100">
        <v>2.609375</v>
      </c>
      <c r="E158" s="100">
        <v>4.6875E-2</v>
      </c>
      <c r="F158" s="3">
        <v>3</v>
      </c>
      <c r="G158" s="101">
        <v>3.9100000000000002E-4</v>
      </c>
    </row>
    <row r="159" spans="2:7" ht="18" x14ac:dyDescent="0.2">
      <c r="B159" s="2" t="s">
        <v>254</v>
      </c>
      <c r="C159" s="94">
        <v>4.8</v>
      </c>
      <c r="D159" s="100">
        <v>3.421875</v>
      </c>
      <c r="E159" s="100">
        <v>4.6875E-2</v>
      </c>
      <c r="F159" s="3">
        <v>3</v>
      </c>
      <c r="G159" s="101">
        <v>3.9100000000000002E-4</v>
      </c>
    </row>
    <row r="160" spans="2:7" ht="18" x14ac:dyDescent="0.2">
      <c r="B160" s="2" t="s">
        <v>255</v>
      </c>
      <c r="C160" s="94">
        <v>5.0999999999999996</v>
      </c>
      <c r="D160" s="100">
        <v>3.609375</v>
      </c>
      <c r="E160" s="100">
        <v>4.6875E-2</v>
      </c>
      <c r="F160" s="3">
        <v>30</v>
      </c>
      <c r="G160" s="101">
        <v>3.9100000000000002E-4</v>
      </c>
    </row>
    <row r="163" spans="2:7" ht="38" x14ac:dyDescent="0.2">
      <c r="C163" s="98" t="s">
        <v>291</v>
      </c>
      <c r="D163" s="98" t="s">
        <v>299</v>
      </c>
      <c r="E163" s="98" t="s">
        <v>298</v>
      </c>
      <c r="F163" s="98" t="s">
        <v>297</v>
      </c>
      <c r="G163" s="98" t="s">
        <v>296</v>
      </c>
    </row>
    <row r="164" spans="2:7" ht="18" x14ac:dyDescent="0.2">
      <c r="B164" s="28" t="s">
        <v>269</v>
      </c>
      <c r="C164" s="94">
        <v>2.6</v>
      </c>
      <c r="D164" s="100">
        <v>1.28125</v>
      </c>
      <c r="E164" s="100">
        <v>27</v>
      </c>
      <c r="F164" s="3">
        <v>5</v>
      </c>
      <c r="G164" s="101"/>
    </row>
    <row r="165" spans="2:7" ht="18" x14ac:dyDescent="0.2">
      <c r="B165" s="28" t="s">
        <v>270</v>
      </c>
      <c r="C165" s="94">
        <v>36</v>
      </c>
      <c r="D165" s="100">
        <v>25.078125</v>
      </c>
      <c r="E165" s="100">
        <v>18.5625</v>
      </c>
      <c r="F165" s="3">
        <v>32</v>
      </c>
      <c r="G165" s="101"/>
    </row>
    <row r="166" spans="2:7" ht="18" x14ac:dyDescent="0.2">
      <c r="B166" s="28" t="s">
        <v>271</v>
      </c>
      <c r="C166" s="94">
        <v>179</v>
      </c>
      <c r="D166" s="100">
        <v>65.765625</v>
      </c>
      <c r="E166" s="100">
        <v>11630.25</v>
      </c>
      <c r="F166" s="3">
        <v>127</v>
      </c>
      <c r="G166" s="101"/>
    </row>
    <row r="167" spans="2:7" ht="18" x14ac:dyDescent="0.2">
      <c r="B167" s="28" t="s">
        <v>272</v>
      </c>
      <c r="C167" s="94">
        <v>1.1000000000000001</v>
      </c>
      <c r="D167" s="100">
        <v>0.734375</v>
      </c>
      <c r="E167" s="100">
        <v>0</v>
      </c>
      <c r="F167" s="3">
        <v>9</v>
      </c>
      <c r="G167" s="101"/>
    </row>
    <row r="168" spans="2:7" ht="18" x14ac:dyDescent="0.2">
      <c r="B168" s="28" t="s">
        <v>273</v>
      </c>
      <c r="C168" s="94">
        <v>70</v>
      </c>
      <c r="D168" s="100">
        <v>48.1875</v>
      </c>
      <c r="E168" s="100">
        <v>4.21875</v>
      </c>
      <c r="F168" s="3">
        <v>76</v>
      </c>
      <c r="G168" s="101"/>
    </row>
    <row r="169" spans="2:7" ht="18" x14ac:dyDescent="0.2">
      <c r="B169" s="28" t="s">
        <v>274</v>
      </c>
      <c r="C169" s="94">
        <v>310</v>
      </c>
      <c r="D169" s="100">
        <v>46.296875</v>
      </c>
      <c r="E169" s="100">
        <v>291385.0078125</v>
      </c>
      <c r="F169" s="3">
        <v>107</v>
      </c>
      <c r="G169" s="101"/>
    </row>
    <row r="170" spans="2:7" ht="18" x14ac:dyDescent="0.2">
      <c r="B170" s="28" t="s">
        <v>275</v>
      </c>
      <c r="C170" s="94">
        <v>11</v>
      </c>
      <c r="D170" s="100">
        <v>7.390625</v>
      </c>
      <c r="E170" s="100">
        <v>0</v>
      </c>
      <c r="F170" s="3">
        <v>14</v>
      </c>
      <c r="G170" s="101"/>
    </row>
    <row r="171" spans="2:7" ht="18" x14ac:dyDescent="0.2">
      <c r="B171" s="28" t="s">
        <v>276</v>
      </c>
      <c r="C171" s="94">
        <v>31</v>
      </c>
      <c r="D171" s="100">
        <v>4.734375</v>
      </c>
      <c r="E171" s="100">
        <v>2877.1875</v>
      </c>
      <c r="F171" s="3">
        <v>28</v>
      </c>
      <c r="G171" s="101"/>
    </row>
    <row r="172" spans="2:7" ht="18" x14ac:dyDescent="0.2">
      <c r="B172" s="28" t="s">
        <v>7</v>
      </c>
      <c r="C172" s="94">
        <v>2.6</v>
      </c>
      <c r="D172" s="100">
        <v>1.28125</v>
      </c>
      <c r="E172" s="100">
        <v>27</v>
      </c>
      <c r="F172" s="3">
        <v>7</v>
      </c>
      <c r="G172" s="101"/>
    </row>
    <row r="173" spans="2:7" ht="18" x14ac:dyDescent="0.2">
      <c r="B173" s="28" t="s">
        <v>9</v>
      </c>
      <c r="C173" s="94">
        <v>1.2</v>
      </c>
      <c r="D173" s="100">
        <v>0.796875</v>
      </c>
      <c r="E173" s="100">
        <v>0</v>
      </c>
      <c r="F173" s="3">
        <v>7</v>
      </c>
      <c r="G173" s="101"/>
    </row>
    <row r="174" spans="2:7" ht="18" x14ac:dyDescent="0.2">
      <c r="B174" s="28" t="s">
        <v>11</v>
      </c>
      <c r="C174" s="94">
        <v>70</v>
      </c>
      <c r="D174" s="100">
        <v>48.1875</v>
      </c>
      <c r="E174" s="100">
        <v>4.21875</v>
      </c>
      <c r="F174" s="3">
        <v>61</v>
      </c>
      <c r="G174" s="101"/>
    </row>
    <row r="175" spans="2:7" ht="18" x14ac:dyDescent="0.2">
      <c r="B175" s="28" t="s">
        <v>12</v>
      </c>
      <c r="C175" s="94">
        <v>310</v>
      </c>
      <c r="D175" s="100">
        <v>46.296875</v>
      </c>
      <c r="E175" s="100">
        <v>291385.0078125</v>
      </c>
      <c r="F175" s="3">
        <v>100</v>
      </c>
      <c r="G175" s="101"/>
    </row>
    <row r="176" spans="2:7" ht="18" x14ac:dyDescent="0.2">
      <c r="B176" s="28" t="s">
        <v>15</v>
      </c>
      <c r="C176" s="94">
        <v>11</v>
      </c>
      <c r="D176" s="100">
        <v>7.390625</v>
      </c>
      <c r="E176" s="100">
        <v>0</v>
      </c>
      <c r="F176" s="3">
        <v>16</v>
      </c>
      <c r="G176" s="101"/>
    </row>
    <row r="177" spans="2:7" ht="18" x14ac:dyDescent="0.2">
      <c r="B177" s="28" t="s">
        <v>17</v>
      </c>
      <c r="C177" s="94">
        <v>31</v>
      </c>
      <c r="D177" s="100">
        <v>4.84375</v>
      </c>
      <c r="E177" s="100">
        <v>2621.71875</v>
      </c>
      <c r="F177" s="3">
        <v>23</v>
      </c>
      <c r="G177" s="101"/>
    </row>
    <row r="178" spans="2:7" ht="18" x14ac:dyDescent="0.2">
      <c r="B178" s="2" t="s">
        <v>244</v>
      </c>
      <c r="C178" s="94">
        <v>5.4</v>
      </c>
      <c r="D178" s="100">
        <v>3.90625</v>
      </c>
      <c r="E178" s="100">
        <v>4.6875E-2</v>
      </c>
      <c r="F178" s="3">
        <v>3</v>
      </c>
      <c r="G178" s="101">
        <v>3.9300000000000001E-4</v>
      </c>
    </row>
    <row r="179" spans="2:7" ht="18" x14ac:dyDescent="0.2">
      <c r="B179" s="2" t="s">
        <v>245</v>
      </c>
      <c r="C179" s="94">
        <v>11</v>
      </c>
      <c r="D179" s="100">
        <v>7.90625</v>
      </c>
      <c r="E179" s="100">
        <v>4.6875E-2</v>
      </c>
      <c r="F179" s="3">
        <v>16</v>
      </c>
      <c r="G179" s="101">
        <v>3.7199999999999999E-4</v>
      </c>
    </row>
    <row r="180" spans="2:7" ht="18" x14ac:dyDescent="0.2">
      <c r="B180" s="2" t="s">
        <v>246</v>
      </c>
      <c r="C180" s="94">
        <v>4.2</v>
      </c>
      <c r="D180" s="100">
        <v>2.921875</v>
      </c>
      <c r="E180" s="100">
        <v>4.6875E-2</v>
      </c>
      <c r="F180" s="3">
        <v>23</v>
      </c>
      <c r="G180" s="101">
        <v>3.8000000000000002E-4</v>
      </c>
    </row>
    <row r="181" spans="2:7" ht="18" x14ac:dyDescent="0.2">
      <c r="B181" s="2" t="s">
        <v>247</v>
      </c>
      <c r="C181" s="94">
        <v>12</v>
      </c>
      <c r="D181" s="100">
        <v>7.71875</v>
      </c>
      <c r="E181" s="100">
        <v>6.5625</v>
      </c>
      <c r="F181" s="3">
        <v>9</v>
      </c>
      <c r="G181" s="101">
        <v>3.7800000000000003E-4</v>
      </c>
    </row>
    <row r="182" spans="2:7" ht="18" x14ac:dyDescent="0.2">
      <c r="B182" s="2" t="s">
        <v>248</v>
      </c>
      <c r="C182" s="94">
        <v>3.7</v>
      </c>
      <c r="D182" s="100">
        <v>2.59375</v>
      </c>
      <c r="E182" s="100">
        <v>4.6875E-2</v>
      </c>
      <c r="F182" s="3">
        <v>6</v>
      </c>
      <c r="G182" s="101">
        <v>4.1599999999999997E-4</v>
      </c>
    </row>
    <row r="183" spans="2:7" ht="18" x14ac:dyDescent="0.2">
      <c r="B183" s="2" t="s">
        <v>249</v>
      </c>
      <c r="C183" s="94">
        <v>3.4</v>
      </c>
      <c r="D183" s="100">
        <v>2.390625</v>
      </c>
      <c r="E183" s="100">
        <v>4.6875E-2</v>
      </c>
      <c r="F183" s="3">
        <v>11</v>
      </c>
      <c r="G183" s="101">
        <v>3.9300000000000001E-4</v>
      </c>
    </row>
    <row r="184" spans="2:7" ht="18" x14ac:dyDescent="0.2">
      <c r="B184" s="2" t="s">
        <v>250</v>
      </c>
      <c r="C184" s="94">
        <v>8.1</v>
      </c>
      <c r="D184" s="100">
        <v>5.75</v>
      </c>
      <c r="E184" s="100">
        <v>4.6875E-2</v>
      </c>
      <c r="F184" s="3">
        <v>10</v>
      </c>
      <c r="G184" s="101">
        <v>4.2900000000000002E-4</v>
      </c>
    </row>
    <row r="185" spans="2:7" ht="18" x14ac:dyDescent="0.2">
      <c r="B185" s="2" t="s">
        <v>251</v>
      </c>
      <c r="C185" s="94">
        <v>6.5</v>
      </c>
      <c r="D185" s="100">
        <v>4.5625</v>
      </c>
      <c r="E185" s="100">
        <v>4.6875E-2</v>
      </c>
      <c r="F185" s="3">
        <v>22</v>
      </c>
      <c r="G185" s="101">
        <v>5.4900000000000001E-4</v>
      </c>
    </row>
    <row r="186" spans="2:7" ht="18" x14ac:dyDescent="0.2">
      <c r="B186" s="2" t="s">
        <v>252</v>
      </c>
      <c r="C186" s="94">
        <v>13</v>
      </c>
      <c r="D186" s="100">
        <v>8.609375</v>
      </c>
      <c r="E186" s="100">
        <v>1.40625</v>
      </c>
      <c r="F186" s="3">
        <v>14</v>
      </c>
      <c r="G186" s="101">
        <v>3.8999999999999999E-4</v>
      </c>
    </row>
    <row r="187" spans="2:7" ht="18" x14ac:dyDescent="0.2">
      <c r="B187" s="2" t="s">
        <v>253</v>
      </c>
      <c r="C187" s="94">
        <v>3.7</v>
      </c>
      <c r="D187" s="100">
        <v>2.609375</v>
      </c>
      <c r="E187" s="100">
        <v>4.6875E-2</v>
      </c>
      <c r="F187" s="3">
        <v>3</v>
      </c>
      <c r="G187" s="101">
        <v>3.9100000000000002E-4</v>
      </c>
    </row>
    <row r="188" spans="2:7" ht="18" x14ac:dyDescent="0.2">
      <c r="B188" s="2" t="s">
        <v>254</v>
      </c>
      <c r="C188" s="94">
        <v>4.8</v>
      </c>
      <c r="D188" s="100">
        <v>3.421875</v>
      </c>
      <c r="E188" s="100">
        <v>4.6875E-2</v>
      </c>
      <c r="F188" s="3">
        <v>3</v>
      </c>
      <c r="G188" s="101">
        <v>3.9100000000000002E-4</v>
      </c>
    </row>
    <row r="189" spans="2:7" ht="18" x14ac:dyDescent="0.2">
      <c r="B189" s="2" t="s">
        <v>255</v>
      </c>
      <c r="C189" s="94">
        <v>5.0999999999999996</v>
      </c>
      <c r="D189" s="100">
        <v>3.609375</v>
      </c>
      <c r="E189" s="100">
        <v>4.6875E-2</v>
      </c>
      <c r="F189" s="3">
        <v>30</v>
      </c>
      <c r="G189" s="101">
        <v>3.9100000000000002E-4</v>
      </c>
    </row>
  </sheetData>
  <mergeCells count="21">
    <mergeCell ref="L99:M99"/>
    <mergeCell ref="N1:P1"/>
    <mergeCell ref="O2:O3"/>
    <mergeCell ref="B2:B3"/>
    <mergeCell ref="C2:E2"/>
    <mergeCell ref="F2:J2"/>
    <mergeCell ref="K2:M2"/>
    <mergeCell ref="P2:P3"/>
    <mergeCell ref="N2:N3"/>
    <mergeCell ref="D37:E37"/>
    <mergeCell ref="C37:C38"/>
    <mergeCell ref="A4:A23"/>
    <mergeCell ref="A24:A35"/>
    <mergeCell ref="C1:M1"/>
    <mergeCell ref="A61:A82"/>
    <mergeCell ref="A83:A94"/>
    <mergeCell ref="C58:G58"/>
    <mergeCell ref="C59:G59"/>
    <mergeCell ref="N59:P59"/>
    <mergeCell ref="K60:M60"/>
    <mergeCell ref="H59:I59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D338-1764-6C49-88FF-A1097ACEBC60}">
  <dimension ref="A1:K76"/>
  <sheetViews>
    <sheetView topLeftCell="A90" zoomScaleNormal="70" workbookViewId="0">
      <selection activeCell="I45" sqref="I45"/>
    </sheetView>
  </sheetViews>
  <sheetFormatPr baseColWidth="10" defaultRowHeight="18" x14ac:dyDescent="0.2"/>
  <cols>
    <col min="1" max="1" width="27.83203125" style="1" bestFit="1" customWidth="1"/>
    <col min="2" max="2" width="14.1640625" style="1" bestFit="1" customWidth="1"/>
    <col min="3" max="3" width="25.6640625" style="1" bestFit="1" customWidth="1"/>
    <col min="4" max="4" width="20.6640625" style="1" bestFit="1" customWidth="1"/>
    <col min="5" max="5" width="35.1640625" style="1" bestFit="1" customWidth="1"/>
    <col min="6" max="6" width="30.1640625" style="1" bestFit="1" customWidth="1"/>
    <col min="7" max="7" width="25.6640625" style="1" bestFit="1" customWidth="1"/>
    <col min="8" max="8" width="20.6640625" style="1" bestFit="1" customWidth="1"/>
    <col min="9" max="9" width="35.1640625" style="1" bestFit="1" customWidth="1"/>
    <col min="10" max="10" width="30.1640625" style="1" bestFit="1" customWidth="1"/>
    <col min="11" max="11" width="11.6640625" style="1" bestFit="1" customWidth="1"/>
    <col min="12" max="16384" width="10.83203125" style="1"/>
  </cols>
  <sheetData>
    <row r="1" spans="1:7" x14ac:dyDescent="0.2">
      <c r="A1" s="2" t="s">
        <v>256</v>
      </c>
      <c r="B1" s="2" t="s">
        <v>233</v>
      </c>
      <c r="C1" s="2" t="s">
        <v>265</v>
      </c>
      <c r="D1" s="2" t="s">
        <v>263</v>
      </c>
      <c r="E1" s="2" t="s">
        <v>266</v>
      </c>
      <c r="F1" s="2" t="s">
        <v>264</v>
      </c>
    </row>
    <row r="2" spans="1:7" x14ac:dyDescent="0.2">
      <c r="A2" s="28" t="s">
        <v>75</v>
      </c>
      <c r="B2" s="3">
        <v>32869</v>
      </c>
      <c r="C2" s="7">
        <v>56219</v>
      </c>
      <c r="D2" s="7">
        <v>57006</v>
      </c>
      <c r="E2" s="3">
        <v>702600</v>
      </c>
      <c r="F2" s="7">
        <v>63658</v>
      </c>
    </row>
    <row r="3" spans="1:7" x14ac:dyDescent="0.2">
      <c r="A3" s="28" t="s">
        <v>27</v>
      </c>
      <c r="B3" s="3">
        <v>25970</v>
      </c>
      <c r="C3" s="7">
        <v>42521</v>
      </c>
      <c r="D3" s="7">
        <v>44332</v>
      </c>
      <c r="E3" s="7">
        <v>68627</v>
      </c>
      <c r="F3" s="7">
        <v>44415</v>
      </c>
    </row>
    <row r="4" spans="1:7" x14ac:dyDescent="0.2">
      <c r="A4" s="28" t="s">
        <v>28</v>
      </c>
      <c r="B4" s="3">
        <v>39798</v>
      </c>
      <c r="C4" s="7">
        <v>100657</v>
      </c>
      <c r="D4" s="7">
        <v>102594</v>
      </c>
      <c r="E4" s="7">
        <v>112550</v>
      </c>
      <c r="F4" s="7">
        <v>102838</v>
      </c>
      <c r="G4" s="1" t="s">
        <v>259</v>
      </c>
    </row>
    <row r="5" spans="1:7" x14ac:dyDescent="0.2">
      <c r="A5" s="28" t="s">
        <v>78</v>
      </c>
      <c r="B5" s="3">
        <v>24488</v>
      </c>
      <c r="C5" s="7">
        <v>30012</v>
      </c>
      <c r="D5" s="7">
        <v>32201</v>
      </c>
      <c r="E5" s="7">
        <v>32098</v>
      </c>
      <c r="F5" s="7">
        <v>32125</v>
      </c>
      <c r="G5" s="1" t="s">
        <v>260</v>
      </c>
    </row>
    <row r="6" spans="1:7" x14ac:dyDescent="0.2">
      <c r="A6" s="28" t="s">
        <v>77</v>
      </c>
      <c r="B6" s="3">
        <v>29569</v>
      </c>
      <c r="C6" s="7">
        <v>52975</v>
      </c>
      <c r="D6" s="7">
        <v>52507</v>
      </c>
      <c r="E6" s="3">
        <v>364200</v>
      </c>
      <c r="F6" s="7">
        <v>54505</v>
      </c>
    </row>
    <row r="7" spans="1:7" x14ac:dyDescent="0.2">
      <c r="A7" s="28" t="s">
        <v>79</v>
      </c>
      <c r="B7" s="3">
        <v>11043</v>
      </c>
      <c r="C7" s="7">
        <v>20051</v>
      </c>
      <c r="D7" s="7">
        <v>20886</v>
      </c>
      <c r="E7" s="3">
        <v>137310</v>
      </c>
      <c r="F7" s="7">
        <v>21456</v>
      </c>
    </row>
    <row r="8" spans="1:7" x14ac:dyDescent="0.2">
      <c r="A8" s="28" t="s">
        <v>81</v>
      </c>
      <c r="B8" s="3">
        <v>38109</v>
      </c>
      <c r="C8" s="7">
        <v>64314</v>
      </c>
      <c r="D8" s="7">
        <v>64337</v>
      </c>
      <c r="E8" s="3">
        <v>491700</v>
      </c>
      <c r="F8" s="7">
        <v>65811</v>
      </c>
    </row>
    <row r="9" spans="1:7" x14ac:dyDescent="0.2">
      <c r="A9" s="28" t="s">
        <v>83</v>
      </c>
      <c r="B9" s="3">
        <v>12007</v>
      </c>
      <c r="C9" s="7">
        <v>20046</v>
      </c>
      <c r="D9" s="7">
        <v>20200</v>
      </c>
      <c r="E9" s="7">
        <v>29961</v>
      </c>
      <c r="F9" s="7">
        <v>20047</v>
      </c>
    </row>
    <row r="10" spans="1:7" x14ac:dyDescent="0.2">
      <c r="A10" s="28" t="s">
        <v>32</v>
      </c>
      <c r="B10" s="3">
        <v>66451</v>
      </c>
      <c r="C10" s="7">
        <v>112016</v>
      </c>
      <c r="D10" s="7">
        <v>116305</v>
      </c>
      <c r="E10" s="3">
        <v>1618600</v>
      </c>
      <c r="F10" s="7">
        <v>129930</v>
      </c>
    </row>
    <row r="11" spans="1:7" x14ac:dyDescent="0.2">
      <c r="A11" s="28" t="s">
        <v>34</v>
      </c>
      <c r="B11" s="3">
        <v>116294</v>
      </c>
      <c r="C11" s="7">
        <v>112234</v>
      </c>
      <c r="D11" s="7">
        <v>117313</v>
      </c>
      <c r="E11" s="7">
        <v>117036</v>
      </c>
      <c r="F11" s="7">
        <v>117419</v>
      </c>
      <c r="G11" s="1" t="s">
        <v>260</v>
      </c>
    </row>
    <row r="12" spans="1:7" x14ac:dyDescent="0.2">
      <c r="A12" s="28" t="s">
        <v>36</v>
      </c>
      <c r="B12" s="3">
        <v>29341</v>
      </c>
      <c r="C12" s="7">
        <v>50118</v>
      </c>
      <c r="D12" s="7">
        <v>52506</v>
      </c>
      <c r="E12" s="3">
        <v>362900</v>
      </c>
      <c r="F12" s="7">
        <v>53796</v>
      </c>
    </row>
    <row r="13" spans="1:7" x14ac:dyDescent="0.2">
      <c r="A13" s="28" t="s">
        <v>37</v>
      </c>
      <c r="B13" s="3">
        <v>11136</v>
      </c>
      <c r="C13" s="7">
        <v>18811</v>
      </c>
      <c r="D13" s="7">
        <v>20806</v>
      </c>
      <c r="E13" s="3">
        <v>137400</v>
      </c>
      <c r="F13" s="7">
        <v>21453</v>
      </c>
    </row>
    <row r="14" spans="1:7" x14ac:dyDescent="0.2">
      <c r="A14" s="28" t="s">
        <v>40</v>
      </c>
      <c r="B14" s="3">
        <v>38181</v>
      </c>
      <c r="C14" s="7">
        <v>61069</v>
      </c>
      <c r="D14" s="7">
        <v>64577</v>
      </c>
      <c r="E14" s="3">
        <v>494100</v>
      </c>
      <c r="F14" s="7">
        <v>65877</v>
      </c>
    </row>
    <row r="15" spans="1:7" x14ac:dyDescent="0.2">
      <c r="A15" s="28" t="s">
        <v>42</v>
      </c>
      <c r="B15" s="3">
        <v>31298</v>
      </c>
      <c r="C15" s="7">
        <v>60957</v>
      </c>
      <c r="D15" s="7">
        <v>62900</v>
      </c>
      <c r="E15" s="7">
        <v>96640</v>
      </c>
      <c r="F15" s="7">
        <v>63540</v>
      </c>
      <c r="G15" s="88" t="s">
        <v>262</v>
      </c>
    </row>
    <row r="16" spans="1:7" x14ac:dyDescent="0.2">
      <c r="B16" s="89"/>
      <c r="C16" s="89"/>
      <c r="D16" s="89"/>
      <c r="E16" s="89"/>
      <c r="F16" s="89"/>
    </row>
    <row r="17" spans="1:10" x14ac:dyDescent="0.2">
      <c r="B17" s="89"/>
      <c r="C17" s="89"/>
      <c r="D17" s="89"/>
      <c r="E17" s="89"/>
      <c r="F17" s="89"/>
    </row>
    <row r="18" spans="1:10" x14ac:dyDescent="0.2">
      <c r="B18" s="89"/>
      <c r="C18" s="89"/>
      <c r="D18" s="89"/>
      <c r="E18" s="89"/>
      <c r="F18" s="89"/>
    </row>
    <row r="21" spans="1:10" x14ac:dyDescent="0.2">
      <c r="A21" s="2" t="s">
        <v>235</v>
      </c>
      <c r="B21" s="2" t="s">
        <v>233</v>
      </c>
      <c r="C21" s="2" t="s">
        <v>265</v>
      </c>
      <c r="D21" s="2" t="s">
        <v>263</v>
      </c>
      <c r="E21" s="2" t="s">
        <v>266</v>
      </c>
      <c r="F21" s="2" t="s">
        <v>264</v>
      </c>
    </row>
    <row r="22" spans="1:10" x14ac:dyDescent="0.2">
      <c r="A22" s="28" t="s">
        <v>269</v>
      </c>
      <c r="B22" s="87">
        <f t="shared" ref="B22:C35" si="0">B2/$B2</f>
        <v>1</v>
      </c>
      <c r="C22" s="87">
        <f t="shared" si="0"/>
        <v>1.7103958136846269</v>
      </c>
      <c r="D22" s="87">
        <f t="shared" ref="D22:F35" si="1">D2/$B2</f>
        <v>1.7343393471051751</v>
      </c>
      <c r="E22" s="87">
        <f t="shared" ref="E22:E35" si="2">E2/$B2</f>
        <v>21.375764398065048</v>
      </c>
      <c r="F22" s="87">
        <f t="shared" si="1"/>
        <v>1.936718488545438</v>
      </c>
      <c r="G22" s="88"/>
      <c r="H22" s="88"/>
      <c r="I22" s="88"/>
      <c r="J22" s="88"/>
    </row>
    <row r="23" spans="1:10" x14ac:dyDescent="0.2">
      <c r="A23" s="28" t="s">
        <v>270</v>
      </c>
      <c r="B23" s="87">
        <f t="shared" si="0"/>
        <v>1</v>
      </c>
      <c r="C23" s="87">
        <f t="shared" si="0"/>
        <v>1.6373122834039275</v>
      </c>
      <c r="D23" s="87">
        <f t="shared" si="1"/>
        <v>1.7070465922217943</v>
      </c>
      <c r="E23" s="87">
        <f t="shared" si="2"/>
        <v>2.6425490951097421</v>
      </c>
      <c r="F23" s="87">
        <f t="shared" si="1"/>
        <v>1.7102425876010781</v>
      </c>
      <c r="G23" s="88"/>
      <c r="H23" s="88"/>
      <c r="I23" s="88"/>
      <c r="J23" s="88"/>
    </row>
    <row r="24" spans="1:10" x14ac:dyDescent="0.2">
      <c r="A24" s="28" t="s">
        <v>271</v>
      </c>
      <c r="B24" s="87">
        <f t="shared" si="0"/>
        <v>1</v>
      </c>
      <c r="C24" s="87">
        <f t="shared" si="0"/>
        <v>2.5291974471078951</v>
      </c>
      <c r="D24" s="87">
        <f t="shared" si="1"/>
        <v>2.5778682345846526</v>
      </c>
      <c r="E24" s="87">
        <f t="shared" si="2"/>
        <v>2.8280315593748431</v>
      </c>
      <c r="F24" s="87">
        <f t="shared" si="1"/>
        <v>2.5839991959394943</v>
      </c>
      <c r="G24" s="88"/>
      <c r="H24" s="88"/>
      <c r="I24" s="88"/>
      <c r="J24" s="88"/>
    </row>
    <row r="25" spans="1:10" x14ac:dyDescent="0.2">
      <c r="A25" s="28" t="s">
        <v>272</v>
      </c>
      <c r="B25" s="87">
        <f t="shared" si="0"/>
        <v>1</v>
      </c>
      <c r="C25" s="87">
        <f t="shared" si="0"/>
        <v>1.2255798758575629</v>
      </c>
      <c r="D25" s="87">
        <f t="shared" si="1"/>
        <v>1.314970597843842</v>
      </c>
      <c r="E25" s="87">
        <f t="shared" si="2"/>
        <v>1.310764456060111</v>
      </c>
      <c r="F25" s="87">
        <f t="shared" si="1"/>
        <v>1.3118670369160406</v>
      </c>
      <c r="G25" s="88"/>
      <c r="H25" s="88"/>
      <c r="I25" s="88"/>
      <c r="J25" s="88"/>
    </row>
    <row r="26" spans="1:10" x14ac:dyDescent="0.2">
      <c r="A26" s="28" t="s">
        <v>273</v>
      </c>
      <c r="B26" s="87">
        <f t="shared" si="0"/>
        <v>1</v>
      </c>
      <c r="C26" s="87">
        <f t="shared" si="0"/>
        <v>1.7915722547262336</v>
      </c>
      <c r="D26" s="87">
        <f t="shared" si="1"/>
        <v>1.7757448679360142</v>
      </c>
      <c r="E26" s="87">
        <f t="shared" si="2"/>
        <v>12.316953566234908</v>
      </c>
      <c r="F26" s="87">
        <f t="shared" si="1"/>
        <v>1.8433156346173358</v>
      </c>
      <c r="G26" s="88"/>
      <c r="H26" s="88"/>
      <c r="I26" s="88"/>
      <c r="J26" s="88"/>
    </row>
    <row r="27" spans="1:10" x14ac:dyDescent="0.2">
      <c r="A27" s="28" t="s">
        <v>274</v>
      </c>
      <c r="B27" s="87">
        <f t="shared" si="0"/>
        <v>1</v>
      </c>
      <c r="C27" s="87">
        <f t="shared" si="0"/>
        <v>1.8157203658426153</v>
      </c>
      <c r="D27" s="87">
        <f t="shared" si="1"/>
        <v>1.89133387666395</v>
      </c>
      <c r="E27" s="87">
        <f t="shared" si="2"/>
        <v>12.43412116272752</v>
      </c>
      <c r="F27" s="87">
        <f t="shared" si="1"/>
        <v>1.9429502852485738</v>
      </c>
      <c r="G27" s="88"/>
      <c r="H27" s="88"/>
      <c r="I27" s="88"/>
      <c r="J27" s="88"/>
    </row>
    <row r="28" spans="1:10" x14ac:dyDescent="0.2">
      <c r="A28" s="28" t="s">
        <v>275</v>
      </c>
      <c r="B28" s="87">
        <f t="shared" si="0"/>
        <v>1</v>
      </c>
      <c r="C28" s="87">
        <f t="shared" si="0"/>
        <v>1.687632842635598</v>
      </c>
      <c r="D28" s="87">
        <f t="shared" si="1"/>
        <v>1.6882363746096722</v>
      </c>
      <c r="E28" s="87">
        <f t="shared" si="2"/>
        <v>12.902463984885459</v>
      </c>
      <c r="F28" s="87">
        <f t="shared" si="1"/>
        <v>1.7269149019916554</v>
      </c>
      <c r="G28" s="88"/>
      <c r="H28" s="88"/>
      <c r="I28" s="88"/>
      <c r="J28" s="88"/>
    </row>
    <row r="29" spans="1:10" x14ac:dyDescent="0.2">
      <c r="A29" s="28" t="s">
        <v>276</v>
      </c>
      <c r="B29" s="87">
        <f t="shared" si="0"/>
        <v>1</v>
      </c>
      <c r="C29" s="87">
        <f t="shared" si="0"/>
        <v>1.6695261097693013</v>
      </c>
      <c r="D29" s="87">
        <f t="shared" si="1"/>
        <v>1.6823519613558757</v>
      </c>
      <c r="E29" s="87">
        <f t="shared" si="2"/>
        <v>2.4952944115932372</v>
      </c>
      <c r="F29" s="87">
        <f t="shared" si="1"/>
        <v>1.6696093945198633</v>
      </c>
      <c r="G29" s="88"/>
      <c r="H29" s="88"/>
      <c r="I29" s="88"/>
      <c r="J29" s="88"/>
    </row>
    <row r="30" spans="1:10" x14ac:dyDescent="0.2">
      <c r="A30" s="28" t="s">
        <v>7</v>
      </c>
      <c r="B30" s="87">
        <f t="shared" si="0"/>
        <v>1</v>
      </c>
      <c r="C30" s="87">
        <f t="shared" si="0"/>
        <v>1.6856932175588026</v>
      </c>
      <c r="D30" s="87">
        <f t="shared" si="1"/>
        <v>1.7502370167491836</v>
      </c>
      <c r="E30" s="87">
        <f t="shared" si="2"/>
        <v>24.357797474831077</v>
      </c>
      <c r="F30" s="87">
        <f t="shared" si="1"/>
        <v>1.9552753156461151</v>
      </c>
      <c r="G30" s="88"/>
      <c r="H30" s="88"/>
      <c r="I30" s="88"/>
      <c r="J30" s="88"/>
    </row>
    <row r="31" spans="1:10" x14ac:dyDescent="0.2">
      <c r="A31" s="28" t="s">
        <v>9</v>
      </c>
      <c r="B31" s="87">
        <f t="shared" si="0"/>
        <v>1</v>
      </c>
      <c r="C31" s="87">
        <f t="shared" si="0"/>
        <v>0.96508848263882918</v>
      </c>
      <c r="D31" s="87">
        <f t="shared" si="1"/>
        <v>1.0087622749238998</v>
      </c>
      <c r="E31" s="87">
        <f t="shared" si="2"/>
        <v>1.0063803807591105</v>
      </c>
      <c r="F31" s="87">
        <f t="shared" si="1"/>
        <v>1.009673757889487</v>
      </c>
      <c r="G31" s="88"/>
      <c r="H31" s="88"/>
      <c r="I31" s="88"/>
      <c r="J31" s="88"/>
    </row>
    <row r="32" spans="1:10" x14ac:dyDescent="0.2">
      <c r="A32" s="28" t="s">
        <v>11</v>
      </c>
      <c r="B32" s="87">
        <f t="shared" si="0"/>
        <v>1</v>
      </c>
      <c r="C32" s="87">
        <f t="shared" si="0"/>
        <v>1.7081217409086262</v>
      </c>
      <c r="D32" s="87">
        <f t="shared" si="1"/>
        <v>1.7895095600013633</v>
      </c>
      <c r="E32" s="87">
        <f t="shared" si="2"/>
        <v>12.368358269997614</v>
      </c>
      <c r="F32" s="87">
        <f t="shared" si="1"/>
        <v>1.8334753416720631</v>
      </c>
      <c r="G32" s="88"/>
      <c r="H32" s="88"/>
      <c r="I32" s="88"/>
      <c r="J32" s="88"/>
    </row>
    <row r="33" spans="1:11" x14ac:dyDescent="0.2">
      <c r="A33" s="28" t="s">
        <v>12</v>
      </c>
      <c r="B33" s="87">
        <f t="shared" si="0"/>
        <v>1</v>
      </c>
      <c r="C33" s="87">
        <f t="shared" si="0"/>
        <v>1.6892061781609196</v>
      </c>
      <c r="D33" s="87">
        <f t="shared" si="1"/>
        <v>1.8683548850574712</v>
      </c>
      <c r="E33" s="87">
        <f t="shared" si="2"/>
        <v>12.338362068965518</v>
      </c>
      <c r="F33" s="87">
        <f t="shared" si="1"/>
        <v>1.9264547413793103</v>
      </c>
    </row>
    <row r="34" spans="1:11" x14ac:dyDescent="0.2">
      <c r="A34" s="28" t="s">
        <v>15</v>
      </c>
      <c r="B34" s="87">
        <f t="shared" si="0"/>
        <v>1</v>
      </c>
      <c r="C34" s="87">
        <f t="shared" si="0"/>
        <v>1.599460464629004</v>
      </c>
      <c r="D34" s="87">
        <f t="shared" si="1"/>
        <v>1.6913386239228936</v>
      </c>
      <c r="E34" s="87">
        <f t="shared" si="2"/>
        <v>12.940991592676985</v>
      </c>
      <c r="F34" s="87">
        <f t="shared" si="1"/>
        <v>1.7253869725779838</v>
      </c>
    </row>
    <row r="35" spans="1:11" x14ac:dyDescent="0.2">
      <c r="A35" s="28" t="s">
        <v>17</v>
      </c>
      <c r="B35" s="87">
        <f t="shared" si="0"/>
        <v>1</v>
      </c>
      <c r="C35" s="87">
        <f t="shared" si="0"/>
        <v>1.9476324365774171</v>
      </c>
      <c r="D35" s="87">
        <f t="shared" si="1"/>
        <v>2.0097130807080323</v>
      </c>
      <c r="E35" s="87">
        <f t="shared" si="2"/>
        <v>3.087737235606109</v>
      </c>
      <c r="F35" s="87">
        <f t="shared" si="1"/>
        <v>2.0301616716723112</v>
      </c>
    </row>
    <row r="36" spans="1:11" x14ac:dyDescent="0.2">
      <c r="A36" s="2" t="s">
        <v>226</v>
      </c>
      <c r="B36" s="87">
        <f t="shared" ref="B36:C36" si="3">GEOMEAN(B22:B35)</f>
        <v>1</v>
      </c>
      <c r="C36" s="87">
        <f t="shared" si="3"/>
        <v>1.6556977008480984</v>
      </c>
      <c r="D36" s="87">
        <f>GEOMEAN(D22:D35)</f>
        <v>1.716072489700305</v>
      </c>
      <c r="E36" s="87">
        <f>GEOMEAN(E22:E35)</f>
        <v>6.2975928485938155</v>
      </c>
      <c r="F36" s="87">
        <f>GEOMEAN(F22:F35)</f>
        <v>1.7643230843716435</v>
      </c>
      <c r="G36" s="99">
        <f>E36/F36</f>
        <v>3.56941021991824</v>
      </c>
    </row>
    <row r="37" spans="1:11" x14ac:dyDescent="0.2">
      <c r="B37" s="88"/>
      <c r="C37" s="88"/>
      <c r="D37" s="88"/>
      <c r="E37" s="88"/>
      <c r="F37" s="88"/>
      <c r="G37" s="1">
        <f>D36/C36</f>
        <v>1.0364648624089294</v>
      </c>
    </row>
    <row r="38" spans="1:11" x14ac:dyDescent="0.2">
      <c r="B38" s="88"/>
      <c r="C38" s="88"/>
      <c r="D38" s="88"/>
      <c r="F38" s="88"/>
    </row>
    <row r="41" spans="1:11" x14ac:dyDescent="0.2">
      <c r="G41" s="1" t="s">
        <v>292</v>
      </c>
    </row>
    <row r="42" spans="1:11" x14ac:dyDescent="0.2">
      <c r="A42" s="2" t="s">
        <v>236</v>
      </c>
      <c r="B42" s="90" t="s">
        <v>233</v>
      </c>
      <c r="C42" s="2" t="s">
        <v>265</v>
      </c>
      <c r="D42" s="2" t="s">
        <v>263</v>
      </c>
      <c r="E42" s="2" t="s">
        <v>266</v>
      </c>
      <c r="F42" s="2" t="s">
        <v>264</v>
      </c>
      <c r="G42" s="2" t="s">
        <v>265</v>
      </c>
      <c r="H42" s="2" t="s">
        <v>263</v>
      </c>
      <c r="I42" s="2" t="s">
        <v>266</v>
      </c>
      <c r="J42" s="2" t="s">
        <v>264</v>
      </c>
    </row>
    <row r="43" spans="1:11" x14ac:dyDescent="0.2">
      <c r="A43" s="28" t="s">
        <v>269</v>
      </c>
      <c r="B43" s="3">
        <v>623988</v>
      </c>
      <c r="C43" s="3">
        <v>625992</v>
      </c>
      <c r="D43" s="3">
        <v>625828</v>
      </c>
      <c r="E43" s="3">
        <v>625968</v>
      </c>
      <c r="F43" s="3">
        <v>625804</v>
      </c>
      <c r="G43" s="87">
        <f>(C43-$B43)/1024</f>
        <v>1.95703125</v>
      </c>
      <c r="H43" s="87">
        <f>(D43-$B43)/1024</f>
        <v>1.796875</v>
      </c>
      <c r="I43" s="87">
        <f>(E43-$B43)/1024</f>
        <v>1.93359375</v>
      </c>
      <c r="J43" s="87">
        <f>(F43-$B43)/1024</f>
        <v>1.7734375</v>
      </c>
      <c r="K43" s="93"/>
    </row>
    <row r="44" spans="1:11" x14ac:dyDescent="0.2">
      <c r="A44" s="28" t="s">
        <v>270</v>
      </c>
      <c r="B44" s="3">
        <v>166548</v>
      </c>
      <c r="C44" s="3">
        <v>167016</v>
      </c>
      <c r="D44" s="3">
        <v>167076</v>
      </c>
      <c r="E44" s="3">
        <v>167796</v>
      </c>
      <c r="F44" s="3">
        <v>167020</v>
      </c>
      <c r="G44" s="87">
        <f t="shared" ref="G44:G55" si="4">(C44-$B44)/1024</f>
        <v>0.45703125</v>
      </c>
      <c r="H44" s="87">
        <f t="shared" ref="H44:H55" si="5">(D44-$B44)/1024</f>
        <v>0.515625</v>
      </c>
      <c r="I44" s="87">
        <f t="shared" ref="I44:I55" si="6">(E44-$B44)/1024</f>
        <v>1.21875</v>
      </c>
      <c r="J44" s="87">
        <f t="shared" ref="J44:J55" si="7">(F44-$B44)/1024</f>
        <v>0.4609375</v>
      </c>
      <c r="K44" s="93"/>
    </row>
    <row r="45" spans="1:11" x14ac:dyDescent="0.2">
      <c r="A45" s="28" t="s">
        <v>271</v>
      </c>
      <c r="B45" s="3">
        <v>424120</v>
      </c>
      <c r="C45" s="3">
        <v>425676</v>
      </c>
      <c r="D45" s="3">
        <v>425304</v>
      </c>
      <c r="E45" s="3">
        <v>427916</v>
      </c>
      <c r="F45" s="3">
        <v>425328</v>
      </c>
      <c r="G45" s="87">
        <f t="shared" si="4"/>
        <v>1.51953125</v>
      </c>
      <c r="H45" s="87">
        <f t="shared" si="5"/>
        <v>1.15625</v>
      </c>
      <c r="I45" s="87">
        <f t="shared" si="6"/>
        <v>3.70703125</v>
      </c>
      <c r="J45" s="87">
        <f t="shared" si="7"/>
        <v>1.1796875</v>
      </c>
      <c r="K45" s="93"/>
    </row>
    <row r="46" spans="1:11" x14ac:dyDescent="0.2">
      <c r="A46" s="28" t="s">
        <v>272</v>
      </c>
      <c r="B46" s="3">
        <v>420396</v>
      </c>
      <c r="C46" s="3">
        <v>422404</v>
      </c>
      <c r="D46" s="3">
        <v>422024</v>
      </c>
      <c r="E46" s="3">
        <v>422488</v>
      </c>
      <c r="F46" s="3">
        <v>422052</v>
      </c>
      <c r="G46" s="87">
        <f t="shared" si="4"/>
        <v>1.9609375</v>
      </c>
      <c r="H46" s="87">
        <f t="shared" si="5"/>
        <v>1.58984375</v>
      </c>
      <c r="I46" s="87">
        <f t="shared" si="6"/>
        <v>2.04296875</v>
      </c>
      <c r="J46" s="87">
        <f t="shared" si="7"/>
        <v>1.6171875</v>
      </c>
      <c r="K46" s="93"/>
    </row>
    <row r="47" spans="1:11" x14ac:dyDescent="0.2">
      <c r="A47" s="28" t="s">
        <v>273</v>
      </c>
      <c r="B47" s="3">
        <v>490640</v>
      </c>
      <c r="C47" s="3">
        <v>495192</v>
      </c>
      <c r="D47" s="3">
        <v>494404</v>
      </c>
      <c r="E47" s="3">
        <v>504596</v>
      </c>
      <c r="F47" s="3">
        <v>494656</v>
      </c>
      <c r="G47" s="87">
        <f t="shared" si="4"/>
        <v>4.4453125</v>
      </c>
      <c r="H47" s="87">
        <f t="shared" si="5"/>
        <v>3.67578125</v>
      </c>
      <c r="I47" s="87">
        <f t="shared" si="6"/>
        <v>13.62890625</v>
      </c>
      <c r="J47" s="87">
        <f t="shared" si="7"/>
        <v>3.921875</v>
      </c>
      <c r="K47" s="93"/>
    </row>
    <row r="48" spans="1:11" x14ac:dyDescent="0.2">
      <c r="A48" s="28" t="s">
        <v>274</v>
      </c>
      <c r="B48" s="3">
        <v>159952</v>
      </c>
      <c r="C48" s="3">
        <v>162632</v>
      </c>
      <c r="D48" s="3">
        <v>162452</v>
      </c>
      <c r="E48" s="3">
        <v>167692</v>
      </c>
      <c r="F48" s="3">
        <v>162660</v>
      </c>
      <c r="G48" s="87">
        <f t="shared" si="4"/>
        <v>2.6171875</v>
      </c>
      <c r="H48" s="87">
        <f t="shared" si="5"/>
        <v>2.44140625</v>
      </c>
      <c r="I48" s="87">
        <f t="shared" si="6"/>
        <v>7.55859375</v>
      </c>
      <c r="J48" s="87">
        <f t="shared" si="7"/>
        <v>2.64453125</v>
      </c>
      <c r="K48" s="93"/>
    </row>
    <row r="49" spans="1:11" x14ac:dyDescent="0.2">
      <c r="A49" s="28" t="s">
        <v>275</v>
      </c>
      <c r="B49" s="3">
        <v>27644</v>
      </c>
      <c r="C49" s="3">
        <v>28364</v>
      </c>
      <c r="D49" s="3">
        <v>28308</v>
      </c>
      <c r="E49" s="3">
        <v>29636</v>
      </c>
      <c r="F49" s="3">
        <v>28296</v>
      </c>
      <c r="G49" s="87">
        <f t="shared" si="4"/>
        <v>0.703125</v>
      </c>
      <c r="H49" s="87">
        <f t="shared" si="5"/>
        <v>0.6484375</v>
      </c>
      <c r="I49" s="87">
        <f t="shared" si="6"/>
        <v>1.9453125</v>
      </c>
      <c r="J49" s="87">
        <f t="shared" si="7"/>
        <v>0.63671875</v>
      </c>
      <c r="K49" s="93"/>
    </row>
    <row r="50" spans="1:11" x14ac:dyDescent="0.2">
      <c r="A50" s="28" t="s">
        <v>276</v>
      </c>
      <c r="B50" s="3">
        <v>743004</v>
      </c>
      <c r="C50" s="3">
        <v>745468</v>
      </c>
      <c r="D50" s="3">
        <v>745384</v>
      </c>
      <c r="E50" s="3">
        <v>745992</v>
      </c>
      <c r="F50" s="3">
        <v>745524</v>
      </c>
      <c r="G50" s="87">
        <f t="shared" si="4"/>
        <v>2.40625</v>
      </c>
      <c r="H50" s="87">
        <f t="shared" si="5"/>
        <v>2.32421875</v>
      </c>
      <c r="I50" s="87">
        <f t="shared" si="6"/>
        <v>2.91796875</v>
      </c>
      <c r="J50" s="87">
        <f t="shared" si="7"/>
        <v>2.4609375</v>
      </c>
      <c r="K50" s="93"/>
    </row>
    <row r="51" spans="1:11" x14ac:dyDescent="0.2">
      <c r="A51" s="28" t="s">
        <v>7</v>
      </c>
      <c r="B51" s="3">
        <v>4056652</v>
      </c>
      <c r="C51" s="3">
        <v>4058360</v>
      </c>
      <c r="D51" s="3">
        <v>4058224</v>
      </c>
      <c r="E51" s="3">
        <v>4058448</v>
      </c>
      <c r="F51" s="3">
        <v>4058300</v>
      </c>
      <c r="G51" s="87">
        <f t="shared" si="4"/>
        <v>1.66796875</v>
      </c>
      <c r="H51" s="87">
        <f t="shared" si="5"/>
        <v>1.53515625</v>
      </c>
      <c r="I51" s="87">
        <f t="shared" si="6"/>
        <v>1.75390625</v>
      </c>
      <c r="J51" s="87">
        <f t="shared" si="7"/>
        <v>1.609375</v>
      </c>
      <c r="K51" s="93"/>
    </row>
    <row r="52" spans="1:11" x14ac:dyDescent="0.2">
      <c r="A52" s="28" t="s">
        <v>9</v>
      </c>
      <c r="B52" s="3">
        <v>3302240</v>
      </c>
      <c r="C52" s="3">
        <v>3303732</v>
      </c>
      <c r="D52" s="3">
        <v>3303668</v>
      </c>
      <c r="E52" s="3">
        <v>3303936</v>
      </c>
      <c r="F52" s="3">
        <v>3303576</v>
      </c>
      <c r="G52" s="87">
        <f t="shared" si="4"/>
        <v>1.45703125</v>
      </c>
      <c r="H52" s="87">
        <f t="shared" si="5"/>
        <v>1.39453125</v>
      </c>
      <c r="I52" s="87">
        <f t="shared" si="6"/>
        <v>1.65625</v>
      </c>
      <c r="J52" s="87">
        <f t="shared" si="7"/>
        <v>1.3046875</v>
      </c>
      <c r="K52" s="93"/>
    </row>
    <row r="53" spans="1:11" x14ac:dyDescent="0.2">
      <c r="A53" s="28" t="s">
        <v>11</v>
      </c>
      <c r="B53" s="3">
        <v>491012</v>
      </c>
      <c r="C53" s="3">
        <v>495100</v>
      </c>
      <c r="D53" s="3">
        <v>494452</v>
      </c>
      <c r="E53" s="3">
        <v>504536</v>
      </c>
      <c r="F53" s="3">
        <v>494664</v>
      </c>
      <c r="G53" s="87">
        <f t="shared" si="4"/>
        <v>3.9921875</v>
      </c>
      <c r="H53" s="87">
        <f t="shared" si="5"/>
        <v>3.359375</v>
      </c>
      <c r="I53" s="87">
        <f t="shared" si="6"/>
        <v>13.20703125</v>
      </c>
      <c r="J53" s="87">
        <f t="shared" si="7"/>
        <v>3.56640625</v>
      </c>
      <c r="K53" s="93"/>
    </row>
    <row r="54" spans="1:11" x14ac:dyDescent="0.2">
      <c r="A54" s="28" t="s">
        <v>12</v>
      </c>
      <c r="B54" s="3">
        <v>160200</v>
      </c>
      <c r="C54" s="3">
        <v>162660</v>
      </c>
      <c r="D54" s="3">
        <v>162604</v>
      </c>
      <c r="E54" s="3">
        <v>167592</v>
      </c>
      <c r="F54" s="3">
        <v>162624</v>
      </c>
      <c r="G54" s="87">
        <f t="shared" si="4"/>
        <v>2.40234375</v>
      </c>
      <c r="H54" s="87">
        <f t="shared" si="5"/>
        <v>2.34765625</v>
      </c>
      <c r="I54" s="87">
        <f t="shared" si="6"/>
        <v>7.21875</v>
      </c>
      <c r="J54" s="87">
        <f t="shared" si="7"/>
        <v>2.3671875</v>
      </c>
      <c r="K54" s="93"/>
    </row>
    <row r="55" spans="1:11" x14ac:dyDescent="0.2">
      <c r="A55" s="28" t="s">
        <v>15</v>
      </c>
      <c r="B55" s="3">
        <v>28044</v>
      </c>
      <c r="C55" s="3">
        <v>28424</v>
      </c>
      <c r="D55" s="3">
        <v>28240</v>
      </c>
      <c r="E55" s="3">
        <v>28596</v>
      </c>
      <c r="F55" s="3">
        <v>28292</v>
      </c>
      <c r="G55" s="87">
        <f t="shared" si="4"/>
        <v>0.37109375</v>
      </c>
      <c r="H55" s="87">
        <f t="shared" si="5"/>
        <v>0.19140625</v>
      </c>
      <c r="I55" s="87">
        <f t="shared" si="6"/>
        <v>0.5390625</v>
      </c>
      <c r="J55" s="87">
        <f t="shared" si="7"/>
        <v>0.2421875</v>
      </c>
      <c r="K55" s="93"/>
    </row>
    <row r="56" spans="1:11" x14ac:dyDescent="0.2">
      <c r="A56" s="28" t="s">
        <v>17</v>
      </c>
      <c r="B56" s="3">
        <v>15206648</v>
      </c>
      <c r="C56" s="3">
        <v>15655200</v>
      </c>
      <c r="D56" s="3">
        <v>15219108</v>
      </c>
      <c r="E56" s="3">
        <v>15701212</v>
      </c>
      <c r="F56" s="3">
        <v>15481592</v>
      </c>
      <c r="G56" s="97">
        <v>37</v>
      </c>
      <c r="H56" s="97">
        <v>20</v>
      </c>
      <c r="I56" s="97">
        <v>53</v>
      </c>
      <c r="J56" s="97">
        <v>21</v>
      </c>
      <c r="K56" s="97"/>
    </row>
    <row r="57" spans="1:11" x14ac:dyDescent="0.2">
      <c r="A57" s="1" t="s">
        <v>170</v>
      </c>
      <c r="B57" s="89"/>
      <c r="C57" s="89"/>
      <c r="D57" s="89"/>
      <c r="E57" s="89"/>
      <c r="F57" s="89"/>
      <c r="G57" s="1">
        <f>GEOMEAN(G44:G56)</f>
        <v>2.0071073887898203</v>
      </c>
      <c r="H57" s="1">
        <f>GEOMEAN(H44:H56)</f>
        <v>1.6768233082029504</v>
      </c>
      <c r="I57" s="1">
        <f>GEOMEAN(I44:I56)</f>
        <v>3.8633201472775025</v>
      </c>
      <c r="J57" s="1">
        <f>GEOMEAN(J44:J56)</f>
        <v>1.7347434435459339</v>
      </c>
    </row>
    <row r="58" spans="1:11" x14ac:dyDescent="0.2">
      <c r="B58" s="89"/>
      <c r="C58" s="89"/>
      <c r="D58" s="89"/>
      <c r="E58" s="89"/>
      <c r="F58" s="89"/>
    </row>
    <row r="59" spans="1:11" x14ac:dyDescent="0.2">
      <c r="B59" s="89"/>
      <c r="C59" s="89"/>
      <c r="D59" s="89"/>
      <c r="E59" s="89"/>
      <c r="F59" s="89"/>
    </row>
    <row r="61" spans="1:11" x14ac:dyDescent="0.2">
      <c r="A61" s="2" t="s">
        <v>236</v>
      </c>
      <c r="B61" s="90" t="s">
        <v>233</v>
      </c>
      <c r="C61" s="2" t="s">
        <v>265</v>
      </c>
      <c r="D61" s="2" t="s">
        <v>263</v>
      </c>
      <c r="E61" s="2" t="s">
        <v>266</v>
      </c>
      <c r="F61" s="2" t="s">
        <v>264</v>
      </c>
    </row>
    <row r="62" spans="1:11" x14ac:dyDescent="0.2">
      <c r="A62" s="28" t="s">
        <v>269</v>
      </c>
      <c r="B62" s="100">
        <f t="shared" ref="B62:C75" si="8">B43/$B43</f>
        <v>1</v>
      </c>
      <c r="C62" s="100">
        <f t="shared" si="8"/>
        <v>1.0032116002230813</v>
      </c>
      <c r="D62" s="100">
        <f t="shared" ref="D62:F75" si="9">D43/$B43</f>
        <v>1.0029487746559229</v>
      </c>
      <c r="E62" s="100">
        <f t="shared" ref="E62:E75" si="10">E43/$B43</f>
        <v>1.0031731379449604</v>
      </c>
      <c r="F62" s="100">
        <f t="shared" si="9"/>
        <v>1.002910312377802</v>
      </c>
    </row>
    <row r="63" spans="1:11" x14ac:dyDescent="0.2">
      <c r="A63" s="28" t="s">
        <v>270</v>
      </c>
      <c r="B63" s="100">
        <f t="shared" si="8"/>
        <v>1</v>
      </c>
      <c r="C63" s="100">
        <f t="shared" si="8"/>
        <v>1.002810000720513</v>
      </c>
      <c r="D63" s="100">
        <f t="shared" si="9"/>
        <v>1.0031702572231429</v>
      </c>
      <c r="E63" s="100">
        <f t="shared" si="10"/>
        <v>1.0074933352547013</v>
      </c>
      <c r="F63" s="100">
        <f t="shared" si="9"/>
        <v>1.0028340178206883</v>
      </c>
    </row>
    <row r="64" spans="1:11" x14ac:dyDescent="0.2">
      <c r="A64" s="28" t="s">
        <v>271</v>
      </c>
      <c r="B64" s="100">
        <f t="shared" si="8"/>
        <v>1</v>
      </c>
      <c r="C64" s="100">
        <f t="shared" si="8"/>
        <v>1.0036687729887768</v>
      </c>
      <c r="D64" s="100">
        <f t="shared" si="9"/>
        <v>1.0027916627369613</v>
      </c>
      <c r="E64" s="100">
        <f t="shared" si="10"/>
        <v>1.0089502970857305</v>
      </c>
      <c r="F64" s="100">
        <f t="shared" si="9"/>
        <v>1.0028482504951428</v>
      </c>
    </row>
    <row r="65" spans="1:6" x14ac:dyDescent="0.2">
      <c r="A65" s="28" t="s">
        <v>272</v>
      </c>
      <c r="B65" s="100">
        <f t="shared" si="8"/>
        <v>1</v>
      </c>
      <c r="C65" s="100">
        <f t="shared" si="8"/>
        <v>1.0047764488720159</v>
      </c>
      <c r="D65" s="100">
        <f t="shared" si="9"/>
        <v>1.0038725392249213</v>
      </c>
      <c r="E65" s="100">
        <f t="shared" si="10"/>
        <v>1.0049762604782158</v>
      </c>
      <c r="F65" s="100">
        <f t="shared" si="9"/>
        <v>1.0039391430936546</v>
      </c>
    </row>
    <row r="66" spans="1:6" x14ac:dyDescent="0.2">
      <c r="A66" s="28" t="s">
        <v>273</v>
      </c>
      <c r="B66" s="100">
        <f t="shared" si="8"/>
        <v>1</v>
      </c>
      <c r="C66" s="100">
        <f t="shared" si="8"/>
        <v>1.0092776781346813</v>
      </c>
      <c r="D66" s="100">
        <f t="shared" si="9"/>
        <v>1.0076716125876406</v>
      </c>
      <c r="E66" s="100">
        <f t="shared" si="10"/>
        <v>1.0284444806782977</v>
      </c>
      <c r="F66" s="100">
        <f t="shared" si="9"/>
        <v>1.0081852274580141</v>
      </c>
    </row>
    <row r="67" spans="1:6" x14ac:dyDescent="0.2">
      <c r="A67" s="28" t="s">
        <v>274</v>
      </c>
      <c r="B67" s="100">
        <f t="shared" si="8"/>
        <v>1</v>
      </c>
      <c r="C67" s="100">
        <f t="shared" si="8"/>
        <v>1.0167550265079524</v>
      </c>
      <c r="D67" s="100">
        <f t="shared" si="9"/>
        <v>1.015629688906672</v>
      </c>
      <c r="E67" s="100">
        <f t="shared" si="10"/>
        <v>1.0483895168550565</v>
      </c>
      <c r="F67" s="100">
        <f t="shared" si="9"/>
        <v>1.016930079023707</v>
      </c>
    </row>
    <row r="68" spans="1:6" x14ac:dyDescent="0.2">
      <c r="A68" s="28" t="s">
        <v>275</v>
      </c>
      <c r="B68" s="100">
        <f t="shared" si="8"/>
        <v>1</v>
      </c>
      <c r="C68" s="100">
        <f t="shared" si="8"/>
        <v>1.0260454348140646</v>
      </c>
      <c r="D68" s="100">
        <f t="shared" si="9"/>
        <v>1.0240196787729707</v>
      </c>
      <c r="E68" s="100">
        <f t="shared" si="10"/>
        <v>1.072059036318912</v>
      </c>
      <c r="F68" s="100">
        <f t="shared" si="9"/>
        <v>1.0235855881927363</v>
      </c>
    </row>
    <row r="69" spans="1:6" x14ac:dyDescent="0.2">
      <c r="A69" s="28" t="s">
        <v>276</v>
      </c>
      <c r="B69" s="100">
        <f t="shared" si="8"/>
        <v>1</v>
      </c>
      <c r="C69" s="100">
        <f t="shared" si="8"/>
        <v>1.0033162674763527</v>
      </c>
      <c r="D69" s="100">
        <f t="shared" si="9"/>
        <v>1.0032032129032953</v>
      </c>
      <c r="E69" s="100">
        <f t="shared" si="10"/>
        <v>1.0040215126701875</v>
      </c>
      <c r="F69" s="100">
        <f t="shared" si="9"/>
        <v>1.0033916371917244</v>
      </c>
    </row>
    <row r="70" spans="1:6" x14ac:dyDescent="0.2">
      <c r="A70" s="28" t="s">
        <v>7</v>
      </c>
      <c r="B70" s="100">
        <f t="shared" si="8"/>
        <v>1</v>
      </c>
      <c r="C70" s="100">
        <f t="shared" si="8"/>
        <v>1.0004210368550224</v>
      </c>
      <c r="D70" s="100">
        <f t="shared" si="9"/>
        <v>1.0003875116721868</v>
      </c>
      <c r="E70" s="100">
        <f t="shared" si="10"/>
        <v>1.0004427296203864</v>
      </c>
      <c r="F70" s="100">
        <f t="shared" si="9"/>
        <v>1.0004062463331831</v>
      </c>
    </row>
    <row r="71" spans="1:6" x14ac:dyDescent="0.2">
      <c r="A71" s="28" t="s">
        <v>9</v>
      </c>
      <c r="B71" s="100">
        <f t="shared" si="8"/>
        <v>1</v>
      </c>
      <c r="C71" s="100">
        <f t="shared" si="8"/>
        <v>1.0004518145258976</v>
      </c>
      <c r="D71" s="100">
        <f t="shared" si="9"/>
        <v>1.0004324337419448</v>
      </c>
      <c r="E71" s="100">
        <f t="shared" si="10"/>
        <v>1.0005135907747469</v>
      </c>
      <c r="F71" s="100">
        <f t="shared" si="9"/>
        <v>1.0004045738650129</v>
      </c>
    </row>
    <row r="72" spans="1:6" x14ac:dyDescent="0.2">
      <c r="A72" s="28" t="s">
        <v>11</v>
      </c>
      <c r="B72" s="100">
        <f t="shared" si="8"/>
        <v>1</v>
      </c>
      <c r="C72" s="100">
        <f t="shared" si="8"/>
        <v>1.0083256621019445</v>
      </c>
      <c r="D72" s="100">
        <f t="shared" si="9"/>
        <v>1.0070059387550609</v>
      </c>
      <c r="E72" s="100">
        <f t="shared" si="10"/>
        <v>1.0275431150358851</v>
      </c>
      <c r="F72" s="100">
        <f t="shared" si="9"/>
        <v>1.0074377000969426</v>
      </c>
    </row>
    <row r="73" spans="1:6" x14ac:dyDescent="0.2">
      <c r="A73" s="28" t="s">
        <v>12</v>
      </c>
      <c r="B73" s="100">
        <f t="shared" si="8"/>
        <v>1</v>
      </c>
      <c r="C73" s="100">
        <f t="shared" si="8"/>
        <v>1.0153558052434457</v>
      </c>
      <c r="D73" s="100">
        <f t="shared" si="9"/>
        <v>1.0150062421972534</v>
      </c>
      <c r="E73" s="100">
        <f t="shared" si="10"/>
        <v>1.0461423220973782</v>
      </c>
      <c r="F73" s="100">
        <f t="shared" si="9"/>
        <v>1.0151310861423222</v>
      </c>
    </row>
    <row r="74" spans="1:6" x14ac:dyDescent="0.2">
      <c r="A74" s="28" t="s">
        <v>15</v>
      </c>
      <c r="B74" s="100">
        <f t="shared" si="8"/>
        <v>1</v>
      </c>
      <c r="C74" s="100">
        <f t="shared" si="8"/>
        <v>1.013550135501355</v>
      </c>
      <c r="D74" s="100">
        <f t="shared" si="9"/>
        <v>1.0069890172585936</v>
      </c>
      <c r="E74" s="100">
        <f t="shared" si="10"/>
        <v>1.0196833547282842</v>
      </c>
      <c r="F74" s="100">
        <f t="shared" si="9"/>
        <v>1.0088432463272001</v>
      </c>
    </row>
    <row r="75" spans="1:6" x14ac:dyDescent="0.2">
      <c r="A75" s="28" t="s">
        <v>17</v>
      </c>
      <c r="B75" s="100">
        <f t="shared" si="8"/>
        <v>1</v>
      </c>
      <c r="C75" s="100">
        <f t="shared" si="8"/>
        <v>1.0294970989004282</v>
      </c>
      <c r="D75" s="100">
        <f t="shared" si="9"/>
        <v>1.0008193784718369</v>
      </c>
      <c r="E75" s="100">
        <f t="shared" si="10"/>
        <v>1.032522880782142</v>
      </c>
      <c r="F75" s="100">
        <f t="shared" si="9"/>
        <v>1.0180805132071185</v>
      </c>
    </row>
    <row r="76" spans="1:6" x14ac:dyDescent="0.2">
      <c r="A76" s="2" t="s">
        <v>226</v>
      </c>
      <c r="B76" s="100">
        <f>GEOMEAN(B62:B75)</f>
        <v>1</v>
      </c>
      <c r="C76" s="100">
        <f t="shared" ref="C76" si="11">GEOMEAN(C62:C75)</f>
        <v>1.0097793737615448</v>
      </c>
      <c r="D76" s="100">
        <f>GEOMEAN(D62:D75)</f>
        <v>1.0066885036996243</v>
      </c>
      <c r="E76" s="100">
        <f>GEOMEAN(E62:E75)</f>
        <v>1.0215239857027005</v>
      </c>
      <c r="F76" s="100">
        <f>GEOMEAN(F62:F75)</f>
        <v>1.0081841357978394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03A9-3F83-6C49-99EA-B094B22E50E7}">
  <dimension ref="A1:K66"/>
  <sheetViews>
    <sheetView tabSelected="1" zoomScale="80" zoomScaleNormal="80" workbookViewId="0">
      <selection activeCell="D5" sqref="D5"/>
    </sheetView>
  </sheetViews>
  <sheetFormatPr baseColWidth="10" defaultRowHeight="18" x14ac:dyDescent="0.2"/>
  <cols>
    <col min="1" max="1" width="27.83203125" style="1" bestFit="1" customWidth="1"/>
    <col min="2" max="2" width="14.1640625" style="1" bestFit="1" customWidth="1"/>
    <col min="3" max="3" width="25.6640625" style="1" bestFit="1" customWidth="1"/>
    <col min="4" max="4" width="20.6640625" style="1" bestFit="1" customWidth="1"/>
    <col min="5" max="5" width="35.1640625" style="1" bestFit="1" customWidth="1"/>
    <col min="6" max="6" width="30.1640625" style="1" bestFit="1" customWidth="1"/>
    <col min="7" max="7" width="25.6640625" style="1" bestFit="1" customWidth="1"/>
    <col min="8" max="8" width="20.6640625" style="1" bestFit="1" customWidth="1"/>
    <col min="9" max="9" width="35.1640625" style="1" bestFit="1" customWidth="1"/>
    <col min="10" max="10" width="30.1640625" style="1" bestFit="1" customWidth="1"/>
    <col min="11" max="16384" width="10.83203125" style="1"/>
  </cols>
  <sheetData>
    <row r="1" spans="1:10" x14ac:dyDescent="0.2">
      <c r="A1" s="2" t="s">
        <v>256</v>
      </c>
      <c r="B1" s="2" t="s">
        <v>233</v>
      </c>
      <c r="C1" s="2" t="s">
        <v>265</v>
      </c>
      <c r="D1" s="2" t="s">
        <v>263</v>
      </c>
      <c r="E1" s="2" t="s">
        <v>266</v>
      </c>
      <c r="F1" s="2" t="s">
        <v>264</v>
      </c>
    </row>
    <row r="2" spans="1:10" x14ac:dyDescent="0.2">
      <c r="A2" s="2" t="s">
        <v>207</v>
      </c>
      <c r="B2" s="3">
        <v>26</v>
      </c>
      <c r="C2" s="3">
        <v>57</v>
      </c>
      <c r="D2" s="3">
        <v>71</v>
      </c>
      <c r="E2" s="3">
        <v>410</v>
      </c>
      <c r="F2" s="3">
        <v>74</v>
      </c>
      <c r="G2" s="88" t="s">
        <v>262</v>
      </c>
      <c r="J2" s="1" t="s">
        <v>261</v>
      </c>
    </row>
    <row r="3" spans="1:10" x14ac:dyDescent="0.2">
      <c r="A3" s="2" t="s">
        <v>208</v>
      </c>
      <c r="B3" s="3">
        <v>22</v>
      </c>
      <c r="C3" s="3">
        <v>23</v>
      </c>
      <c r="D3" s="3">
        <v>24</v>
      </c>
      <c r="E3" s="3">
        <v>58</v>
      </c>
      <c r="F3" s="3">
        <v>25</v>
      </c>
      <c r="G3" s="88"/>
    </row>
    <row r="4" spans="1:10" x14ac:dyDescent="0.2">
      <c r="A4" s="2" t="s">
        <v>209</v>
      </c>
      <c r="B4" s="3">
        <v>5557</v>
      </c>
      <c r="C4" s="3">
        <v>5691</v>
      </c>
      <c r="D4" s="3">
        <v>6498</v>
      </c>
      <c r="E4" s="3">
        <v>14340</v>
      </c>
      <c r="F4" s="3">
        <v>6214</v>
      </c>
      <c r="G4" s="88"/>
    </row>
    <row r="5" spans="1:10" x14ac:dyDescent="0.2">
      <c r="A5" s="2" t="s">
        <v>210</v>
      </c>
      <c r="B5" s="3">
        <v>44</v>
      </c>
      <c r="C5" s="92">
        <v>41</v>
      </c>
      <c r="D5" s="3">
        <v>42</v>
      </c>
      <c r="E5" s="3">
        <v>75</v>
      </c>
      <c r="F5" s="92">
        <v>43</v>
      </c>
      <c r="G5" s="88" t="s">
        <v>262</v>
      </c>
    </row>
    <row r="6" spans="1:10" x14ac:dyDescent="0.2">
      <c r="A6" s="2" t="s">
        <v>211</v>
      </c>
      <c r="B6" s="3">
        <v>2625</v>
      </c>
      <c r="C6" s="3">
        <v>4677</v>
      </c>
      <c r="D6" s="3">
        <v>4781</v>
      </c>
      <c r="E6" s="3">
        <v>29042</v>
      </c>
      <c r="F6" s="3">
        <v>4553</v>
      </c>
      <c r="G6" s="88"/>
    </row>
    <row r="7" spans="1:10" x14ac:dyDescent="0.2">
      <c r="A7" s="2" t="s">
        <v>212</v>
      </c>
      <c r="B7" s="3">
        <v>3865</v>
      </c>
      <c r="C7" s="3">
        <v>5879</v>
      </c>
      <c r="D7" s="3">
        <v>5516</v>
      </c>
      <c r="E7" s="3">
        <v>30555</v>
      </c>
      <c r="F7" s="3">
        <v>5821</v>
      </c>
      <c r="G7" s="88"/>
    </row>
    <row r="8" spans="1:10" x14ac:dyDescent="0.2">
      <c r="A8" s="2" t="s">
        <v>213</v>
      </c>
      <c r="B8" s="3">
        <v>1809</v>
      </c>
      <c r="C8" s="3">
        <v>1821</v>
      </c>
      <c r="D8" s="3">
        <v>1822</v>
      </c>
      <c r="E8" s="3">
        <v>1842</v>
      </c>
      <c r="F8" s="3">
        <v>1823</v>
      </c>
      <c r="G8" s="88"/>
    </row>
    <row r="9" spans="1:10" x14ac:dyDescent="0.2">
      <c r="A9" s="2" t="s">
        <v>214</v>
      </c>
      <c r="B9" s="3">
        <v>3764</v>
      </c>
      <c r="C9" s="3">
        <v>3685</v>
      </c>
      <c r="D9" s="3">
        <v>3711</v>
      </c>
      <c r="E9" s="3">
        <v>3712</v>
      </c>
      <c r="F9" s="3">
        <v>3799</v>
      </c>
      <c r="G9" s="88"/>
    </row>
    <row r="10" spans="1:10" x14ac:dyDescent="0.2">
      <c r="A10" s="2" t="s">
        <v>215</v>
      </c>
      <c r="B10" s="3">
        <v>31</v>
      </c>
      <c r="C10" s="92">
        <v>83</v>
      </c>
      <c r="D10" s="92">
        <v>98</v>
      </c>
      <c r="E10" s="3">
        <v>894</v>
      </c>
      <c r="F10" s="92">
        <v>106</v>
      </c>
      <c r="G10" s="88" t="s">
        <v>262</v>
      </c>
    </row>
    <row r="11" spans="1:10" x14ac:dyDescent="0.2">
      <c r="A11" s="2" t="s">
        <v>216</v>
      </c>
      <c r="B11" s="3">
        <v>949</v>
      </c>
      <c r="C11" s="3">
        <v>1284</v>
      </c>
      <c r="D11" s="3">
        <v>1289</v>
      </c>
      <c r="E11" s="3">
        <v>7754</v>
      </c>
      <c r="F11" s="3">
        <v>1320</v>
      </c>
    </row>
    <row r="12" spans="1:10" x14ac:dyDescent="0.2">
      <c r="A12" s="2" t="s">
        <v>217</v>
      </c>
      <c r="B12" s="3">
        <v>472</v>
      </c>
      <c r="C12" s="3">
        <v>650</v>
      </c>
      <c r="D12" s="3">
        <v>693</v>
      </c>
      <c r="E12" s="3">
        <v>3253</v>
      </c>
      <c r="F12" s="3">
        <v>768</v>
      </c>
    </row>
    <row r="13" spans="1:10" x14ac:dyDescent="0.2">
      <c r="A13" s="2" t="s">
        <v>218</v>
      </c>
      <c r="B13" s="3">
        <v>54</v>
      </c>
      <c r="C13" s="3">
        <v>81</v>
      </c>
      <c r="D13" s="3">
        <v>83</v>
      </c>
      <c r="E13" s="3">
        <v>339</v>
      </c>
      <c r="F13" s="3">
        <v>91</v>
      </c>
    </row>
    <row r="16" spans="1:10" x14ac:dyDescent="0.2">
      <c r="A16" s="2" t="s">
        <v>235</v>
      </c>
      <c r="B16" s="2" t="s">
        <v>233</v>
      </c>
      <c r="C16" s="2" t="s">
        <v>265</v>
      </c>
      <c r="D16" s="2" t="s">
        <v>263</v>
      </c>
      <c r="E16" s="2" t="s">
        <v>266</v>
      </c>
      <c r="F16" s="2" t="s">
        <v>264</v>
      </c>
    </row>
    <row r="17" spans="1:11" x14ac:dyDescent="0.2">
      <c r="A17" s="2" t="s">
        <v>244</v>
      </c>
      <c r="B17" s="87">
        <f>B2/$B2</f>
        <v>1</v>
      </c>
      <c r="C17" s="87">
        <f t="shared" ref="C17" si="0">C2/$B2</f>
        <v>2.1923076923076925</v>
      </c>
      <c r="D17" s="87">
        <f t="shared" ref="D17:F28" si="1">D2/$B2</f>
        <v>2.7307692307692308</v>
      </c>
      <c r="E17" s="87">
        <f t="shared" ref="E17:E28" si="2">E2/$B2</f>
        <v>15.76923076923077</v>
      </c>
      <c r="F17" s="87">
        <f t="shared" si="1"/>
        <v>2.8461538461538463</v>
      </c>
      <c r="G17" s="88"/>
      <c r="H17" s="88"/>
      <c r="I17" s="88"/>
      <c r="J17" s="88"/>
      <c r="K17" s="88"/>
    </row>
    <row r="18" spans="1:11" x14ac:dyDescent="0.2">
      <c r="A18" s="2" t="s">
        <v>245</v>
      </c>
      <c r="B18" s="87">
        <f t="shared" ref="B18:C28" si="3">B3/$B3</f>
        <v>1</v>
      </c>
      <c r="C18" s="87">
        <f t="shared" si="3"/>
        <v>1.0454545454545454</v>
      </c>
      <c r="D18" s="87">
        <f t="shared" si="1"/>
        <v>1.0909090909090908</v>
      </c>
      <c r="E18" s="87">
        <f t="shared" si="2"/>
        <v>2.6363636363636362</v>
      </c>
      <c r="F18" s="87">
        <f t="shared" si="1"/>
        <v>1.1363636363636365</v>
      </c>
      <c r="G18" s="88"/>
      <c r="H18" s="88"/>
      <c r="I18" s="88"/>
      <c r="J18" s="88"/>
      <c r="K18" s="88"/>
    </row>
    <row r="19" spans="1:11" x14ac:dyDescent="0.2">
      <c r="A19" s="2" t="s">
        <v>246</v>
      </c>
      <c r="B19" s="87">
        <f t="shared" si="3"/>
        <v>1</v>
      </c>
      <c r="C19" s="87">
        <f t="shared" si="3"/>
        <v>1.0241137304300882</v>
      </c>
      <c r="D19" s="87">
        <f t="shared" si="1"/>
        <v>1.1693359726471118</v>
      </c>
      <c r="E19" s="87">
        <f t="shared" si="2"/>
        <v>2.5805290624437647</v>
      </c>
      <c r="F19" s="87">
        <f t="shared" si="1"/>
        <v>1.1182292603922981</v>
      </c>
      <c r="G19" s="88"/>
      <c r="H19" s="88"/>
      <c r="I19" s="88"/>
      <c r="J19" s="88"/>
      <c r="K19" s="88"/>
    </row>
    <row r="20" spans="1:11" x14ac:dyDescent="0.2">
      <c r="A20" s="2" t="s">
        <v>247</v>
      </c>
      <c r="B20" s="87">
        <f t="shared" si="3"/>
        <v>1</v>
      </c>
      <c r="C20" s="87">
        <f t="shared" si="3"/>
        <v>0.93181818181818177</v>
      </c>
      <c r="D20" s="87">
        <f t="shared" si="1"/>
        <v>0.95454545454545459</v>
      </c>
      <c r="E20" s="87">
        <f t="shared" si="2"/>
        <v>1.7045454545454546</v>
      </c>
      <c r="F20" s="87">
        <f t="shared" si="1"/>
        <v>0.97727272727272729</v>
      </c>
      <c r="G20" s="88"/>
      <c r="H20" s="88"/>
      <c r="I20" s="88"/>
      <c r="J20" s="88"/>
      <c r="K20" s="88"/>
    </row>
    <row r="21" spans="1:11" x14ac:dyDescent="0.2">
      <c r="A21" s="2" t="s">
        <v>248</v>
      </c>
      <c r="B21" s="87">
        <f t="shared" si="3"/>
        <v>1</v>
      </c>
      <c r="C21" s="87">
        <f t="shared" si="3"/>
        <v>1.7817142857142858</v>
      </c>
      <c r="D21" s="87">
        <f t="shared" si="1"/>
        <v>1.8213333333333332</v>
      </c>
      <c r="E21" s="87">
        <f t="shared" si="2"/>
        <v>11.063619047619047</v>
      </c>
      <c r="F21" s="87">
        <f t="shared" si="1"/>
        <v>1.7344761904761905</v>
      </c>
      <c r="G21" s="88"/>
      <c r="H21" s="88"/>
      <c r="I21" s="88"/>
      <c r="J21" s="88"/>
      <c r="K21" s="88"/>
    </row>
    <row r="22" spans="1:11" x14ac:dyDescent="0.2">
      <c r="A22" s="2" t="s">
        <v>249</v>
      </c>
      <c r="B22" s="87">
        <f t="shared" si="3"/>
        <v>1</v>
      </c>
      <c r="C22" s="87">
        <f t="shared" si="3"/>
        <v>1.5210866752910737</v>
      </c>
      <c r="D22" s="87">
        <f t="shared" si="1"/>
        <v>1.4271668822768435</v>
      </c>
      <c r="E22" s="87">
        <f t="shared" si="2"/>
        <v>7.9055627425614485</v>
      </c>
      <c r="F22" s="87">
        <f t="shared" si="1"/>
        <v>1.5060802069857697</v>
      </c>
      <c r="G22" s="88"/>
      <c r="H22" s="88"/>
      <c r="I22" s="88"/>
      <c r="J22" s="88"/>
      <c r="K22" s="88"/>
    </row>
    <row r="23" spans="1:11" x14ac:dyDescent="0.2">
      <c r="A23" s="2" t="s">
        <v>250</v>
      </c>
      <c r="B23" s="87">
        <f t="shared" si="3"/>
        <v>1</v>
      </c>
      <c r="C23" s="87">
        <f t="shared" si="3"/>
        <v>1.0066334991708126</v>
      </c>
      <c r="D23" s="87">
        <f t="shared" si="1"/>
        <v>1.0071862907683804</v>
      </c>
      <c r="E23" s="87">
        <f t="shared" si="2"/>
        <v>1.0182421227197347</v>
      </c>
      <c r="F23" s="87">
        <f t="shared" si="1"/>
        <v>1.007739082365948</v>
      </c>
      <c r="G23" s="88"/>
      <c r="H23" s="88"/>
      <c r="I23" s="88"/>
      <c r="J23" s="88"/>
      <c r="K23" s="88"/>
    </row>
    <row r="24" spans="1:11" x14ac:dyDescent="0.2">
      <c r="A24" s="2" t="s">
        <v>251</v>
      </c>
      <c r="B24" s="87">
        <f t="shared" si="3"/>
        <v>1</v>
      </c>
      <c r="C24" s="87">
        <f t="shared" si="3"/>
        <v>0.97901168969181718</v>
      </c>
      <c r="D24" s="87">
        <f t="shared" si="1"/>
        <v>0.98591923485653565</v>
      </c>
      <c r="E24" s="87">
        <f t="shared" si="2"/>
        <v>0.98618490967056327</v>
      </c>
      <c r="F24" s="87">
        <f t="shared" si="1"/>
        <v>1.0092986184909671</v>
      </c>
      <c r="G24" s="88"/>
      <c r="H24" s="88"/>
      <c r="I24" s="88"/>
      <c r="J24" s="88"/>
      <c r="K24" s="88"/>
    </row>
    <row r="25" spans="1:11" x14ac:dyDescent="0.2">
      <c r="A25" s="2" t="s">
        <v>252</v>
      </c>
      <c r="B25" s="87">
        <f t="shared" si="3"/>
        <v>1</v>
      </c>
      <c r="C25" s="87">
        <f t="shared" si="3"/>
        <v>2.6774193548387095</v>
      </c>
      <c r="D25" s="87">
        <f t="shared" si="1"/>
        <v>3.161290322580645</v>
      </c>
      <c r="E25" s="87">
        <f t="shared" si="2"/>
        <v>28.838709677419356</v>
      </c>
      <c r="F25" s="87">
        <f t="shared" si="1"/>
        <v>3.4193548387096775</v>
      </c>
      <c r="G25" s="88"/>
      <c r="H25" s="88"/>
      <c r="I25" s="88"/>
      <c r="J25" s="88"/>
      <c r="K25" s="88"/>
    </row>
    <row r="26" spans="1:11" x14ac:dyDescent="0.2">
      <c r="A26" s="2" t="s">
        <v>253</v>
      </c>
      <c r="B26" s="87">
        <f t="shared" si="3"/>
        <v>1</v>
      </c>
      <c r="C26" s="87">
        <f t="shared" si="3"/>
        <v>1.3530031612223392</v>
      </c>
      <c r="D26" s="87">
        <f t="shared" si="1"/>
        <v>1.3582718651211803</v>
      </c>
      <c r="E26" s="87">
        <f t="shared" si="2"/>
        <v>8.1707060063224439</v>
      </c>
      <c r="F26" s="87">
        <f t="shared" si="1"/>
        <v>1.3909378292939938</v>
      </c>
      <c r="G26" s="88"/>
      <c r="H26" s="88"/>
      <c r="I26" s="88"/>
      <c r="J26" s="88"/>
      <c r="K26" s="88"/>
    </row>
    <row r="27" spans="1:11" x14ac:dyDescent="0.2">
      <c r="A27" s="2" t="s">
        <v>254</v>
      </c>
      <c r="B27" s="87">
        <f t="shared" si="3"/>
        <v>1</v>
      </c>
      <c r="C27" s="87">
        <f t="shared" si="3"/>
        <v>1.3771186440677967</v>
      </c>
      <c r="D27" s="87">
        <f t="shared" si="1"/>
        <v>1.4682203389830508</v>
      </c>
      <c r="E27" s="87">
        <f t="shared" si="2"/>
        <v>6.8919491525423728</v>
      </c>
      <c r="F27" s="87">
        <f t="shared" si="1"/>
        <v>1.6271186440677967</v>
      </c>
      <c r="G27" s="88"/>
      <c r="H27" s="88"/>
      <c r="I27" s="88"/>
      <c r="J27" s="88"/>
      <c r="K27" s="88"/>
    </row>
    <row r="28" spans="1:11" x14ac:dyDescent="0.2">
      <c r="A28" s="2" t="s">
        <v>255</v>
      </c>
      <c r="B28" s="87">
        <f t="shared" si="3"/>
        <v>1</v>
      </c>
      <c r="C28" s="87">
        <f t="shared" si="3"/>
        <v>1.5</v>
      </c>
      <c r="D28" s="87">
        <f t="shared" si="1"/>
        <v>1.537037037037037</v>
      </c>
      <c r="E28" s="87">
        <f t="shared" si="2"/>
        <v>6.2777777777777777</v>
      </c>
      <c r="F28" s="87">
        <f t="shared" si="1"/>
        <v>1.6851851851851851</v>
      </c>
      <c r="G28" s="88"/>
      <c r="H28" s="88"/>
      <c r="I28" s="88"/>
      <c r="J28" s="88"/>
      <c r="K28" s="88"/>
    </row>
    <row r="29" spans="1:11" x14ac:dyDescent="0.2">
      <c r="A29" s="2" t="s">
        <v>226</v>
      </c>
      <c r="B29" s="87">
        <f>GEOMEAN(B17:B28)</f>
        <v>1</v>
      </c>
      <c r="C29" s="87">
        <f t="shared" ref="C29" si="4">GEOMEAN(C17:C28)</f>
        <v>1.3699916755751029</v>
      </c>
      <c r="D29" s="87">
        <f>GEOMEAN(D17:D28)</f>
        <v>1.4454263140532051</v>
      </c>
      <c r="E29" s="87">
        <f>GEOMEAN(E17:E28)</f>
        <v>4.8362973995012819</v>
      </c>
      <c r="F29" s="87">
        <f>GEOMEAN(F17:F28)</f>
        <v>1.4928016562932125</v>
      </c>
      <c r="G29" s="1">
        <f>E29/F29</f>
        <v>3.2397454672647736</v>
      </c>
    </row>
    <row r="30" spans="1:11" x14ac:dyDescent="0.2">
      <c r="B30" s="88"/>
      <c r="C30" s="88"/>
      <c r="D30" s="88"/>
      <c r="E30" s="88"/>
      <c r="F30" s="88"/>
    </row>
    <row r="31" spans="1:11" x14ac:dyDescent="0.2">
      <c r="B31" s="88"/>
      <c r="C31" s="88"/>
      <c r="D31" s="88"/>
      <c r="E31" s="88"/>
      <c r="F31" s="88"/>
    </row>
    <row r="32" spans="1:11" x14ac:dyDescent="0.2">
      <c r="B32" s="88"/>
      <c r="C32" s="88"/>
      <c r="D32" s="88"/>
      <c r="E32" s="88"/>
      <c r="F32" s="88"/>
    </row>
    <row r="33" spans="1:11" x14ac:dyDescent="0.2">
      <c r="B33" s="88"/>
      <c r="C33" s="88"/>
      <c r="D33" s="88"/>
      <c r="E33" s="88"/>
      <c r="F33" s="88"/>
      <c r="G33" s="1">
        <f>D29/C29</f>
        <v>1.0550621144806853</v>
      </c>
    </row>
    <row r="37" spans="1:11" x14ac:dyDescent="0.2">
      <c r="A37" s="2" t="s">
        <v>236</v>
      </c>
      <c r="B37" s="90" t="s">
        <v>233</v>
      </c>
      <c r="C37" s="2" t="s">
        <v>265</v>
      </c>
      <c r="D37" s="2" t="s">
        <v>263</v>
      </c>
      <c r="E37" s="2" t="s">
        <v>266</v>
      </c>
      <c r="F37" s="2" t="s">
        <v>264</v>
      </c>
      <c r="G37" s="2" t="s">
        <v>265</v>
      </c>
      <c r="H37" s="2" t="s">
        <v>263</v>
      </c>
      <c r="I37" s="2" t="s">
        <v>266</v>
      </c>
      <c r="J37" s="2" t="s">
        <v>264</v>
      </c>
    </row>
    <row r="38" spans="1:11" x14ac:dyDescent="0.2">
      <c r="A38" s="2" t="s">
        <v>244</v>
      </c>
      <c r="B38" s="3">
        <v>5360</v>
      </c>
      <c r="C38" s="3">
        <v>7224</v>
      </c>
      <c r="D38" s="3">
        <v>6888</v>
      </c>
      <c r="E38" s="3">
        <v>7156</v>
      </c>
      <c r="F38" s="3">
        <v>6884</v>
      </c>
      <c r="G38" s="94">
        <f>(C38-$B38)/1024</f>
        <v>1.8203125</v>
      </c>
      <c r="H38" s="94">
        <f>(D38-$B38)/1024</f>
        <v>1.4921875</v>
      </c>
      <c r="I38" s="94">
        <f>(E38-$B38)/1024</f>
        <v>1.75390625</v>
      </c>
      <c r="J38" s="94">
        <f>(F38-$B38)/1024</f>
        <v>1.48828125</v>
      </c>
      <c r="K38" s="93">
        <f t="shared" ref="K38:K49" si="5">I38-J38</f>
        <v>0.265625</v>
      </c>
    </row>
    <row r="39" spans="1:11" x14ac:dyDescent="0.2">
      <c r="A39" s="2" t="s">
        <v>245</v>
      </c>
      <c r="B39" s="3">
        <v>41536</v>
      </c>
      <c r="C39" s="3">
        <v>44076</v>
      </c>
      <c r="D39" s="3">
        <v>44008</v>
      </c>
      <c r="E39" s="3">
        <v>43832</v>
      </c>
      <c r="F39" s="3">
        <v>43944</v>
      </c>
      <c r="G39" s="94">
        <f t="shared" ref="G39:G49" si="6">(C39-$B39)/1024</f>
        <v>2.48046875</v>
      </c>
      <c r="H39" s="94">
        <f t="shared" ref="H39:H49" si="7">(D39-$B39)/1024</f>
        <v>2.4140625</v>
      </c>
      <c r="I39" s="94">
        <f t="shared" ref="I39:I49" si="8">(E39-$B39)/1024</f>
        <v>2.2421875</v>
      </c>
      <c r="J39" s="94">
        <f t="shared" ref="J39:J49" si="9">(F39-$B39)/1024</f>
        <v>2.3515625</v>
      </c>
      <c r="K39" s="93">
        <f t="shared" si="5"/>
        <v>-0.109375</v>
      </c>
    </row>
    <row r="40" spans="1:11" x14ac:dyDescent="0.2">
      <c r="A40" s="2" t="s">
        <v>246</v>
      </c>
      <c r="B40" s="3">
        <v>12587144</v>
      </c>
      <c r="C40" s="3">
        <v>12589148</v>
      </c>
      <c r="D40" s="3">
        <v>12589072</v>
      </c>
      <c r="E40" s="3">
        <v>12589168</v>
      </c>
      <c r="F40" s="3">
        <v>12588864</v>
      </c>
      <c r="G40" s="94">
        <f t="shared" si="6"/>
        <v>1.95703125</v>
      </c>
      <c r="H40" s="94">
        <f t="shared" si="7"/>
        <v>1.8828125</v>
      </c>
      <c r="I40" s="94">
        <f t="shared" si="8"/>
        <v>1.9765625</v>
      </c>
      <c r="J40" s="94">
        <f t="shared" si="9"/>
        <v>1.6796875</v>
      </c>
      <c r="K40" s="93">
        <f t="shared" si="5"/>
        <v>0.296875</v>
      </c>
    </row>
    <row r="41" spans="1:11" x14ac:dyDescent="0.2">
      <c r="A41" s="2" t="s">
        <v>247</v>
      </c>
      <c r="B41" s="3">
        <v>26204</v>
      </c>
      <c r="C41" s="3">
        <v>27948</v>
      </c>
      <c r="D41" s="3">
        <v>27652</v>
      </c>
      <c r="E41" s="3">
        <v>27920</v>
      </c>
      <c r="F41" s="3">
        <v>27744</v>
      </c>
      <c r="G41" s="94">
        <f t="shared" si="6"/>
        <v>1.703125</v>
      </c>
      <c r="H41" s="94">
        <f t="shared" si="7"/>
        <v>1.4140625</v>
      </c>
      <c r="I41" s="94">
        <f t="shared" si="8"/>
        <v>1.67578125</v>
      </c>
      <c r="J41" s="94">
        <f t="shared" si="9"/>
        <v>1.50390625</v>
      </c>
      <c r="K41" s="93">
        <f t="shared" si="5"/>
        <v>0.171875</v>
      </c>
    </row>
    <row r="42" spans="1:11" x14ac:dyDescent="0.2">
      <c r="A42" s="2" t="s">
        <v>248</v>
      </c>
      <c r="B42" s="3">
        <v>133964</v>
      </c>
      <c r="C42" s="3">
        <v>135920</v>
      </c>
      <c r="D42" s="3">
        <v>135776</v>
      </c>
      <c r="E42" s="3">
        <v>135900</v>
      </c>
      <c r="F42" s="3">
        <v>135804</v>
      </c>
      <c r="G42" s="94">
        <f t="shared" si="6"/>
        <v>1.91015625</v>
      </c>
      <c r="H42" s="94">
        <f t="shared" si="7"/>
        <v>1.76953125</v>
      </c>
      <c r="I42" s="94">
        <f t="shared" si="8"/>
        <v>1.890625</v>
      </c>
      <c r="J42" s="94">
        <f t="shared" si="9"/>
        <v>1.796875</v>
      </c>
      <c r="K42" s="93">
        <f t="shared" si="5"/>
        <v>9.375E-2</v>
      </c>
    </row>
    <row r="43" spans="1:11" x14ac:dyDescent="0.2">
      <c r="A43" s="2" t="s">
        <v>249</v>
      </c>
      <c r="B43" s="3">
        <v>133440</v>
      </c>
      <c r="C43" s="3">
        <v>135404</v>
      </c>
      <c r="D43" s="3">
        <v>135256</v>
      </c>
      <c r="E43" s="3">
        <v>135540</v>
      </c>
      <c r="F43" s="3">
        <v>135344</v>
      </c>
      <c r="G43" s="94">
        <f t="shared" si="6"/>
        <v>1.91796875</v>
      </c>
      <c r="H43" s="94">
        <f t="shared" si="7"/>
        <v>1.7734375</v>
      </c>
      <c r="I43" s="94">
        <f t="shared" si="8"/>
        <v>2.05078125</v>
      </c>
      <c r="J43" s="94">
        <f t="shared" si="9"/>
        <v>1.859375</v>
      </c>
      <c r="K43" s="93">
        <f t="shared" si="5"/>
        <v>0.19140625</v>
      </c>
    </row>
    <row r="44" spans="1:11" x14ac:dyDescent="0.2">
      <c r="A44" s="2" t="s">
        <v>250</v>
      </c>
      <c r="B44" s="3">
        <v>3629736</v>
      </c>
      <c r="C44" s="3">
        <v>3631776</v>
      </c>
      <c r="D44" s="3">
        <v>3631788</v>
      </c>
      <c r="E44" s="3">
        <v>3631860</v>
      </c>
      <c r="F44" s="3">
        <v>3631688</v>
      </c>
      <c r="G44" s="94">
        <f t="shared" si="6"/>
        <v>1.9921875</v>
      </c>
      <c r="H44" s="94">
        <f t="shared" si="7"/>
        <v>2.00390625</v>
      </c>
      <c r="I44" s="94">
        <f t="shared" si="8"/>
        <v>2.07421875</v>
      </c>
      <c r="J44" s="94">
        <f t="shared" si="9"/>
        <v>1.90625</v>
      </c>
      <c r="K44" s="93">
        <f t="shared" si="5"/>
        <v>0.16796875</v>
      </c>
    </row>
    <row r="45" spans="1:11" x14ac:dyDescent="0.2">
      <c r="A45" s="2" t="s">
        <v>251</v>
      </c>
      <c r="B45" s="3">
        <v>4092668</v>
      </c>
      <c r="C45" s="3">
        <v>4094604</v>
      </c>
      <c r="D45" s="3">
        <v>4094596</v>
      </c>
      <c r="E45" s="3">
        <v>4094656</v>
      </c>
      <c r="F45" s="3">
        <v>4094376</v>
      </c>
      <c r="G45" s="94">
        <f t="shared" si="6"/>
        <v>1.890625</v>
      </c>
      <c r="H45" s="94">
        <f t="shared" si="7"/>
        <v>1.8828125</v>
      </c>
      <c r="I45" s="94">
        <f t="shared" si="8"/>
        <v>1.94140625</v>
      </c>
      <c r="J45" s="94">
        <f t="shared" si="9"/>
        <v>1.66796875</v>
      </c>
      <c r="K45" s="93">
        <f t="shared" si="5"/>
        <v>0.2734375</v>
      </c>
    </row>
    <row r="46" spans="1:11" x14ac:dyDescent="0.2">
      <c r="A46" s="2" t="s">
        <v>252</v>
      </c>
      <c r="B46" s="3">
        <v>219128</v>
      </c>
      <c r="C46" s="3">
        <v>220972</v>
      </c>
      <c r="D46" s="3">
        <v>220688</v>
      </c>
      <c r="E46" s="3">
        <v>221176</v>
      </c>
      <c r="F46" s="3">
        <v>220900</v>
      </c>
      <c r="G46" s="94">
        <f t="shared" si="6"/>
        <v>1.80078125</v>
      </c>
      <c r="H46" s="94">
        <f t="shared" si="7"/>
        <v>1.5234375</v>
      </c>
      <c r="I46" s="94">
        <f t="shared" si="8"/>
        <v>2</v>
      </c>
      <c r="J46" s="94">
        <f t="shared" si="9"/>
        <v>1.73046875</v>
      </c>
      <c r="K46" s="93">
        <f t="shared" si="5"/>
        <v>0.26953125</v>
      </c>
    </row>
    <row r="47" spans="1:11" x14ac:dyDescent="0.2">
      <c r="A47" s="2" t="s">
        <v>253</v>
      </c>
      <c r="B47" s="3">
        <v>1440684</v>
      </c>
      <c r="C47" s="3">
        <v>1442876</v>
      </c>
      <c r="D47" s="3">
        <v>1442688</v>
      </c>
      <c r="E47" s="3">
        <v>1442708</v>
      </c>
      <c r="F47" s="3">
        <v>1442508</v>
      </c>
      <c r="G47" s="94">
        <f t="shared" si="6"/>
        <v>2.140625</v>
      </c>
      <c r="H47" s="94">
        <f t="shared" si="7"/>
        <v>1.95703125</v>
      </c>
      <c r="I47" s="94">
        <f t="shared" si="8"/>
        <v>1.9765625</v>
      </c>
      <c r="J47" s="94">
        <f t="shared" si="9"/>
        <v>1.78125</v>
      </c>
      <c r="K47" s="93">
        <f t="shared" si="5"/>
        <v>0.1953125</v>
      </c>
    </row>
    <row r="48" spans="1:11" x14ac:dyDescent="0.2">
      <c r="A48" s="2" t="s">
        <v>254</v>
      </c>
      <c r="B48" s="3">
        <v>6708</v>
      </c>
      <c r="C48" s="3">
        <v>8700</v>
      </c>
      <c r="D48" s="3">
        <v>8532</v>
      </c>
      <c r="E48" s="3">
        <v>8736</v>
      </c>
      <c r="F48" s="3">
        <v>8488</v>
      </c>
      <c r="G48" s="94">
        <f t="shared" si="6"/>
        <v>1.9453125</v>
      </c>
      <c r="H48" s="94">
        <f t="shared" si="7"/>
        <v>1.78125</v>
      </c>
      <c r="I48" s="94">
        <f t="shared" si="8"/>
        <v>1.98046875</v>
      </c>
      <c r="J48" s="94">
        <f t="shared" si="9"/>
        <v>1.73828125</v>
      </c>
      <c r="K48" s="93">
        <f t="shared" si="5"/>
        <v>0.2421875</v>
      </c>
    </row>
    <row r="49" spans="1:11" x14ac:dyDescent="0.2">
      <c r="A49" s="2" t="s">
        <v>255</v>
      </c>
      <c r="B49" s="3">
        <v>5508</v>
      </c>
      <c r="C49" s="3">
        <v>7580</v>
      </c>
      <c r="D49" s="3">
        <v>7444</v>
      </c>
      <c r="E49" s="3">
        <v>7592</v>
      </c>
      <c r="F49" s="3">
        <v>7320</v>
      </c>
      <c r="G49" s="94">
        <f t="shared" si="6"/>
        <v>2.0234375</v>
      </c>
      <c r="H49" s="94">
        <f t="shared" si="7"/>
        <v>1.890625</v>
      </c>
      <c r="I49" s="94">
        <f t="shared" si="8"/>
        <v>2.03515625</v>
      </c>
      <c r="J49" s="94">
        <f t="shared" si="9"/>
        <v>1.76953125</v>
      </c>
      <c r="K49" s="93">
        <f t="shared" si="5"/>
        <v>0.265625</v>
      </c>
    </row>
    <row r="50" spans="1:11" x14ac:dyDescent="0.2">
      <c r="A50" s="2" t="s">
        <v>170</v>
      </c>
      <c r="B50" s="2"/>
      <c r="C50" s="2"/>
      <c r="D50" s="2"/>
      <c r="E50" s="2"/>
      <c r="F50" s="2"/>
      <c r="G50" s="95">
        <f>GEOMEAN(G38:G49)</f>
        <v>1.956760001985304</v>
      </c>
      <c r="H50" s="95">
        <f>GEOMEAN(H38:H49)</f>
        <v>1.7978215071329293</v>
      </c>
      <c r="I50" s="95">
        <f>GEOMEAN(I38:I49)</f>
        <v>1.9613300523503259</v>
      </c>
      <c r="J50" s="95">
        <f>GEOMEAN(J38:J49)</f>
        <v>1.7611683046832285</v>
      </c>
    </row>
    <row r="53" spans="1:11" x14ac:dyDescent="0.2">
      <c r="A53" s="2" t="s">
        <v>236</v>
      </c>
      <c r="B53" s="90" t="s">
        <v>233</v>
      </c>
      <c r="C53" s="2" t="s">
        <v>265</v>
      </c>
      <c r="D53" s="2" t="s">
        <v>263</v>
      </c>
      <c r="E53" s="2" t="s">
        <v>266</v>
      </c>
      <c r="F53" s="2" t="s">
        <v>264</v>
      </c>
    </row>
    <row r="54" spans="1:11" x14ac:dyDescent="0.2">
      <c r="A54" s="2" t="s">
        <v>244</v>
      </c>
      <c r="B54" s="100">
        <f t="shared" ref="B54:F65" si="10">B38/$B38</f>
        <v>1</v>
      </c>
      <c r="C54" s="100">
        <f t="shared" si="10"/>
        <v>1.3477611940298508</v>
      </c>
      <c r="D54" s="100">
        <f t="shared" si="10"/>
        <v>1.2850746268656716</v>
      </c>
      <c r="E54" s="100">
        <f t="shared" ref="E54:E65" si="11">E38/$B38</f>
        <v>1.3350746268656717</v>
      </c>
      <c r="F54" s="100">
        <f t="shared" si="10"/>
        <v>1.2843283582089553</v>
      </c>
    </row>
    <row r="55" spans="1:11" x14ac:dyDescent="0.2">
      <c r="A55" s="2" t="s">
        <v>245</v>
      </c>
      <c r="B55" s="100">
        <f t="shared" si="10"/>
        <v>1</v>
      </c>
      <c r="C55" s="100">
        <f t="shared" si="10"/>
        <v>1.0611517719568566</v>
      </c>
      <c r="D55" s="100">
        <f t="shared" si="10"/>
        <v>1.0595146379044684</v>
      </c>
      <c r="E55" s="100">
        <f t="shared" si="11"/>
        <v>1.0552773497688752</v>
      </c>
      <c r="F55" s="100">
        <f t="shared" si="10"/>
        <v>1.0579738058551618</v>
      </c>
    </row>
    <row r="56" spans="1:11" x14ac:dyDescent="0.2">
      <c r="A56" s="2" t="s">
        <v>246</v>
      </c>
      <c r="B56" s="100">
        <f t="shared" si="10"/>
        <v>1</v>
      </c>
      <c r="C56" s="100">
        <f t="shared" si="10"/>
        <v>1.0001592100638557</v>
      </c>
      <c r="D56" s="100">
        <f t="shared" si="10"/>
        <v>1.0001531721572423</v>
      </c>
      <c r="E56" s="100">
        <f t="shared" si="11"/>
        <v>1.0001607989866486</v>
      </c>
      <c r="F56" s="100">
        <f t="shared" si="10"/>
        <v>1.0001366473601954</v>
      </c>
    </row>
    <row r="57" spans="1:11" x14ac:dyDescent="0.2">
      <c r="A57" s="2" t="s">
        <v>247</v>
      </c>
      <c r="B57" s="100">
        <f t="shared" si="10"/>
        <v>1</v>
      </c>
      <c r="C57" s="100">
        <f t="shared" si="10"/>
        <v>1.0665547244695466</v>
      </c>
      <c r="D57" s="100">
        <f t="shared" si="10"/>
        <v>1.055258739123798</v>
      </c>
      <c r="E57" s="100">
        <f t="shared" si="11"/>
        <v>1.0654861853152191</v>
      </c>
      <c r="F57" s="100">
        <f t="shared" si="10"/>
        <v>1.0587696534880171</v>
      </c>
    </row>
    <row r="58" spans="1:11" x14ac:dyDescent="0.2">
      <c r="A58" s="2" t="s">
        <v>248</v>
      </c>
      <c r="B58" s="100">
        <f t="shared" si="10"/>
        <v>1</v>
      </c>
      <c r="C58" s="100">
        <f t="shared" si="10"/>
        <v>1.014600937565316</v>
      </c>
      <c r="D58" s="100">
        <f t="shared" si="10"/>
        <v>1.0135260219163358</v>
      </c>
      <c r="E58" s="100">
        <f t="shared" si="11"/>
        <v>1.0144516437251798</v>
      </c>
      <c r="F58" s="100">
        <f t="shared" si="10"/>
        <v>1.0137350332925263</v>
      </c>
    </row>
    <row r="59" spans="1:11" x14ac:dyDescent="0.2">
      <c r="A59" s="2" t="s">
        <v>249</v>
      </c>
      <c r="B59" s="100">
        <f t="shared" si="10"/>
        <v>1</v>
      </c>
      <c r="C59" s="100">
        <f t="shared" si="10"/>
        <v>1.0147182254196643</v>
      </c>
      <c r="D59" s="100">
        <f t="shared" si="10"/>
        <v>1.0136091127098321</v>
      </c>
      <c r="E59" s="100">
        <f t="shared" si="11"/>
        <v>1.0157374100719425</v>
      </c>
      <c r="F59" s="100">
        <f t="shared" si="10"/>
        <v>1.0142685851318944</v>
      </c>
    </row>
    <row r="60" spans="1:11" x14ac:dyDescent="0.2">
      <c r="A60" s="2" t="s">
        <v>250</v>
      </c>
      <c r="B60" s="100">
        <f t="shared" si="10"/>
        <v>1</v>
      </c>
      <c r="C60" s="100">
        <f t="shared" si="10"/>
        <v>1.0005620243455722</v>
      </c>
      <c r="D60" s="100">
        <f t="shared" si="10"/>
        <v>1.0005653303711344</v>
      </c>
      <c r="E60" s="100">
        <f t="shared" si="11"/>
        <v>1.0005851665245076</v>
      </c>
      <c r="F60" s="100">
        <f t="shared" si="10"/>
        <v>1.0005377801581161</v>
      </c>
    </row>
    <row r="61" spans="1:11" x14ac:dyDescent="0.2">
      <c r="A61" s="2" t="s">
        <v>251</v>
      </c>
      <c r="B61" s="100">
        <f t="shared" si="10"/>
        <v>1</v>
      </c>
      <c r="C61" s="100">
        <f t="shared" si="10"/>
        <v>1.0004730410578135</v>
      </c>
      <c r="D61" s="100">
        <f t="shared" si="10"/>
        <v>1.0004710863426987</v>
      </c>
      <c r="E61" s="100">
        <f t="shared" si="11"/>
        <v>1.0004857467060606</v>
      </c>
      <c r="F61" s="100">
        <f t="shared" si="10"/>
        <v>1.0004173316770382</v>
      </c>
    </row>
    <row r="62" spans="1:11" x14ac:dyDescent="0.2">
      <c r="A62" s="2" t="s">
        <v>252</v>
      </c>
      <c r="B62" s="100">
        <f t="shared" si="10"/>
        <v>1</v>
      </c>
      <c r="C62" s="100">
        <f t="shared" si="10"/>
        <v>1.0084151728670001</v>
      </c>
      <c r="D62" s="100">
        <f t="shared" si="10"/>
        <v>1.0071191267204556</v>
      </c>
      <c r="E62" s="100">
        <f t="shared" si="11"/>
        <v>1.0093461355919828</v>
      </c>
      <c r="F62" s="100">
        <f t="shared" si="10"/>
        <v>1.0080865977875946</v>
      </c>
    </row>
    <row r="63" spans="1:11" x14ac:dyDescent="0.2">
      <c r="A63" s="2" t="s">
        <v>253</v>
      </c>
      <c r="B63" s="100">
        <f t="shared" si="10"/>
        <v>1</v>
      </c>
      <c r="C63" s="100">
        <f t="shared" si="10"/>
        <v>1.0015214995099551</v>
      </c>
      <c r="D63" s="100">
        <f t="shared" si="10"/>
        <v>1.0013910059388458</v>
      </c>
      <c r="E63" s="100">
        <f t="shared" si="11"/>
        <v>1.0014048882336446</v>
      </c>
      <c r="F63" s="100">
        <f t="shared" si="10"/>
        <v>1.001266065285656</v>
      </c>
    </row>
    <row r="64" spans="1:11" x14ac:dyDescent="0.2">
      <c r="A64" s="2" t="s">
        <v>254</v>
      </c>
      <c r="B64" s="100">
        <f t="shared" si="10"/>
        <v>1</v>
      </c>
      <c r="C64" s="100">
        <f t="shared" si="10"/>
        <v>1.2969588550983899</v>
      </c>
      <c r="D64" s="100">
        <f t="shared" si="10"/>
        <v>1.2719141323792487</v>
      </c>
      <c r="E64" s="100">
        <f t="shared" si="11"/>
        <v>1.3023255813953489</v>
      </c>
      <c r="F64" s="100">
        <f t="shared" si="10"/>
        <v>1.2653548002385211</v>
      </c>
    </row>
    <row r="65" spans="1:6" x14ac:dyDescent="0.2">
      <c r="A65" s="2" t="s">
        <v>255</v>
      </c>
      <c r="B65" s="100">
        <f t="shared" si="10"/>
        <v>1</v>
      </c>
      <c r="C65" s="100">
        <f t="shared" si="10"/>
        <v>1.3761801016702977</v>
      </c>
      <c r="D65" s="100">
        <f t="shared" si="10"/>
        <v>1.3514887436456064</v>
      </c>
      <c r="E65" s="100">
        <f t="shared" si="11"/>
        <v>1.3783587509077706</v>
      </c>
      <c r="F65" s="100">
        <f t="shared" si="10"/>
        <v>1.3289760348583879</v>
      </c>
    </row>
    <row r="66" spans="1:6" x14ac:dyDescent="0.2">
      <c r="A66" s="2" t="s">
        <v>226</v>
      </c>
      <c r="B66" s="100">
        <f>GEOMEAN(B54:B65)</f>
        <v>1</v>
      </c>
      <c r="C66" s="100">
        <f>GEOMEAN(C54:C65)</f>
        <v>1.0906937681372697</v>
      </c>
      <c r="D66" s="100">
        <f>GEOMEAN(D54:D65)</f>
        <v>1.0815524328338557</v>
      </c>
      <c r="E66" s="100">
        <f>GEOMEAN(E54:E65)</f>
        <v>1.0899124256208585</v>
      </c>
      <c r="F66" s="100">
        <f>GEOMEAN(F54:F65)</f>
        <v>1.0798333317432964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F309-DB42-5D47-B840-18C61923646E}">
  <dimension ref="A1:O76"/>
  <sheetViews>
    <sheetView topLeftCell="A88" zoomScale="80" zoomScaleNormal="80" workbookViewId="0">
      <selection activeCell="L10" sqref="L10"/>
    </sheetView>
  </sheetViews>
  <sheetFormatPr baseColWidth="10" defaultRowHeight="18" x14ac:dyDescent="0.2"/>
  <cols>
    <col min="1" max="1" width="27.83203125" style="1" bestFit="1" customWidth="1"/>
    <col min="2" max="3" width="14.1640625" style="1" bestFit="1" customWidth="1"/>
    <col min="4" max="4" width="25.6640625" style="1" bestFit="1" customWidth="1"/>
    <col min="5" max="5" width="20.6640625" style="1" bestFit="1" customWidth="1"/>
    <col min="6" max="6" width="35.1640625" style="1" bestFit="1" customWidth="1"/>
    <col min="7" max="7" width="30.1640625" style="1" bestFit="1" customWidth="1"/>
    <col min="8" max="8" width="14.1640625" style="1" bestFit="1" customWidth="1"/>
    <col min="9" max="9" width="25.6640625" style="1" bestFit="1" customWidth="1"/>
    <col min="10" max="10" width="20.6640625" style="1" bestFit="1" customWidth="1"/>
    <col min="11" max="11" width="35.1640625" style="1" bestFit="1" customWidth="1"/>
    <col min="12" max="12" width="30.1640625" style="1" bestFit="1" customWidth="1"/>
    <col min="13" max="16384" width="10.83203125" style="1"/>
  </cols>
  <sheetData>
    <row r="1" spans="1:7" x14ac:dyDescent="0.2">
      <c r="A1" s="2" t="s">
        <v>256</v>
      </c>
      <c r="B1" s="2" t="s">
        <v>233</v>
      </c>
      <c r="C1" s="2" t="s">
        <v>257</v>
      </c>
      <c r="D1" s="2" t="s">
        <v>267</v>
      </c>
      <c r="E1" s="2" t="s">
        <v>263</v>
      </c>
      <c r="F1" s="2" t="s">
        <v>268</v>
      </c>
      <c r="G1" s="2" t="s">
        <v>264</v>
      </c>
    </row>
    <row r="2" spans="1:7" x14ac:dyDescent="0.2">
      <c r="A2" s="28" t="s">
        <v>75</v>
      </c>
      <c r="B2" s="3">
        <v>32869</v>
      </c>
      <c r="C2" s="3">
        <v>61249</v>
      </c>
      <c r="D2" s="3">
        <v>393700</v>
      </c>
      <c r="E2" s="3">
        <v>322373</v>
      </c>
      <c r="F2" s="3">
        <v>458800</v>
      </c>
      <c r="G2" s="3">
        <v>388900</v>
      </c>
    </row>
    <row r="3" spans="1:7" x14ac:dyDescent="0.2">
      <c r="A3" s="28" t="s">
        <v>27</v>
      </c>
      <c r="B3" s="3">
        <v>25970</v>
      </c>
      <c r="C3" s="3">
        <v>44619</v>
      </c>
      <c r="D3" s="3">
        <v>56892</v>
      </c>
      <c r="E3" s="3">
        <v>51233</v>
      </c>
      <c r="F3" s="3">
        <v>58866</v>
      </c>
      <c r="G3" s="3">
        <v>52843</v>
      </c>
    </row>
    <row r="4" spans="1:7" x14ac:dyDescent="0.2">
      <c r="A4" s="28" t="s">
        <v>28</v>
      </c>
      <c r="B4" s="3">
        <v>39798</v>
      </c>
      <c r="C4" s="3">
        <v>104067</v>
      </c>
      <c r="D4" s="3">
        <v>181311</v>
      </c>
      <c r="E4" s="3">
        <v>143485</v>
      </c>
      <c r="F4" s="3">
        <v>195831</v>
      </c>
      <c r="G4" s="3">
        <v>157595</v>
      </c>
    </row>
    <row r="5" spans="1:7" x14ac:dyDescent="0.2">
      <c r="A5" s="28" t="s">
        <v>78</v>
      </c>
      <c r="B5" s="3">
        <v>24488</v>
      </c>
      <c r="C5" s="3">
        <v>41939</v>
      </c>
      <c r="D5" s="3">
        <v>41541</v>
      </c>
      <c r="E5" s="3">
        <v>41794</v>
      </c>
      <c r="F5" s="3">
        <v>41833</v>
      </c>
      <c r="G5" s="3">
        <v>41701</v>
      </c>
    </row>
    <row r="6" spans="1:7" x14ac:dyDescent="0.2">
      <c r="A6" s="28" t="s">
        <v>77</v>
      </c>
      <c r="B6" s="3">
        <v>29569</v>
      </c>
      <c r="C6" s="3">
        <v>55325</v>
      </c>
      <c r="D6" s="3">
        <v>226761</v>
      </c>
      <c r="E6" s="3">
        <v>143741</v>
      </c>
      <c r="F6" s="3">
        <v>260709</v>
      </c>
      <c r="G6" s="3">
        <v>176264</v>
      </c>
    </row>
    <row r="7" spans="1:7" x14ac:dyDescent="0.2">
      <c r="A7" s="28" t="s">
        <v>79</v>
      </c>
      <c r="B7" s="3">
        <v>11043</v>
      </c>
      <c r="C7" s="3">
        <v>23148</v>
      </c>
      <c r="D7" s="3">
        <v>80574</v>
      </c>
      <c r="E7" s="3">
        <v>62939</v>
      </c>
      <c r="F7" s="3">
        <v>92039</v>
      </c>
      <c r="G7" s="3">
        <v>73311</v>
      </c>
    </row>
    <row r="8" spans="1:7" x14ac:dyDescent="0.2">
      <c r="A8" s="28" t="s">
        <v>81</v>
      </c>
      <c r="B8" s="3">
        <v>38109</v>
      </c>
      <c r="C8" s="3">
        <v>71140</v>
      </c>
      <c r="D8" s="3">
        <v>277611</v>
      </c>
      <c r="E8" s="3">
        <v>164814</v>
      </c>
      <c r="F8" s="3">
        <v>315309</v>
      </c>
      <c r="G8" s="3">
        <v>196404</v>
      </c>
    </row>
    <row r="9" spans="1:7" x14ac:dyDescent="0.2">
      <c r="A9" s="28" t="s">
        <v>83</v>
      </c>
      <c r="B9" s="3">
        <v>12007</v>
      </c>
      <c r="C9" s="3">
        <v>20963</v>
      </c>
      <c r="D9" s="3">
        <v>27253</v>
      </c>
      <c r="E9" s="3">
        <v>24849</v>
      </c>
      <c r="F9" s="3">
        <v>28443</v>
      </c>
      <c r="G9" s="3">
        <v>25916</v>
      </c>
    </row>
    <row r="10" spans="1:7" x14ac:dyDescent="0.2">
      <c r="A10" s="28" t="s">
        <v>32</v>
      </c>
      <c r="B10" s="3">
        <v>66451</v>
      </c>
      <c r="C10" s="3">
        <v>124404</v>
      </c>
      <c r="D10" s="3">
        <v>766000</v>
      </c>
      <c r="E10" s="3">
        <v>625600</v>
      </c>
      <c r="F10" s="3">
        <v>881100</v>
      </c>
      <c r="G10" s="3">
        <v>754600</v>
      </c>
    </row>
    <row r="11" spans="1:7" x14ac:dyDescent="0.2">
      <c r="A11" s="28" t="s">
        <v>34</v>
      </c>
      <c r="B11" s="3">
        <v>116294</v>
      </c>
      <c r="C11" s="3">
        <v>122291</v>
      </c>
      <c r="D11" s="3">
        <v>118549</v>
      </c>
      <c r="E11" s="3">
        <v>118093</v>
      </c>
      <c r="F11" s="3">
        <v>118090</v>
      </c>
      <c r="G11" s="3">
        <v>118523</v>
      </c>
    </row>
    <row r="12" spans="1:7" x14ac:dyDescent="0.2">
      <c r="A12" s="28" t="s">
        <v>36</v>
      </c>
      <c r="B12" s="3">
        <v>29341</v>
      </c>
      <c r="C12" s="3">
        <v>54869</v>
      </c>
      <c r="D12" s="3">
        <v>226410</v>
      </c>
      <c r="E12" s="3">
        <v>141824</v>
      </c>
      <c r="F12" s="3">
        <v>260330</v>
      </c>
      <c r="G12" s="3">
        <v>174995</v>
      </c>
    </row>
    <row r="13" spans="1:7" x14ac:dyDescent="0.2">
      <c r="A13" s="28" t="s">
        <v>37</v>
      </c>
      <c r="B13" s="3">
        <v>11136</v>
      </c>
      <c r="C13" s="3">
        <v>23149</v>
      </c>
      <c r="D13" s="3">
        <v>80515</v>
      </c>
      <c r="E13" s="3">
        <v>62926</v>
      </c>
      <c r="F13" s="3">
        <v>91966</v>
      </c>
      <c r="G13" s="3">
        <v>73369</v>
      </c>
    </row>
    <row r="14" spans="1:7" x14ac:dyDescent="0.2">
      <c r="A14" s="28" t="s">
        <v>40</v>
      </c>
      <c r="B14" s="3">
        <v>38181</v>
      </c>
      <c r="C14" s="3">
        <v>71419</v>
      </c>
      <c r="D14" s="3">
        <v>275313</v>
      </c>
      <c r="E14" s="3">
        <v>166059</v>
      </c>
      <c r="F14" s="3">
        <v>316958</v>
      </c>
      <c r="G14" s="3">
        <v>197495</v>
      </c>
    </row>
    <row r="15" spans="1:7" x14ac:dyDescent="0.2">
      <c r="A15" s="28" t="s">
        <v>42</v>
      </c>
      <c r="B15" s="3">
        <v>31298</v>
      </c>
      <c r="C15" s="3">
        <v>64447</v>
      </c>
      <c r="D15" s="3">
        <v>81707</v>
      </c>
      <c r="E15" s="3">
        <v>76384</v>
      </c>
      <c r="F15" s="3">
        <v>85929</v>
      </c>
      <c r="G15" s="3">
        <v>80178</v>
      </c>
    </row>
    <row r="16" spans="1:7" x14ac:dyDescent="0.2">
      <c r="B16" s="89"/>
      <c r="C16" s="89"/>
      <c r="D16" s="89"/>
      <c r="E16" s="89"/>
      <c r="F16" s="89"/>
      <c r="G16" s="89"/>
    </row>
    <row r="17" spans="1:15" x14ac:dyDescent="0.2">
      <c r="B17" s="89"/>
      <c r="C17" s="89"/>
      <c r="D17" s="89"/>
      <c r="E17" s="89"/>
      <c r="F17" s="89"/>
      <c r="G17" s="89"/>
    </row>
    <row r="18" spans="1:15" x14ac:dyDescent="0.2">
      <c r="B18" s="89"/>
      <c r="C18" s="89"/>
      <c r="D18" s="89"/>
      <c r="E18" s="89"/>
      <c r="F18" s="89"/>
      <c r="G18" s="89"/>
    </row>
    <row r="21" spans="1:15" x14ac:dyDescent="0.2">
      <c r="A21" s="2" t="s">
        <v>235</v>
      </c>
      <c r="B21" s="2" t="s">
        <v>233</v>
      </c>
      <c r="C21" s="2" t="s">
        <v>257</v>
      </c>
      <c r="D21" s="2" t="s">
        <v>267</v>
      </c>
      <c r="E21" s="2" t="s">
        <v>263</v>
      </c>
      <c r="F21" s="2" t="s">
        <v>277</v>
      </c>
      <c r="G21" s="2" t="s">
        <v>278</v>
      </c>
      <c r="I21" s="2" t="s">
        <v>235</v>
      </c>
      <c r="J21" s="2" t="s">
        <v>257</v>
      </c>
      <c r="K21" s="2" t="s">
        <v>267</v>
      </c>
      <c r="L21" s="2" t="s">
        <v>263</v>
      </c>
      <c r="M21" s="2" t="s">
        <v>277</v>
      </c>
      <c r="N21" s="2" t="s">
        <v>278</v>
      </c>
      <c r="O21" s="2"/>
    </row>
    <row r="22" spans="1:15" x14ac:dyDescent="0.2">
      <c r="A22" s="28" t="s">
        <v>269</v>
      </c>
      <c r="B22" s="87">
        <f t="shared" ref="B22:D35" si="0">B2/$B2</f>
        <v>1</v>
      </c>
      <c r="C22" s="87">
        <f t="shared" si="0"/>
        <v>1.8634275457117648</v>
      </c>
      <c r="D22" s="87">
        <f t="shared" si="0"/>
        <v>11.977851470990903</v>
      </c>
      <c r="E22" s="87">
        <f t="shared" ref="E22:G35" si="1">E2/$B2</f>
        <v>9.8078128327603515</v>
      </c>
      <c r="F22" s="87">
        <f t="shared" ref="F22:F35" si="2">F2/$B2</f>
        <v>13.95844108430436</v>
      </c>
      <c r="G22" s="87">
        <f t="shared" si="1"/>
        <v>11.831817213788067</v>
      </c>
      <c r="I22" s="28" t="s">
        <v>269</v>
      </c>
      <c r="J22" s="87">
        <f>C2/$C2</f>
        <v>1</v>
      </c>
      <c r="K22" s="87">
        <f t="shared" ref="K22:N35" si="3">D2/$C2</f>
        <v>6.4278600466946401</v>
      </c>
      <c r="L22" s="87">
        <f t="shared" si="3"/>
        <v>5.2633185847932209</v>
      </c>
      <c r="M22" s="87">
        <f t="shared" si="3"/>
        <v>7.4907345426047769</v>
      </c>
      <c r="N22" s="87">
        <f t="shared" si="3"/>
        <v>6.3494914202680857</v>
      </c>
      <c r="O22" s="87"/>
    </row>
    <row r="23" spans="1:15" x14ac:dyDescent="0.2">
      <c r="A23" s="28" t="s">
        <v>270</v>
      </c>
      <c r="B23" s="87">
        <f t="shared" si="0"/>
        <v>1</v>
      </c>
      <c r="C23" s="87">
        <f t="shared" si="0"/>
        <v>1.7180978051597997</v>
      </c>
      <c r="D23" s="87">
        <f t="shared" si="0"/>
        <v>2.1906815556411243</v>
      </c>
      <c r="E23" s="87">
        <f t="shared" si="1"/>
        <v>1.9727762803234501</v>
      </c>
      <c r="F23" s="87">
        <f t="shared" si="2"/>
        <v>2.2666923373122834</v>
      </c>
      <c r="G23" s="87">
        <f t="shared" si="1"/>
        <v>2.0347708894878704</v>
      </c>
      <c r="I23" s="28" t="s">
        <v>270</v>
      </c>
      <c r="J23" s="87">
        <f t="shared" ref="J23:J35" si="4">C3/$C3</f>
        <v>1</v>
      </c>
      <c r="K23" s="87">
        <f t="shared" si="3"/>
        <v>1.2750621932360653</v>
      </c>
      <c r="L23" s="87">
        <f t="shared" si="3"/>
        <v>1.1482328156166655</v>
      </c>
      <c r="M23" s="87">
        <f t="shared" si="3"/>
        <v>1.319303435756068</v>
      </c>
      <c r="N23" s="87">
        <f t="shared" si="3"/>
        <v>1.1843160985230508</v>
      </c>
      <c r="O23" s="87"/>
    </row>
    <row r="24" spans="1:15" x14ac:dyDescent="0.2">
      <c r="A24" s="28" t="s">
        <v>271</v>
      </c>
      <c r="B24" s="87">
        <f t="shared" si="0"/>
        <v>1</v>
      </c>
      <c r="C24" s="87">
        <f t="shared" si="0"/>
        <v>2.6148801447308911</v>
      </c>
      <c r="D24" s="87">
        <f t="shared" si="0"/>
        <v>4.5557816975727423</v>
      </c>
      <c r="E24" s="87">
        <f t="shared" si="1"/>
        <v>3.6053319262274486</v>
      </c>
      <c r="F24" s="87">
        <f t="shared" si="2"/>
        <v>4.9206241519674352</v>
      </c>
      <c r="G24" s="87">
        <f t="shared" si="1"/>
        <v>3.9598723553947432</v>
      </c>
      <c r="I24" s="28" t="s">
        <v>271</v>
      </c>
      <c r="J24" s="87">
        <f t="shared" si="4"/>
        <v>1</v>
      </c>
      <c r="K24" s="87">
        <f t="shared" si="3"/>
        <v>1.7422525872755052</v>
      </c>
      <c r="L24" s="87">
        <f t="shared" si="3"/>
        <v>1.3787752121229593</v>
      </c>
      <c r="M24" s="87">
        <f t="shared" si="3"/>
        <v>1.8817780852719883</v>
      </c>
      <c r="N24" s="87">
        <f t="shared" si="3"/>
        <v>1.5143609405479161</v>
      </c>
      <c r="O24" s="87"/>
    </row>
    <row r="25" spans="1:15" x14ac:dyDescent="0.2">
      <c r="A25" s="28" t="s">
        <v>272</v>
      </c>
      <c r="B25" s="87">
        <f t="shared" si="0"/>
        <v>1</v>
      </c>
      <c r="C25" s="87">
        <f t="shared" si="0"/>
        <v>1.7126347598823914</v>
      </c>
      <c r="D25" s="87">
        <f t="shared" si="0"/>
        <v>1.6963819013394315</v>
      </c>
      <c r="E25" s="87">
        <f t="shared" si="1"/>
        <v>1.7067134923227703</v>
      </c>
      <c r="F25" s="87">
        <f t="shared" si="2"/>
        <v>1.7083061091146685</v>
      </c>
      <c r="G25" s="87">
        <f t="shared" si="1"/>
        <v>1.7029157138190134</v>
      </c>
      <c r="I25" s="28" t="s">
        <v>272</v>
      </c>
      <c r="J25" s="87">
        <f t="shared" si="4"/>
        <v>1</v>
      </c>
      <c r="K25" s="87">
        <f t="shared" si="3"/>
        <v>0.99051002646701158</v>
      </c>
      <c r="L25" s="87">
        <f t="shared" si="3"/>
        <v>0.99654259758220276</v>
      </c>
      <c r="M25" s="87">
        <f t="shared" si="3"/>
        <v>0.99747251961181715</v>
      </c>
      <c r="N25" s="87">
        <f t="shared" si="3"/>
        <v>0.99432509120389134</v>
      </c>
      <c r="O25" s="87"/>
    </row>
    <row r="26" spans="1:15" x14ac:dyDescent="0.2">
      <c r="A26" s="28" t="s">
        <v>273</v>
      </c>
      <c r="B26" s="87">
        <f t="shared" si="0"/>
        <v>1</v>
      </c>
      <c r="C26" s="87">
        <f t="shared" si="0"/>
        <v>1.871047380702763</v>
      </c>
      <c r="D26" s="87">
        <f t="shared" si="0"/>
        <v>7.6688761878994898</v>
      </c>
      <c r="E26" s="87">
        <f t="shared" si="1"/>
        <v>4.8612059927626907</v>
      </c>
      <c r="F26" s="87">
        <f t="shared" si="2"/>
        <v>8.8169704758361807</v>
      </c>
      <c r="G26" s="87">
        <f t="shared" si="1"/>
        <v>5.9611079170753154</v>
      </c>
      <c r="I26" s="28" t="s">
        <v>273</v>
      </c>
      <c r="J26" s="87">
        <f t="shared" si="4"/>
        <v>1</v>
      </c>
      <c r="K26" s="87">
        <f t="shared" si="3"/>
        <v>4.0987076366922732</v>
      </c>
      <c r="L26" s="87">
        <f t="shared" si="3"/>
        <v>2.5981201988251241</v>
      </c>
      <c r="M26" s="87">
        <f t="shared" si="3"/>
        <v>4.7123181201988249</v>
      </c>
      <c r="N26" s="87">
        <f t="shared" si="3"/>
        <v>3.1859737912336197</v>
      </c>
      <c r="O26" s="87"/>
    </row>
    <row r="27" spans="1:15" x14ac:dyDescent="0.2">
      <c r="A27" s="28" t="s">
        <v>274</v>
      </c>
      <c r="B27" s="87">
        <f t="shared" si="0"/>
        <v>1</v>
      </c>
      <c r="C27" s="87">
        <f t="shared" si="0"/>
        <v>2.0961695191524043</v>
      </c>
      <c r="D27" s="87">
        <f t="shared" si="0"/>
        <v>7.2963868513990766</v>
      </c>
      <c r="E27" s="87">
        <f t="shared" si="1"/>
        <v>5.6994476138730414</v>
      </c>
      <c r="F27" s="87">
        <f t="shared" si="2"/>
        <v>8.3346011047722541</v>
      </c>
      <c r="G27" s="87">
        <f t="shared" si="1"/>
        <v>6.6386851399076336</v>
      </c>
      <c r="I27" s="28" t="s">
        <v>274</v>
      </c>
      <c r="J27" s="87">
        <f t="shared" si="4"/>
        <v>1</v>
      </c>
      <c r="K27" s="87">
        <f t="shared" si="3"/>
        <v>3.4808190772420944</v>
      </c>
      <c r="L27" s="87">
        <f t="shared" si="3"/>
        <v>2.7189822014860896</v>
      </c>
      <c r="M27" s="87">
        <f t="shared" si="3"/>
        <v>3.9761102471055816</v>
      </c>
      <c r="N27" s="87">
        <f t="shared" si="3"/>
        <v>3.1670554691550028</v>
      </c>
      <c r="O27" s="87"/>
    </row>
    <row r="28" spans="1:15" x14ac:dyDescent="0.2">
      <c r="A28" s="28" t="s">
        <v>275</v>
      </c>
      <c r="B28" s="87">
        <f t="shared" si="0"/>
        <v>1</v>
      </c>
      <c r="C28" s="87">
        <f t="shared" si="0"/>
        <v>1.8667506363326249</v>
      </c>
      <c r="D28" s="87">
        <f t="shared" si="0"/>
        <v>7.2846571675982048</v>
      </c>
      <c r="E28" s="87">
        <f t="shared" si="1"/>
        <v>4.3248051641344567</v>
      </c>
      <c r="F28" s="87">
        <f t="shared" si="2"/>
        <v>8.2738723136267023</v>
      </c>
      <c r="G28" s="87">
        <f t="shared" si="1"/>
        <v>5.1537432102652918</v>
      </c>
      <c r="I28" s="28" t="s">
        <v>275</v>
      </c>
      <c r="J28" s="87">
        <f t="shared" si="4"/>
        <v>1</v>
      </c>
      <c r="K28" s="87">
        <f t="shared" si="3"/>
        <v>3.9023193702558334</v>
      </c>
      <c r="L28" s="87">
        <f t="shared" si="3"/>
        <v>2.3167556929997191</v>
      </c>
      <c r="M28" s="87">
        <f t="shared" si="3"/>
        <v>4.4322322181613716</v>
      </c>
      <c r="N28" s="87">
        <f t="shared" si="3"/>
        <v>2.7608096710711272</v>
      </c>
      <c r="O28" s="87"/>
    </row>
    <row r="29" spans="1:15" x14ac:dyDescent="0.2">
      <c r="A29" s="28" t="s">
        <v>276</v>
      </c>
      <c r="B29" s="87">
        <f t="shared" si="0"/>
        <v>1</v>
      </c>
      <c r="C29" s="87">
        <f t="shared" si="0"/>
        <v>1.745898226034813</v>
      </c>
      <c r="D29" s="87">
        <f t="shared" si="0"/>
        <v>2.2697593070708755</v>
      </c>
      <c r="E29" s="87">
        <f t="shared" si="1"/>
        <v>2.0695427667194135</v>
      </c>
      <c r="F29" s="87">
        <f t="shared" si="2"/>
        <v>2.36886816023986</v>
      </c>
      <c r="G29" s="87">
        <f t="shared" si="1"/>
        <v>2.1584075955692512</v>
      </c>
      <c r="I29" s="28" t="s">
        <v>276</v>
      </c>
      <c r="J29" s="87">
        <f t="shared" si="4"/>
        <v>1</v>
      </c>
      <c r="K29" s="87">
        <f t="shared" si="3"/>
        <v>1.3000524734055241</v>
      </c>
      <c r="L29" s="87">
        <f t="shared" si="3"/>
        <v>1.1853742307875781</v>
      </c>
      <c r="M29" s="87">
        <f t="shared" si="3"/>
        <v>1.3568191575633259</v>
      </c>
      <c r="N29" s="87">
        <f t="shared" si="3"/>
        <v>1.2362734341458761</v>
      </c>
      <c r="O29" s="87"/>
    </row>
    <row r="30" spans="1:15" x14ac:dyDescent="0.2">
      <c r="A30" s="28" t="s">
        <v>7</v>
      </c>
      <c r="B30" s="87">
        <f t="shared" si="0"/>
        <v>1</v>
      </c>
      <c r="C30" s="87">
        <f t="shared" si="0"/>
        <v>1.872116296218266</v>
      </c>
      <c r="D30" s="87">
        <f t="shared" si="0"/>
        <v>11.527290785691713</v>
      </c>
      <c r="E30" s="87">
        <f t="shared" si="1"/>
        <v>9.4144557643978271</v>
      </c>
      <c r="F30" s="87">
        <f t="shared" si="2"/>
        <v>13.259394140043039</v>
      </c>
      <c r="G30" s="87">
        <f t="shared" si="1"/>
        <v>11.355735805330243</v>
      </c>
      <c r="I30" s="28" t="s">
        <v>7</v>
      </c>
      <c r="J30" s="87">
        <f t="shared" si="4"/>
        <v>1</v>
      </c>
      <c r="K30" s="87">
        <f t="shared" si="3"/>
        <v>6.1573582842995398</v>
      </c>
      <c r="L30" s="87">
        <f t="shared" si="3"/>
        <v>5.0287772097360213</v>
      </c>
      <c r="M30" s="87">
        <f t="shared" si="3"/>
        <v>7.0825696922928527</v>
      </c>
      <c r="N30" s="87">
        <f t="shared" si="3"/>
        <v>6.0657213594418184</v>
      </c>
      <c r="O30" s="87"/>
    </row>
    <row r="31" spans="1:15" x14ac:dyDescent="0.2">
      <c r="A31" s="28" t="s">
        <v>9</v>
      </c>
      <c r="B31" s="87">
        <f t="shared" si="0"/>
        <v>1</v>
      </c>
      <c r="C31" s="87">
        <f t="shared" si="0"/>
        <v>1.051567578722892</v>
      </c>
      <c r="D31" s="87">
        <f t="shared" si="0"/>
        <v>1.0193905102584828</v>
      </c>
      <c r="E31" s="87">
        <f t="shared" si="1"/>
        <v>1.0154694137272775</v>
      </c>
      <c r="F31" s="87">
        <f t="shared" si="2"/>
        <v>1.0154436170395722</v>
      </c>
      <c r="G31" s="87">
        <f t="shared" si="1"/>
        <v>1.0191669389650369</v>
      </c>
      <c r="I31" s="28" t="s">
        <v>9</v>
      </c>
      <c r="J31" s="87">
        <f t="shared" si="4"/>
        <v>1</v>
      </c>
      <c r="K31" s="87">
        <f t="shared" si="3"/>
        <v>0.96940085533686049</v>
      </c>
      <c r="L31" s="87">
        <f t="shared" si="3"/>
        <v>0.96567204454947619</v>
      </c>
      <c r="M31" s="87">
        <f t="shared" si="3"/>
        <v>0.9656475128995593</v>
      </c>
      <c r="N31" s="87">
        <f t="shared" si="3"/>
        <v>0.96918824770424639</v>
      </c>
      <c r="O31" s="87"/>
    </row>
    <row r="32" spans="1:15" x14ac:dyDescent="0.2">
      <c r="A32" s="28" t="s">
        <v>11</v>
      </c>
      <c r="B32" s="87">
        <f t="shared" si="0"/>
        <v>1</v>
      </c>
      <c r="C32" s="87">
        <f t="shared" si="0"/>
        <v>1.8700453290617225</v>
      </c>
      <c r="D32" s="87">
        <f t="shared" si="0"/>
        <v>7.7165059132272251</v>
      </c>
      <c r="E32" s="87">
        <f t="shared" si="1"/>
        <v>4.8336457516785387</v>
      </c>
      <c r="F32" s="87">
        <f t="shared" si="2"/>
        <v>8.8725673971575603</v>
      </c>
      <c r="G32" s="87">
        <f t="shared" si="1"/>
        <v>5.9641798166388327</v>
      </c>
      <c r="I32" s="28" t="s">
        <v>11</v>
      </c>
      <c r="J32" s="87">
        <f t="shared" si="4"/>
        <v>1</v>
      </c>
      <c r="K32" s="87">
        <f t="shared" si="3"/>
        <v>4.126373726512238</v>
      </c>
      <c r="L32" s="87">
        <f t="shared" si="3"/>
        <v>2.584774645063697</v>
      </c>
      <c r="M32" s="87">
        <f t="shared" si="3"/>
        <v>4.7445734385536458</v>
      </c>
      <c r="N32" s="87">
        <f t="shared" si="3"/>
        <v>3.189323661812681</v>
      </c>
      <c r="O32" s="87"/>
    </row>
    <row r="33" spans="1:15" x14ac:dyDescent="0.2">
      <c r="A33" s="28" t="s">
        <v>12</v>
      </c>
      <c r="B33" s="87">
        <f t="shared" si="0"/>
        <v>1</v>
      </c>
      <c r="C33" s="87">
        <f t="shared" si="0"/>
        <v>2.078753591954023</v>
      </c>
      <c r="D33" s="87">
        <f t="shared" si="0"/>
        <v>7.2301544540229887</v>
      </c>
      <c r="E33" s="87">
        <f t="shared" si="1"/>
        <v>5.6506824712643677</v>
      </c>
      <c r="F33" s="87">
        <f t="shared" si="2"/>
        <v>8.2584410919540225</v>
      </c>
      <c r="G33" s="87">
        <f t="shared" si="1"/>
        <v>6.5884518678160919</v>
      </c>
      <c r="I33" s="28" t="s">
        <v>12</v>
      </c>
      <c r="J33" s="87">
        <f t="shared" si="4"/>
        <v>1</v>
      </c>
      <c r="K33" s="87">
        <f t="shared" si="3"/>
        <v>3.478120005183809</v>
      </c>
      <c r="L33" s="87">
        <f t="shared" si="3"/>
        <v>2.7183031664434747</v>
      </c>
      <c r="M33" s="87">
        <f t="shared" si="3"/>
        <v>3.9727850015119444</v>
      </c>
      <c r="N33" s="87">
        <f t="shared" si="3"/>
        <v>3.1694241651907209</v>
      </c>
      <c r="O33" s="87"/>
    </row>
    <row r="34" spans="1:15" x14ac:dyDescent="0.2">
      <c r="A34" s="28" t="s">
        <v>15</v>
      </c>
      <c r="B34" s="87">
        <f t="shared" si="0"/>
        <v>1</v>
      </c>
      <c r="C34" s="87">
        <f t="shared" si="0"/>
        <v>1.8705377019983762</v>
      </c>
      <c r="D34" s="87">
        <f t="shared" si="0"/>
        <v>7.2107330871375819</v>
      </c>
      <c r="E34" s="87">
        <f t="shared" si="1"/>
        <v>4.3492574840889446</v>
      </c>
      <c r="F34" s="87">
        <f t="shared" si="2"/>
        <v>8.301458840784683</v>
      </c>
      <c r="G34" s="87">
        <f t="shared" si="1"/>
        <v>5.1725989366438805</v>
      </c>
      <c r="I34" s="28" t="s">
        <v>15</v>
      </c>
      <c r="J34" s="87">
        <f t="shared" si="4"/>
        <v>1</v>
      </c>
      <c r="K34" s="87">
        <f t="shared" si="3"/>
        <v>3.8548985564065585</v>
      </c>
      <c r="L34" s="87">
        <f t="shared" si="3"/>
        <v>2.3251375684341702</v>
      </c>
      <c r="M34" s="87">
        <f t="shared" si="3"/>
        <v>4.438006692896848</v>
      </c>
      <c r="N34" s="87">
        <f t="shared" si="3"/>
        <v>2.7653005502737367</v>
      </c>
      <c r="O34" s="87"/>
    </row>
    <row r="35" spans="1:15" x14ac:dyDescent="0.2">
      <c r="A35" s="28" t="s">
        <v>17</v>
      </c>
      <c r="B35" s="87">
        <f t="shared" si="0"/>
        <v>1</v>
      </c>
      <c r="C35" s="87">
        <f t="shared" si="0"/>
        <v>2.0591411591795001</v>
      </c>
      <c r="D35" s="87">
        <f t="shared" si="0"/>
        <v>2.6106140967473959</v>
      </c>
      <c r="E35" s="87">
        <f t="shared" si="1"/>
        <v>2.4405393315866828</v>
      </c>
      <c r="F35" s="87">
        <f t="shared" si="2"/>
        <v>2.7455108952648732</v>
      </c>
      <c r="G35" s="87">
        <f t="shared" si="1"/>
        <v>2.5617611348967984</v>
      </c>
      <c r="I35" s="28" t="s">
        <v>17</v>
      </c>
      <c r="J35" s="87">
        <f t="shared" si="4"/>
        <v>1</v>
      </c>
      <c r="K35" s="87">
        <f t="shared" si="3"/>
        <v>1.2678169658789393</v>
      </c>
      <c r="L35" s="87">
        <f t="shared" si="3"/>
        <v>1.1852219653358573</v>
      </c>
      <c r="M35" s="87">
        <f t="shared" si="3"/>
        <v>1.333328161124645</v>
      </c>
      <c r="N35" s="87">
        <f t="shared" si="3"/>
        <v>1.2440920446258166</v>
      </c>
      <c r="O35" s="87"/>
    </row>
    <row r="36" spans="1:15" x14ac:dyDescent="0.2">
      <c r="A36" s="2" t="s">
        <v>226</v>
      </c>
      <c r="B36" s="87">
        <f t="shared" ref="B36:D36" si="5">GEOMEAN(B22:B35)</f>
        <v>1</v>
      </c>
      <c r="C36" s="87">
        <f t="shared" si="5"/>
        <v>1.8476181560103755</v>
      </c>
      <c r="D36" s="87">
        <f t="shared" si="5"/>
        <v>4.6655435097550528</v>
      </c>
      <c r="E36" s="87">
        <f>GEOMEAN(E22:E35)</f>
        <v>3.6745826883437345</v>
      </c>
      <c r="F36" s="87">
        <f>GEOMEAN(F22:F35)</f>
        <v>5.1245444978469061</v>
      </c>
      <c r="G36" s="87">
        <f>GEOMEAN(G22:G35)</f>
        <v>4.13737523717624</v>
      </c>
      <c r="H36" s="1">
        <f>F36/G36</f>
        <v>1.2385979525860964</v>
      </c>
      <c r="I36" s="2" t="s">
        <v>226</v>
      </c>
      <c r="J36" s="87">
        <f t="shared" ref="J36:K36" si="6">GEOMEAN(J22:J35)</f>
        <v>1</v>
      </c>
      <c r="K36" s="87">
        <f t="shared" si="6"/>
        <v>2.5251665202454601</v>
      </c>
      <c r="L36" s="87">
        <f>GEOMEAN(L22:L35)</f>
        <v>1.9888214869453251</v>
      </c>
      <c r="M36" s="87">
        <f>GEOMEAN(M22:M35)</f>
        <v>2.7735950099735485</v>
      </c>
      <c r="N36" s="87">
        <f>GEOMEAN(N22:N35)</f>
        <v>2.239302111054275</v>
      </c>
      <c r="O36" s="87"/>
    </row>
    <row r="37" spans="1:15" x14ac:dyDescent="0.2">
      <c r="B37" s="88"/>
      <c r="C37" s="88"/>
      <c r="D37" s="88"/>
      <c r="E37" s="88"/>
      <c r="F37" s="88"/>
      <c r="G37" s="88"/>
    </row>
    <row r="38" spans="1:15" x14ac:dyDescent="0.2">
      <c r="B38" s="88"/>
      <c r="C38" s="88"/>
      <c r="D38" s="88"/>
      <c r="E38" s="88"/>
      <c r="F38" s="88"/>
      <c r="G38" s="88"/>
    </row>
    <row r="42" spans="1:15" x14ac:dyDescent="0.2">
      <c r="A42" s="2" t="s">
        <v>236</v>
      </c>
      <c r="B42" s="90" t="s">
        <v>233</v>
      </c>
      <c r="C42" s="2" t="s">
        <v>257</v>
      </c>
      <c r="D42" s="2" t="s">
        <v>267</v>
      </c>
      <c r="E42" s="2" t="s">
        <v>263</v>
      </c>
      <c r="F42" s="2" t="s">
        <v>277</v>
      </c>
      <c r="G42" s="2" t="s">
        <v>278</v>
      </c>
      <c r="H42" s="2" t="s">
        <v>257</v>
      </c>
      <c r="I42" s="2" t="s">
        <v>267</v>
      </c>
      <c r="J42" s="2" t="s">
        <v>263</v>
      </c>
      <c r="K42" s="2" t="s">
        <v>277</v>
      </c>
      <c r="L42" s="2" t="s">
        <v>278</v>
      </c>
    </row>
    <row r="43" spans="1:15" x14ac:dyDescent="0.2">
      <c r="A43" s="28" t="s">
        <v>269</v>
      </c>
      <c r="B43" s="3">
        <v>623988</v>
      </c>
      <c r="C43" s="3">
        <v>631656</v>
      </c>
      <c r="D43" s="3">
        <v>679972</v>
      </c>
      <c r="E43" s="3">
        <v>632524</v>
      </c>
      <c r="F43" s="3">
        <v>680084</v>
      </c>
      <c r="G43" s="3">
        <v>632620</v>
      </c>
      <c r="H43" s="3">
        <f>(C43-$B43)/1024</f>
        <v>7.48828125</v>
      </c>
      <c r="I43" s="3">
        <f>(D43-$B43)/1024</f>
        <v>54.671875</v>
      </c>
      <c r="J43" s="3">
        <f>(E43-$B43)/1024</f>
        <v>8.3359375</v>
      </c>
      <c r="K43" s="3">
        <f>(F43-$B43)/1024</f>
        <v>54.78125</v>
      </c>
      <c r="L43" s="3">
        <f>(G43-$B43)/1024</f>
        <v>8.4296875</v>
      </c>
      <c r="M43" s="93">
        <f t="shared" ref="M43:M56" si="7">K43-L43</f>
        <v>46.3515625</v>
      </c>
    </row>
    <row r="44" spans="1:15" x14ac:dyDescent="0.2">
      <c r="A44" s="28" t="s">
        <v>270</v>
      </c>
      <c r="B44" s="3">
        <v>166548</v>
      </c>
      <c r="C44" s="3">
        <v>174952</v>
      </c>
      <c r="D44" s="3">
        <v>235356</v>
      </c>
      <c r="E44" s="3">
        <v>176120</v>
      </c>
      <c r="F44" s="3">
        <v>235524</v>
      </c>
      <c r="G44" s="3">
        <v>176192</v>
      </c>
      <c r="H44" s="3">
        <f t="shared" ref="H44:H55" si="8">(C44-$B44)/1024</f>
        <v>8.20703125</v>
      </c>
      <c r="I44" s="3">
        <f t="shared" ref="I44:I55" si="9">(D44-$B44)/1024</f>
        <v>67.1953125</v>
      </c>
      <c r="J44" s="3">
        <f t="shared" ref="J44:J55" si="10">(E44-$B44)/1024</f>
        <v>9.34765625</v>
      </c>
      <c r="K44" s="3">
        <f t="shared" ref="K44:K56" si="11">(F44-$B44)/1024</f>
        <v>67.359375</v>
      </c>
      <c r="L44" s="3">
        <f t="shared" ref="L44:L56" si="12">(G44-$B44)/1024</f>
        <v>9.41796875</v>
      </c>
      <c r="M44" s="93">
        <f t="shared" si="7"/>
        <v>57.94140625</v>
      </c>
    </row>
    <row r="45" spans="1:15" x14ac:dyDescent="0.2">
      <c r="A45" s="28" t="s">
        <v>271</v>
      </c>
      <c r="B45" s="3">
        <v>424120</v>
      </c>
      <c r="C45" s="3">
        <v>532096</v>
      </c>
      <c r="D45" s="3">
        <v>1837868</v>
      </c>
      <c r="E45" s="3">
        <v>535876</v>
      </c>
      <c r="F45" s="3">
        <v>1839932</v>
      </c>
      <c r="G45" s="3">
        <v>537444</v>
      </c>
      <c r="H45" s="3">
        <f t="shared" si="8"/>
        <v>105.4453125</v>
      </c>
      <c r="I45" s="3">
        <f t="shared" si="9"/>
        <v>1380.61328125</v>
      </c>
      <c r="J45" s="3">
        <f t="shared" si="10"/>
        <v>109.13671875</v>
      </c>
      <c r="K45" s="3">
        <f t="shared" si="11"/>
        <v>1382.62890625</v>
      </c>
      <c r="L45" s="3">
        <f t="shared" si="12"/>
        <v>110.66796875</v>
      </c>
      <c r="M45" s="93">
        <f t="shared" si="7"/>
        <v>1271.9609375</v>
      </c>
    </row>
    <row r="46" spans="1:15" x14ac:dyDescent="0.2">
      <c r="A46" s="28" t="s">
        <v>272</v>
      </c>
      <c r="B46" s="3">
        <v>420396</v>
      </c>
      <c r="C46" s="3">
        <v>427684</v>
      </c>
      <c r="D46" s="3">
        <v>472928</v>
      </c>
      <c r="E46" s="3">
        <v>428808</v>
      </c>
      <c r="F46" s="3">
        <v>473264</v>
      </c>
      <c r="G46" s="3">
        <v>428680</v>
      </c>
      <c r="H46" s="3">
        <f t="shared" si="8"/>
        <v>7.1171875</v>
      </c>
      <c r="I46" s="3">
        <f t="shared" si="9"/>
        <v>51.30078125</v>
      </c>
      <c r="J46" s="3">
        <f t="shared" si="10"/>
        <v>8.21484375</v>
      </c>
      <c r="K46" s="3">
        <f t="shared" si="11"/>
        <v>51.62890625</v>
      </c>
      <c r="L46" s="3">
        <f t="shared" si="12"/>
        <v>8.08984375</v>
      </c>
      <c r="M46" s="93">
        <f t="shared" si="7"/>
        <v>43.5390625</v>
      </c>
    </row>
    <row r="47" spans="1:15" x14ac:dyDescent="0.2">
      <c r="A47" s="28" t="s">
        <v>273</v>
      </c>
      <c r="B47" s="3">
        <v>490640</v>
      </c>
      <c r="C47" s="3">
        <v>508848</v>
      </c>
      <c r="D47" s="3">
        <v>739320</v>
      </c>
      <c r="E47" s="3">
        <v>511764</v>
      </c>
      <c r="F47" s="3">
        <v>741216</v>
      </c>
      <c r="G47" s="3">
        <v>513348</v>
      </c>
      <c r="H47" s="3">
        <f t="shared" si="8"/>
        <v>17.78125</v>
      </c>
      <c r="I47" s="3">
        <f t="shared" si="9"/>
        <v>242.8515625</v>
      </c>
      <c r="J47" s="3">
        <f t="shared" si="10"/>
        <v>20.62890625</v>
      </c>
      <c r="K47" s="3">
        <f t="shared" si="11"/>
        <v>244.703125</v>
      </c>
      <c r="L47" s="3">
        <f t="shared" si="12"/>
        <v>22.17578125</v>
      </c>
      <c r="M47" s="93">
        <f t="shared" si="7"/>
        <v>222.52734375</v>
      </c>
    </row>
    <row r="48" spans="1:15" x14ac:dyDescent="0.2">
      <c r="A48" s="28" t="s">
        <v>274</v>
      </c>
      <c r="B48" s="3">
        <v>159952</v>
      </c>
      <c r="C48" s="3">
        <v>172224</v>
      </c>
      <c r="D48" s="3">
        <v>275884</v>
      </c>
      <c r="E48" s="3">
        <v>176780</v>
      </c>
      <c r="F48" s="3">
        <v>273232</v>
      </c>
      <c r="G48" s="3">
        <v>177136</v>
      </c>
      <c r="H48" s="3">
        <f t="shared" si="8"/>
        <v>11.984375</v>
      </c>
      <c r="I48" s="3">
        <f t="shared" si="9"/>
        <v>113.21484375</v>
      </c>
      <c r="J48" s="3">
        <f t="shared" si="10"/>
        <v>16.43359375</v>
      </c>
      <c r="K48" s="3">
        <f t="shared" si="11"/>
        <v>110.625</v>
      </c>
      <c r="L48" s="3">
        <f t="shared" si="12"/>
        <v>16.78125</v>
      </c>
      <c r="M48" s="93">
        <f t="shared" si="7"/>
        <v>93.84375</v>
      </c>
    </row>
    <row r="49" spans="1:13" x14ac:dyDescent="0.2">
      <c r="A49" s="28" t="s">
        <v>275</v>
      </c>
      <c r="B49" s="3">
        <v>27644</v>
      </c>
      <c r="C49" s="3">
        <v>86128</v>
      </c>
      <c r="D49" s="3">
        <v>333520</v>
      </c>
      <c r="E49" s="3">
        <v>87252</v>
      </c>
      <c r="F49" s="3">
        <v>333976</v>
      </c>
      <c r="G49" s="3">
        <v>87420</v>
      </c>
      <c r="H49" s="3">
        <f t="shared" si="8"/>
        <v>57.11328125</v>
      </c>
      <c r="I49" s="3">
        <f t="shared" si="9"/>
        <v>298.70703125</v>
      </c>
      <c r="J49" s="3">
        <f t="shared" si="10"/>
        <v>58.2109375</v>
      </c>
      <c r="K49" s="3">
        <f t="shared" si="11"/>
        <v>299.15234375</v>
      </c>
      <c r="L49" s="3">
        <f t="shared" si="12"/>
        <v>58.375</v>
      </c>
      <c r="M49" s="93">
        <f t="shared" si="7"/>
        <v>240.77734375</v>
      </c>
    </row>
    <row r="50" spans="1:13" x14ac:dyDescent="0.2">
      <c r="A50" s="28" t="s">
        <v>276</v>
      </c>
      <c r="B50" s="3">
        <v>743004</v>
      </c>
      <c r="C50" s="3">
        <v>751400</v>
      </c>
      <c r="D50" s="3">
        <v>797204</v>
      </c>
      <c r="E50" s="3">
        <v>752772</v>
      </c>
      <c r="F50" s="3">
        <v>797372</v>
      </c>
      <c r="G50" s="3">
        <v>752864</v>
      </c>
      <c r="H50" s="3">
        <f t="shared" si="8"/>
        <v>8.19921875</v>
      </c>
      <c r="I50" s="3">
        <f t="shared" si="9"/>
        <v>52.9296875</v>
      </c>
      <c r="J50" s="3">
        <f t="shared" si="10"/>
        <v>9.5390625</v>
      </c>
      <c r="K50" s="3">
        <f t="shared" si="11"/>
        <v>53.09375</v>
      </c>
      <c r="L50" s="3">
        <f t="shared" si="12"/>
        <v>9.62890625</v>
      </c>
      <c r="M50" s="93">
        <f t="shared" si="7"/>
        <v>43.46484375</v>
      </c>
    </row>
    <row r="51" spans="1:13" x14ac:dyDescent="0.2">
      <c r="A51" s="28" t="s">
        <v>7</v>
      </c>
      <c r="B51" s="3">
        <v>4056652</v>
      </c>
      <c r="C51" s="3">
        <v>4064044</v>
      </c>
      <c r="D51" s="3">
        <v>4111984</v>
      </c>
      <c r="E51" s="3">
        <v>4064964</v>
      </c>
      <c r="F51" s="3">
        <v>4112300</v>
      </c>
      <c r="G51" s="3">
        <v>4065020</v>
      </c>
      <c r="H51" s="3">
        <f t="shared" si="8"/>
        <v>7.21875</v>
      </c>
      <c r="I51" s="3">
        <f t="shared" si="9"/>
        <v>54.03515625</v>
      </c>
      <c r="J51" s="3">
        <f t="shared" si="10"/>
        <v>8.1171875</v>
      </c>
      <c r="K51" s="3">
        <f t="shared" si="11"/>
        <v>54.34375</v>
      </c>
      <c r="L51" s="3">
        <f t="shared" si="12"/>
        <v>8.171875</v>
      </c>
      <c r="M51" s="93">
        <f t="shared" si="7"/>
        <v>46.171875</v>
      </c>
    </row>
    <row r="52" spans="1:13" x14ac:dyDescent="0.2">
      <c r="A52" s="28" t="s">
        <v>9</v>
      </c>
      <c r="B52" s="3">
        <v>3302240</v>
      </c>
      <c r="C52" s="3">
        <v>3310468</v>
      </c>
      <c r="D52" s="3">
        <v>3370548</v>
      </c>
      <c r="E52" s="3">
        <v>3312568</v>
      </c>
      <c r="F52" s="3">
        <v>3370436</v>
      </c>
      <c r="G52" s="3">
        <v>3312784</v>
      </c>
      <c r="H52" s="3">
        <f t="shared" si="8"/>
        <v>8.03515625</v>
      </c>
      <c r="I52" s="3">
        <f t="shared" si="9"/>
        <v>66.70703125</v>
      </c>
      <c r="J52" s="3">
        <f t="shared" si="10"/>
        <v>10.0859375</v>
      </c>
      <c r="K52" s="3">
        <f t="shared" si="11"/>
        <v>66.59765625</v>
      </c>
      <c r="L52" s="3">
        <f t="shared" si="12"/>
        <v>10.296875</v>
      </c>
      <c r="M52" s="93">
        <f t="shared" si="7"/>
        <v>56.30078125</v>
      </c>
    </row>
    <row r="53" spans="1:13" x14ac:dyDescent="0.2">
      <c r="A53" s="28" t="s">
        <v>11</v>
      </c>
      <c r="B53" s="3">
        <v>491012</v>
      </c>
      <c r="C53" s="3">
        <v>508752</v>
      </c>
      <c r="D53" s="3">
        <v>738776</v>
      </c>
      <c r="E53" s="3">
        <v>511668</v>
      </c>
      <c r="F53" s="3">
        <v>740612</v>
      </c>
      <c r="G53" s="3">
        <v>513236</v>
      </c>
      <c r="H53" s="3">
        <f t="shared" si="8"/>
        <v>17.32421875</v>
      </c>
      <c r="I53" s="3">
        <f t="shared" si="9"/>
        <v>241.95703125</v>
      </c>
      <c r="J53" s="3">
        <f t="shared" si="10"/>
        <v>20.171875</v>
      </c>
      <c r="K53" s="3">
        <f t="shared" si="11"/>
        <v>243.75</v>
      </c>
      <c r="L53" s="3">
        <f t="shared" si="12"/>
        <v>21.703125</v>
      </c>
      <c r="M53" s="93">
        <f t="shared" si="7"/>
        <v>222.046875</v>
      </c>
    </row>
    <row r="54" spans="1:13" x14ac:dyDescent="0.2">
      <c r="A54" s="28" t="s">
        <v>12</v>
      </c>
      <c r="B54" s="3">
        <v>160200</v>
      </c>
      <c r="C54" s="3">
        <v>172196</v>
      </c>
      <c r="D54" s="3">
        <v>275840</v>
      </c>
      <c r="E54" s="3">
        <v>176796</v>
      </c>
      <c r="F54" s="3">
        <v>273264</v>
      </c>
      <c r="G54" s="3">
        <v>177152</v>
      </c>
      <c r="H54" s="3">
        <f t="shared" si="8"/>
        <v>11.71484375</v>
      </c>
      <c r="I54" s="3">
        <f t="shared" si="9"/>
        <v>112.9296875</v>
      </c>
      <c r="J54" s="3">
        <f t="shared" si="10"/>
        <v>16.20703125</v>
      </c>
      <c r="K54" s="3">
        <f t="shared" si="11"/>
        <v>110.4140625</v>
      </c>
      <c r="L54" s="3">
        <f t="shared" si="12"/>
        <v>16.5546875</v>
      </c>
      <c r="M54" s="93">
        <f t="shared" si="7"/>
        <v>93.859375</v>
      </c>
    </row>
    <row r="55" spans="1:13" x14ac:dyDescent="0.2">
      <c r="A55" s="28" t="s">
        <v>15</v>
      </c>
      <c r="B55" s="3">
        <v>28044</v>
      </c>
      <c r="C55" s="3">
        <v>86228</v>
      </c>
      <c r="D55" s="3">
        <v>333404</v>
      </c>
      <c r="E55" s="3">
        <v>87204</v>
      </c>
      <c r="F55" s="3">
        <v>333948</v>
      </c>
      <c r="G55" s="3">
        <v>87464</v>
      </c>
      <c r="H55" s="3">
        <f t="shared" si="8"/>
        <v>56.8203125</v>
      </c>
      <c r="I55" s="3">
        <f t="shared" si="9"/>
        <v>298.203125</v>
      </c>
      <c r="J55" s="3">
        <f t="shared" si="10"/>
        <v>57.7734375</v>
      </c>
      <c r="K55" s="3">
        <f t="shared" si="11"/>
        <v>298.734375</v>
      </c>
      <c r="L55" s="3">
        <f t="shared" si="12"/>
        <v>58.02734375</v>
      </c>
      <c r="M55" s="93">
        <f t="shared" si="7"/>
        <v>240.70703125</v>
      </c>
    </row>
    <row r="56" spans="1:13" x14ac:dyDescent="0.2">
      <c r="A56" s="28" t="s">
        <v>17</v>
      </c>
      <c r="B56" s="3">
        <v>15741624</v>
      </c>
      <c r="C56" s="3">
        <v>15706200</v>
      </c>
      <c r="D56" s="3">
        <v>15779704</v>
      </c>
      <c r="E56" s="3">
        <v>15744700</v>
      </c>
      <c r="F56" s="3">
        <v>15795580</v>
      </c>
      <c r="G56" s="3">
        <v>15763444</v>
      </c>
      <c r="H56" s="3">
        <v>19</v>
      </c>
      <c r="I56" s="3">
        <f>(D56-$B56)/1024</f>
        <v>37.1875</v>
      </c>
      <c r="J56" s="3">
        <v>20</v>
      </c>
      <c r="K56" s="3">
        <f t="shared" si="11"/>
        <v>52.69140625</v>
      </c>
      <c r="L56" s="3">
        <f t="shared" si="12"/>
        <v>21.30859375</v>
      </c>
      <c r="M56" s="93">
        <f t="shared" si="7"/>
        <v>31.3828125</v>
      </c>
    </row>
    <row r="57" spans="1:13" x14ac:dyDescent="0.2">
      <c r="A57" s="1" t="s">
        <v>170</v>
      </c>
      <c r="B57" s="89"/>
      <c r="C57" s="89"/>
      <c r="D57" s="89"/>
      <c r="E57" s="89"/>
      <c r="F57" s="89"/>
      <c r="G57" s="89"/>
      <c r="H57" s="89">
        <f>GEOMEAN(H43:H56)</f>
        <v>15.763390524474127</v>
      </c>
      <c r="I57" s="89">
        <f>GEOMEAN(I43:I56)</f>
        <v>119.66995116169697</v>
      </c>
      <c r="J57" s="89">
        <f>GEOMEAN(J43:J56)</f>
        <v>18.105288259872243</v>
      </c>
      <c r="K57" s="89">
        <f>GEOMEAN(K43:K56)</f>
        <v>122.61599360895013</v>
      </c>
      <c r="L57" s="89">
        <f>GEOMEAN(L43:L56)</f>
        <v>18.513671580555755</v>
      </c>
    </row>
    <row r="58" spans="1:13" x14ac:dyDescent="0.2">
      <c r="B58" s="89"/>
      <c r="C58" s="89"/>
      <c r="D58" s="89"/>
      <c r="E58" s="89"/>
      <c r="F58" s="89"/>
      <c r="G58" s="89"/>
      <c r="H58" s="89"/>
    </row>
    <row r="59" spans="1:13" x14ac:dyDescent="0.2">
      <c r="B59" s="89"/>
      <c r="C59" s="89"/>
      <c r="D59" s="89"/>
      <c r="E59" s="89"/>
      <c r="F59" s="89"/>
      <c r="G59" s="89"/>
      <c r="H59" s="89"/>
    </row>
    <row r="61" spans="1:13" x14ac:dyDescent="0.2">
      <c r="A61" s="2" t="s">
        <v>236</v>
      </c>
      <c r="B61" s="90" t="s">
        <v>233</v>
      </c>
      <c r="C61" s="2" t="s">
        <v>257</v>
      </c>
      <c r="D61" s="2" t="s">
        <v>267</v>
      </c>
      <c r="E61" s="2" t="s">
        <v>263</v>
      </c>
      <c r="F61" s="2" t="s">
        <v>277</v>
      </c>
      <c r="G61" s="2" t="s">
        <v>278</v>
      </c>
    </row>
    <row r="62" spans="1:13" x14ac:dyDescent="0.2">
      <c r="A62" s="28" t="s">
        <v>75</v>
      </c>
      <c r="B62" s="100">
        <f t="shared" ref="B62:B73" si="13">B43/$B43</f>
        <v>1</v>
      </c>
      <c r="C62" s="100">
        <f t="shared" ref="C62:D62" si="14">C43/$B43</f>
        <v>1.0122886978595742</v>
      </c>
      <c r="D62" s="100">
        <f t="shared" si="14"/>
        <v>1.0897196740962967</v>
      </c>
      <c r="E62" s="100">
        <f t="shared" ref="E62:G75" si="15">E43/$B43</f>
        <v>1.0136797502516075</v>
      </c>
      <c r="F62" s="100">
        <f t="shared" ref="F62:F75" si="16">F43/$B43</f>
        <v>1.0898991647275269</v>
      </c>
      <c r="G62" s="100">
        <f t="shared" si="15"/>
        <v>1.0138335993640903</v>
      </c>
    </row>
    <row r="63" spans="1:13" x14ac:dyDescent="0.2">
      <c r="A63" s="28" t="s">
        <v>27</v>
      </c>
      <c r="B63" s="100">
        <f t="shared" si="13"/>
        <v>1</v>
      </c>
      <c r="C63" s="100">
        <f t="shared" ref="C63:D63" si="17">C44/$B44</f>
        <v>1.0504599274683575</v>
      </c>
      <c r="D63" s="100">
        <f t="shared" si="17"/>
        <v>1.4131421572159377</v>
      </c>
      <c r="E63" s="100">
        <f t="shared" si="15"/>
        <v>1.0574729207195523</v>
      </c>
      <c r="F63" s="100">
        <f t="shared" si="16"/>
        <v>1.4141508754233014</v>
      </c>
      <c r="G63" s="100">
        <f t="shared" si="15"/>
        <v>1.0579052285227082</v>
      </c>
    </row>
    <row r="64" spans="1:13" x14ac:dyDescent="0.2">
      <c r="A64" s="28" t="s">
        <v>28</v>
      </c>
      <c r="B64" s="100">
        <f t="shared" si="13"/>
        <v>1</v>
      </c>
      <c r="C64" s="100">
        <f t="shared" ref="C64:D64" si="18">C45/$B45</f>
        <v>1.2545883240592286</v>
      </c>
      <c r="D64" s="100">
        <f t="shared" si="18"/>
        <v>4.3333679147411113</v>
      </c>
      <c r="E64" s="100">
        <f t="shared" si="15"/>
        <v>1.2635008959728378</v>
      </c>
      <c r="F64" s="100">
        <f t="shared" si="16"/>
        <v>4.3382344619447331</v>
      </c>
      <c r="G64" s="100">
        <f t="shared" si="15"/>
        <v>1.2671979628407055</v>
      </c>
    </row>
    <row r="65" spans="1:7" x14ac:dyDescent="0.2">
      <c r="A65" s="28" t="s">
        <v>78</v>
      </c>
      <c r="B65" s="100">
        <f t="shared" si="13"/>
        <v>1</v>
      </c>
      <c r="C65" s="100">
        <f t="shared" ref="C65:D65" si="19">C46/$B46</f>
        <v>1.0173360355474361</v>
      </c>
      <c r="D65" s="100">
        <f t="shared" si="19"/>
        <v>1.1249583725820418</v>
      </c>
      <c r="E65" s="100">
        <f t="shared" si="15"/>
        <v>1.0200097051351582</v>
      </c>
      <c r="F65" s="100">
        <f t="shared" si="16"/>
        <v>1.1257576190068412</v>
      </c>
      <c r="G65" s="100">
        <f t="shared" si="15"/>
        <v>1.0197052303066632</v>
      </c>
    </row>
    <row r="66" spans="1:7" x14ac:dyDescent="0.2">
      <c r="A66" s="28" t="s">
        <v>77</v>
      </c>
      <c r="B66" s="100">
        <f t="shared" si="13"/>
        <v>1</v>
      </c>
      <c r="C66" s="100">
        <f t="shared" ref="C66:D66" si="20">C47/$B47</f>
        <v>1.0371107125387249</v>
      </c>
      <c r="D66" s="100">
        <f t="shared" si="20"/>
        <v>1.5068481982716453</v>
      </c>
      <c r="E66" s="100">
        <f t="shared" si="15"/>
        <v>1.0430539703244741</v>
      </c>
      <c r="F66" s="100">
        <f t="shared" si="16"/>
        <v>1.5107125387249307</v>
      </c>
      <c r="G66" s="100">
        <f t="shared" si="15"/>
        <v>1.0462824066525354</v>
      </c>
    </row>
    <row r="67" spans="1:7" x14ac:dyDescent="0.2">
      <c r="A67" s="28" t="s">
        <v>79</v>
      </c>
      <c r="B67" s="100">
        <f t="shared" si="13"/>
        <v>1</v>
      </c>
      <c r="C67" s="100">
        <f t="shared" ref="C67:D67" si="21">C48/$B48</f>
        <v>1.0767230169050714</v>
      </c>
      <c r="D67" s="100">
        <f t="shared" si="21"/>
        <v>1.7247924377313193</v>
      </c>
      <c r="E67" s="100">
        <f t="shared" si="15"/>
        <v>1.1052065619685907</v>
      </c>
      <c r="F67" s="100">
        <f t="shared" si="16"/>
        <v>1.7082124637391218</v>
      </c>
      <c r="G67" s="100">
        <f t="shared" si="15"/>
        <v>1.1074322296689008</v>
      </c>
    </row>
    <row r="68" spans="1:7" x14ac:dyDescent="0.2">
      <c r="A68" s="28" t="s">
        <v>81</v>
      </c>
      <c r="B68" s="100">
        <f t="shared" si="13"/>
        <v>1</v>
      </c>
      <c r="C68" s="100">
        <f t="shared" ref="C68:D68" si="22">C49/$B49</f>
        <v>3.1156127912024307</v>
      </c>
      <c r="D68" s="100">
        <f t="shared" si="22"/>
        <v>12.064824193315005</v>
      </c>
      <c r="E68" s="100">
        <f t="shared" si="15"/>
        <v>3.1562726088843873</v>
      </c>
      <c r="F68" s="100">
        <f t="shared" si="16"/>
        <v>12.081319635363913</v>
      </c>
      <c r="G68" s="100">
        <f t="shared" si="15"/>
        <v>3.162349877007669</v>
      </c>
    </row>
    <row r="69" spans="1:7" x14ac:dyDescent="0.2">
      <c r="A69" s="28" t="s">
        <v>83</v>
      </c>
      <c r="B69" s="100">
        <f t="shared" si="13"/>
        <v>1</v>
      </c>
      <c r="C69" s="100">
        <f t="shared" ref="C69:D69" si="23">C50/$B50</f>
        <v>1.01130007375465</v>
      </c>
      <c r="D69" s="100">
        <f t="shared" si="23"/>
        <v>1.0729471173775647</v>
      </c>
      <c r="E69" s="100">
        <f t="shared" si="15"/>
        <v>1.0131466317812556</v>
      </c>
      <c r="F69" s="100">
        <f t="shared" si="16"/>
        <v>1.0731732265236795</v>
      </c>
      <c r="G69" s="100">
        <f t="shared" si="15"/>
        <v>1.0132704534565089</v>
      </c>
    </row>
    <row r="70" spans="1:7" x14ac:dyDescent="0.2">
      <c r="A70" s="28" t="s">
        <v>32</v>
      </c>
      <c r="B70" s="100">
        <f t="shared" si="13"/>
        <v>1</v>
      </c>
      <c r="C70" s="100">
        <f t="shared" ref="C70:D70" si="24">C51/$B51</f>
        <v>1.0018221922905883</v>
      </c>
      <c r="D70" s="100">
        <f t="shared" si="24"/>
        <v>1.0136398192401024</v>
      </c>
      <c r="E70" s="100">
        <f t="shared" si="15"/>
        <v>1.0020489802921226</v>
      </c>
      <c r="F70" s="100">
        <f t="shared" si="16"/>
        <v>1.0137177159884556</v>
      </c>
      <c r="G70" s="100">
        <f t="shared" si="15"/>
        <v>1.0020627847791725</v>
      </c>
    </row>
    <row r="71" spans="1:7" x14ac:dyDescent="0.2">
      <c r="A71" s="28" t="s">
        <v>34</v>
      </c>
      <c r="B71" s="100">
        <f t="shared" si="13"/>
        <v>1</v>
      </c>
      <c r="C71" s="100">
        <f t="shared" ref="C71:D71" si="25">C52/$B52</f>
        <v>1.0024916420369203</v>
      </c>
      <c r="D71" s="100">
        <f t="shared" si="25"/>
        <v>1.0206853529725277</v>
      </c>
      <c r="E71" s="100">
        <f t="shared" si="15"/>
        <v>1.0031275740103687</v>
      </c>
      <c r="F71" s="100">
        <f t="shared" si="16"/>
        <v>1.0206514366006105</v>
      </c>
      <c r="G71" s="100">
        <f t="shared" si="15"/>
        <v>1.0031929841562091</v>
      </c>
    </row>
    <row r="72" spans="1:7" x14ac:dyDescent="0.2">
      <c r="A72" s="28" t="s">
        <v>36</v>
      </c>
      <c r="B72" s="100">
        <f t="shared" si="13"/>
        <v>1</v>
      </c>
      <c r="C72" s="100">
        <f t="shared" ref="C72:D72" si="26">C53/$B53</f>
        <v>1.0361294632310412</v>
      </c>
      <c r="D72" s="100">
        <f t="shared" si="26"/>
        <v>1.5045986656130603</v>
      </c>
      <c r="E72" s="100">
        <f t="shared" si="15"/>
        <v>1.0420682182920173</v>
      </c>
      <c r="F72" s="100">
        <f t="shared" si="16"/>
        <v>1.5083378817625639</v>
      </c>
      <c r="G72" s="100">
        <f t="shared" si="15"/>
        <v>1.0452616229338592</v>
      </c>
    </row>
    <row r="73" spans="1:7" x14ac:dyDescent="0.2">
      <c r="A73" s="28" t="s">
        <v>37</v>
      </c>
      <c r="B73" s="100">
        <f t="shared" si="13"/>
        <v>1</v>
      </c>
      <c r="C73" s="100">
        <f t="shared" ref="C73:D73" si="27">C54/$B54</f>
        <v>1.0748813982521848</v>
      </c>
      <c r="D73" s="100">
        <f t="shared" si="27"/>
        <v>1.7218476903870161</v>
      </c>
      <c r="E73" s="100">
        <f t="shared" si="15"/>
        <v>1.1035955056179776</v>
      </c>
      <c r="F73" s="100">
        <f t="shared" si="16"/>
        <v>1.7057677902621722</v>
      </c>
      <c r="G73" s="100">
        <f t="shared" si="15"/>
        <v>1.1058177278401997</v>
      </c>
    </row>
    <row r="74" spans="1:7" x14ac:dyDescent="0.2">
      <c r="A74" s="28" t="s">
        <v>40</v>
      </c>
      <c r="B74" s="100">
        <f t="shared" ref="B74" si="28">B55/$B55</f>
        <v>1</v>
      </c>
      <c r="C74" s="100">
        <f t="shared" ref="C74:D74" si="29">C55/$B55</f>
        <v>3.0747396947653689</v>
      </c>
      <c r="D74" s="100">
        <f t="shared" si="29"/>
        <v>11.888603622878334</v>
      </c>
      <c r="E74" s="100">
        <f t="shared" si="15"/>
        <v>3.1095421480530594</v>
      </c>
      <c r="F74" s="100">
        <f t="shared" si="16"/>
        <v>11.908001711596063</v>
      </c>
      <c r="G74" s="100">
        <f t="shared" si="15"/>
        <v>3.1188132933960917</v>
      </c>
    </row>
    <row r="75" spans="1:7" x14ac:dyDescent="0.2">
      <c r="A75" s="28" t="s">
        <v>42</v>
      </c>
      <c r="B75" s="100">
        <f t="shared" ref="B75" si="30">B56/$B56</f>
        <v>1</v>
      </c>
      <c r="C75" s="100">
        <f t="shared" ref="C75:D75" si="31">C56/$B56</f>
        <v>0.99774966039082114</v>
      </c>
      <c r="D75" s="100">
        <f t="shared" si="31"/>
        <v>1.0024190642591895</v>
      </c>
      <c r="E75" s="100">
        <f t="shared" si="15"/>
        <v>1.0001954055058107</v>
      </c>
      <c r="F75" s="100">
        <f t="shared" si="16"/>
        <v>1.0034276006084251</v>
      </c>
      <c r="G75" s="100">
        <f t="shared" si="15"/>
        <v>1.001386133984651</v>
      </c>
    </row>
    <row r="76" spans="1:7" x14ac:dyDescent="0.2">
      <c r="A76" s="2" t="s">
        <v>226</v>
      </c>
      <c r="B76" s="100">
        <f>GEOMEAN(B62:B75)</f>
        <v>1</v>
      </c>
      <c r="C76" s="100">
        <f t="shared" ref="C76:D76" si="32">GEOMEAN(C62:C75)</f>
        <v>1.2210921406382136</v>
      </c>
      <c r="D76" s="100">
        <f t="shared" si="32"/>
        <v>1.9013094932587031</v>
      </c>
      <c r="E76" s="100">
        <f>GEOMEAN(E62:E75)</f>
        <v>1.2308110528355438</v>
      </c>
      <c r="F76" s="100">
        <f>GEOMEAN(F62:F75)</f>
        <v>1.9003548568054989</v>
      </c>
      <c r="G76" s="100">
        <f>GEOMEAN(G62:G75)</f>
        <v>1.2325397047224376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A4696-2C82-B041-BC40-27ED715ED08E}">
  <dimension ref="A1:M61"/>
  <sheetViews>
    <sheetView zoomScale="70" zoomScaleNormal="70" workbookViewId="0">
      <selection activeCell="G89" sqref="G89"/>
    </sheetView>
  </sheetViews>
  <sheetFormatPr baseColWidth="10" defaultRowHeight="18" x14ac:dyDescent="0.2"/>
  <cols>
    <col min="1" max="1" width="27.83203125" style="1" customWidth="1"/>
    <col min="2" max="3" width="15.33203125" style="1" bestFit="1" customWidth="1"/>
    <col min="4" max="4" width="25.6640625" style="1" bestFit="1" customWidth="1"/>
    <col min="5" max="5" width="35.1640625" style="1" bestFit="1" customWidth="1"/>
    <col min="6" max="6" width="20.6640625" style="1" bestFit="1" customWidth="1"/>
    <col min="7" max="7" width="30.1640625" style="1" bestFit="1" customWidth="1"/>
    <col min="8" max="8" width="14.1640625" style="1" bestFit="1" customWidth="1"/>
    <col min="9" max="9" width="25.6640625" style="1" bestFit="1" customWidth="1"/>
    <col min="10" max="10" width="35.1640625" style="1" bestFit="1" customWidth="1"/>
    <col min="11" max="11" width="20.6640625" style="1" bestFit="1" customWidth="1"/>
    <col min="12" max="12" width="32.83203125" style="1" bestFit="1" customWidth="1"/>
    <col min="13" max="16384" width="10.83203125" style="1"/>
  </cols>
  <sheetData>
    <row r="1" spans="1:13" x14ac:dyDescent="0.2">
      <c r="A1" s="2" t="s">
        <v>256</v>
      </c>
      <c r="B1" s="2" t="s">
        <v>233</v>
      </c>
      <c r="C1" s="2" t="s">
        <v>257</v>
      </c>
      <c r="D1" s="2" t="s">
        <v>267</v>
      </c>
      <c r="E1" s="2" t="s">
        <v>268</v>
      </c>
      <c r="F1" s="2" t="s">
        <v>263</v>
      </c>
      <c r="G1" s="2" t="s">
        <v>264</v>
      </c>
    </row>
    <row r="2" spans="1:13" x14ac:dyDescent="0.2">
      <c r="A2" s="2" t="s">
        <v>207</v>
      </c>
      <c r="B2" s="3">
        <v>26</v>
      </c>
      <c r="C2" s="3">
        <v>29</v>
      </c>
      <c r="D2" s="3">
        <v>384</v>
      </c>
      <c r="E2" s="3">
        <v>370</v>
      </c>
      <c r="F2" s="3">
        <v>542</v>
      </c>
      <c r="G2" s="3">
        <v>461</v>
      </c>
      <c r="I2" s="3"/>
      <c r="J2" s="3"/>
      <c r="K2" s="3"/>
      <c r="L2" s="3"/>
      <c r="M2" s="3"/>
    </row>
    <row r="3" spans="1:13" x14ac:dyDescent="0.2">
      <c r="A3" s="2" t="s">
        <v>208</v>
      </c>
      <c r="B3" s="3">
        <v>22</v>
      </c>
      <c r="C3" s="3">
        <v>31</v>
      </c>
      <c r="D3" s="3">
        <v>74</v>
      </c>
      <c r="E3" s="3">
        <v>68</v>
      </c>
      <c r="F3" s="3">
        <v>99</v>
      </c>
      <c r="G3" s="3">
        <v>87</v>
      </c>
      <c r="I3" s="3"/>
      <c r="J3" s="3"/>
      <c r="K3" s="3"/>
      <c r="L3" s="3"/>
    </row>
    <row r="4" spans="1:13" x14ac:dyDescent="0.2">
      <c r="A4" s="2" t="s">
        <v>209</v>
      </c>
      <c r="B4" s="3">
        <v>5557</v>
      </c>
      <c r="C4" s="3">
        <v>8593</v>
      </c>
      <c r="D4" s="3">
        <v>40296</v>
      </c>
      <c r="E4" s="3">
        <v>34422</v>
      </c>
      <c r="F4" s="3">
        <v>60311</v>
      </c>
      <c r="G4" s="3">
        <v>52984</v>
      </c>
      <c r="I4" s="3"/>
      <c r="J4" s="3"/>
      <c r="K4" s="3"/>
      <c r="L4" s="3"/>
    </row>
    <row r="5" spans="1:13" x14ac:dyDescent="0.2">
      <c r="A5" s="2" t="s">
        <v>210</v>
      </c>
      <c r="B5" s="3">
        <v>44</v>
      </c>
      <c r="C5" s="3">
        <v>56</v>
      </c>
      <c r="D5" s="3">
        <v>103</v>
      </c>
      <c r="E5" s="3">
        <v>94</v>
      </c>
      <c r="F5" s="3">
        <v>138</v>
      </c>
      <c r="G5" s="3">
        <v>123</v>
      </c>
      <c r="I5" s="3"/>
      <c r="J5" s="3"/>
      <c r="K5" s="3"/>
      <c r="L5" s="3"/>
    </row>
    <row r="6" spans="1:13" x14ac:dyDescent="0.2">
      <c r="A6" s="2" t="s">
        <v>211</v>
      </c>
      <c r="B6" s="3">
        <v>2625</v>
      </c>
      <c r="C6" s="3">
        <v>2712</v>
      </c>
      <c r="D6" s="3">
        <v>17073</v>
      </c>
      <c r="E6" s="3">
        <v>15053</v>
      </c>
      <c r="F6" s="3">
        <v>23812</v>
      </c>
      <c r="G6" s="3">
        <v>18111</v>
      </c>
      <c r="I6" s="3"/>
      <c r="J6" s="3"/>
      <c r="K6" s="3"/>
      <c r="L6" s="3"/>
    </row>
    <row r="7" spans="1:13" x14ac:dyDescent="0.2">
      <c r="A7" s="2" t="s">
        <v>212</v>
      </c>
      <c r="B7" s="3">
        <v>3865</v>
      </c>
      <c r="C7" s="3">
        <v>4015</v>
      </c>
      <c r="D7" s="3">
        <v>19566</v>
      </c>
      <c r="E7" s="3">
        <v>17419</v>
      </c>
      <c r="F7" s="3">
        <v>25753</v>
      </c>
      <c r="G7" s="3">
        <v>19480</v>
      </c>
      <c r="I7" s="3"/>
      <c r="J7" s="3"/>
      <c r="K7" s="3"/>
      <c r="L7" s="3"/>
    </row>
    <row r="8" spans="1:13" x14ac:dyDescent="0.2">
      <c r="A8" s="2" t="s">
        <v>213</v>
      </c>
      <c r="B8" s="3">
        <v>1792</v>
      </c>
      <c r="C8" s="3">
        <v>1852</v>
      </c>
      <c r="D8" s="3">
        <v>1928</v>
      </c>
      <c r="E8" s="3">
        <v>1920</v>
      </c>
      <c r="F8" s="3">
        <v>2070</v>
      </c>
      <c r="G8" s="3">
        <v>2014</v>
      </c>
      <c r="I8" s="3"/>
      <c r="J8" s="3"/>
      <c r="K8" s="3"/>
      <c r="L8" s="3"/>
    </row>
    <row r="9" spans="1:13" x14ac:dyDescent="0.2">
      <c r="A9" s="2" t="s">
        <v>214</v>
      </c>
      <c r="B9" s="3">
        <v>3764</v>
      </c>
      <c r="C9" s="3">
        <v>3822</v>
      </c>
      <c r="D9" s="3">
        <v>3825</v>
      </c>
      <c r="E9" s="3">
        <v>3834</v>
      </c>
      <c r="F9" s="3">
        <v>3843</v>
      </c>
      <c r="G9" s="3">
        <v>3731</v>
      </c>
      <c r="I9" s="3"/>
      <c r="J9" s="3"/>
      <c r="K9" s="3"/>
      <c r="L9" s="3"/>
    </row>
    <row r="10" spans="1:13" x14ac:dyDescent="0.2">
      <c r="A10" s="2" t="s">
        <v>215</v>
      </c>
      <c r="B10" s="3">
        <v>31</v>
      </c>
      <c r="C10" s="3">
        <v>41</v>
      </c>
      <c r="D10" s="3">
        <v>434</v>
      </c>
      <c r="E10" s="3">
        <v>375</v>
      </c>
      <c r="F10" s="3">
        <v>667</v>
      </c>
      <c r="G10" s="3">
        <v>524</v>
      </c>
      <c r="I10" s="3"/>
      <c r="J10" s="3"/>
      <c r="K10" s="3"/>
      <c r="L10" s="3"/>
    </row>
    <row r="11" spans="1:13" x14ac:dyDescent="0.2">
      <c r="A11" s="2" t="s">
        <v>216</v>
      </c>
      <c r="B11" s="3">
        <v>949</v>
      </c>
      <c r="C11" s="3">
        <v>963</v>
      </c>
      <c r="D11" s="3">
        <v>4526</v>
      </c>
      <c r="E11" s="3">
        <v>4088</v>
      </c>
      <c r="F11" s="3">
        <v>6008</v>
      </c>
      <c r="G11" s="3">
        <v>5521</v>
      </c>
      <c r="I11" s="3"/>
      <c r="J11" s="3"/>
      <c r="K11" s="3"/>
      <c r="L11" s="3"/>
    </row>
    <row r="12" spans="1:13" x14ac:dyDescent="0.2">
      <c r="A12" s="2" t="s">
        <v>217</v>
      </c>
      <c r="B12" s="3">
        <v>472</v>
      </c>
      <c r="C12" s="3">
        <v>518</v>
      </c>
      <c r="D12" s="3">
        <v>2181</v>
      </c>
      <c r="E12" s="3">
        <v>1969</v>
      </c>
      <c r="F12" s="3">
        <v>2910</v>
      </c>
      <c r="G12" s="3">
        <v>2318</v>
      </c>
      <c r="I12" s="3"/>
      <c r="J12" s="3"/>
      <c r="K12" s="3"/>
      <c r="L12" s="3"/>
    </row>
    <row r="13" spans="1:13" x14ac:dyDescent="0.2">
      <c r="A13" s="2" t="s">
        <v>218</v>
      </c>
      <c r="B13" s="3">
        <v>54</v>
      </c>
      <c r="C13" s="3">
        <v>77</v>
      </c>
      <c r="D13" s="3">
        <v>350</v>
      </c>
      <c r="E13" s="3">
        <v>312</v>
      </c>
      <c r="F13" s="3">
        <v>503</v>
      </c>
      <c r="G13" s="3">
        <v>406</v>
      </c>
      <c r="I13" s="3"/>
      <c r="J13" s="3"/>
      <c r="K13" s="3"/>
      <c r="L13" s="3"/>
    </row>
    <row r="16" spans="1:13" x14ac:dyDescent="0.2">
      <c r="A16" s="2" t="s">
        <v>235</v>
      </c>
      <c r="B16" s="2" t="s">
        <v>233</v>
      </c>
      <c r="C16" s="2" t="s">
        <v>257</v>
      </c>
      <c r="D16" s="2" t="s">
        <v>267</v>
      </c>
      <c r="E16" s="2" t="s">
        <v>277</v>
      </c>
      <c r="F16" s="2" t="s">
        <v>263</v>
      </c>
      <c r="G16" s="2" t="s">
        <v>278</v>
      </c>
    </row>
    <row r="17" spans="1:13" x14ac:dyDescent="0.2">
      <c r="A17" s="2" t="s">
        <v>244</v>
      </c>
      <c r="B17" s="87">
        <f>B2/$B2</f>
        <v>1</v>
      </c>
      <c r="C17" s="87">
        <f t="shared" ref="C17:E17" si="0">C2/$B2</f>
        <v>1.1153846153846154</v>
      </c>
      <c r="D17" s="87">
        <f>D2/$B2</f>
        <v>14.76923076923077</v>
      </c>
      <c r="E17" s="87">
        <f t="shared" si="0"/>
        <v>14.23076923076923</v>
      </c>
      <c r="F17" s="87">
        <f t="shared" ref="F17:G28" si="1">F2/$B2</f>
        <v>20.846153846153847</v>
      </c>
      <c r="G17" s="87">
        <f t="shared" si="1"/>
        <v>17.73076923076923</v>
      </c>
      <c r="I17" s="88"/>
      <c r="J17" s="88">
        <v>110745362652</v>
      </c>
      <c r="K17" s="88"/>
      <c r="L17" s="88"/>
      <c r="M17" s="88"/>
    </row>
    <row r="18" spans="1:13" x14ac:dyDescent="0.2">
      <c r="A18" s="2" t="s">
        <v>245</v>
      </c>
      <c r="B18" s="87">
        <f t="shared" ref="B18:E28" si="2">B3/$B3</f>
        <v>1</v>
      </c>
      <c r="C18" s="87">
        <f t="shared" si="2"/>
        <v>1.4090909090909092</v>
      </c>
      <c r="D18" s="87">
        <f t="shared" si="2"/>
        <v>3.3636363636363638</v>
      </c>
      <c r="E18" s="87">
        <f t="shared" si="2"/>
        <v>3.0909090909090908</v>
      </c>
      <c r="F18" s="87">
        <f t="shared" si="1"/>
        <v>4.5</v>
      </c>
      <c r="G18" s="87">
        <f t="shared" si="1"/>
        <v>3.9545454545454546</v>
      </c>
      <c r="I18" s="88"/>
      <c r="J18" s="88">
        <v>166250210566</v>
      </c>
      <c r="K18" s="88"/>
      <c r="L18" s="88"/>
      <c r="M18" s="88"/>
    </row>
    <row r="19" spans="1:13" x14ac:dyDescent="0.2">
      <c r="A19" s="2" t="s">
        <v>246</v>
      </c>
      <c r="B19" s="87">
        <f t="shared" si="2"/>
        <v>1</v>
      </c>
      <c r="C19" s="87">
        <f t="shared" si="2"/>
        <v>1.5463379521324456</v>
      </c>
      <c r="D19" s="87">
        <f t="shared" si="2"/>
        <v>7.2513946373942773</v>
      </c>
      <c r="E19" s="87">
        <f t="shared" si="2"/>
        <v>6.1943494691380243</v>
      </c>
      <c r="F19" s="87">
        <f t="shared" si="1"/>
        <v>10.853158178873493</v>
      </c>
      <c r="G19" s="87">
        <f t="shared" si="1"/>
        <v>9.534640993341732</v>
      </c>
      <c r="I19" s="88"/>
      <c r="J19" s="88"/>
      <c r="K19" s="88"/>
      <c r="L19" s="88"/>
      <c r="M19" s="88"/>
    </row>
    <row r="20" spans="1:13" x14ac:dyDescent="0.2">
      <c r="A20" s="2" t="s">
        <v>247</v>
      </c>
      <c r="B20" s="87">
        <f t="shared" si="2"/>
        <v>1</v>
      </c>
      <c r="C20" s="87">
        <f t="shared" si="2"/>
        <v>1.2727272727272727</v>
      </c>
      <c r="D20" s="87">
        <f t="shared" si="2"/>
        <v>2.3409090909090908</v>
      </c>
      <c r="E20" s="87">
        <f t="shared" si="2"/>
        <v>2.1363636363636362</v>
      </c>
      <c r="F20" s="87">
        <f t="shared" si="1"/>
        <v>3.1363636363636362</v>
      </c>
      <c r="G20" s="87">
        <f t="shared" si="1"/>
        <v>2.7954545454545454</v>
      </c>
      <c r="I20" s="88"/>
      <c r="J20" s="88"/>
      <c r="K20" s="88"/>
      <c r="L20" s="88"/>
      <c r="M20" s="88"/>
    </row>
    <row r="21" spans="1:13" x14ac:dyDescent="0.2">
      <c r="A21" s="2" t="s">
        <v>248</v>
      </c>
      <c r="B21" s="87">
        <f t="shared" si="2"/>
        <v>1</v>
      </c>
      <c r="C21" s="87">
        <f t="shared" si="2"/>
        <v>1.0331428571428571</v>
      </c>
      <c r="D21" s="87">
        <f t="shared" si="2"/>
        <v>6.5039999999999996</v>
      </c>
      <c r="E21" s="87">
        <f t="shared" si="2"/>
        <v>5.7344761904761903</v>
      </c>
      <c r="F21" s="87">
        <f t="shared" si="1"/>
        <v>9.0712380952380958</v>
      </c>
      <c r="G21" s="87">
        <f t="shared" si="1"/>
        <v>6.8994285714285715</v>
      </c>
      <c r="I21" s="88"/>
      <c r="J21" s="88"/>
      <c r="K21" s="88"/>
      <c r="L21" s="88"/>
      <c r="M21" s="88"/>
    </row>
    <row r="22" spans="1:13" x14ac:dyDescent="0.2">
      <c r="A22" s="2" t="s">
        <v>249</v>
      </c>
      <c r="B22" s="87">
        <f t="shared" si="2"/>
        <v>1</v>
      </c>
      <c r="C22" s="87">
        <f t="shared" si="2"/>
        <v>1.0388098318240622</v>
      </c>
      <c r="D22" s="87">
        <f t="shared" si="2"/>
        <v>5.0623544631306601</v>
      </c>
      <c r="E22" s="87">
        <f t="shared" si="2"/>
        <v>4.5068564036222512</v>
      </c>
      <c r="F22" s="87">
        <f t="shared" si="1"/>
        <v>6.6631306597671411</v>
      </c>
      <c r="G22" s="87">
        <f t="shared" si="1"/>
        <v>5.0401034928848638</v>
      </c>
      <c r="I22" s="88"/>
      <c r="J22" s="88"/>
      <c r="K22" s="88"/>
      <c r="L22" s="88"/>
      <c r="M22" s="88"/>
    </row>
    <row r="23" spans="1:13" x14ac:dyDescent="0.2">
      <c r="A23" s="2" t="s">
        <v>250</v>
      </c>
      <c r="B23" s="87">
        <f t="shared" si="2"/>
        <v>1</v>
      </c>
      <c r="C23" s="87">
        <f t="shared" si="2"/>
        <v>1.0334821428571428</v>
      </c>
      <c r="D23" s="87">
        <f t="shared" si="2"/>
        <v>1.0758928571428572</v>
      </c>
      <c r="E23" s="87">
        <f t="shared" si="2"/>
        <v>1.0714285714285714</v>
      </c>
      <c r="F23" s="87">
        <f t="shared" si="1"/>
        <v>1.1551339285714286</v>
      </c>
      <c r="G23" s="87">
        <f t="shared" si="1"/>
        <v>1.1238839285714286</v>
      </c>
      <c r="I23" s="88"/>
      <c r="J23" s="88"/>
      <c r="K23" s="88"/>
      <c r="L23" s="88"/>
      <c r="M23" s="88"/>
    </row>
    <row r="24" spans="1:13" x14ac:dyDescent="0.2">
      <c r="A24" s="2" t="s">
        <v>251</v>
      </c>
      <c r="B24" s="87">
        <f t="shared" si="2"/>
        <v>1</v>
      </c>
      <c r="C24" s="87">
        <f t="shared" si="2"/>
        <v>1.0154091392136027</v>
      </c>
      <c r="D24" s="87">
        <f t="shared" si="2"/>
        <v>1.0162061636556854</v>
      </c>
      <c r="E24" s="87">
        <f t="shared" si="2"/>
        <v>1.0185972369819341</v>
      </c>
      <c r="F24" s="87">
        <f t="shared" si="1"/>
        <v>1.0209883103081827</v>
      </c>
      <c r="G24" s="87">
        <f t="shared" si="1"/>
        <v>0.99123273113708821</v>
      </c>
      <c r="I24" s="88"/>
      <c r="J24" s="88"/>
      <c r="K24" s="88"/>
      <c r="L24" s="88"/>
      <c r="M24" s="88"/>
    </row>
    <row r="25" spans="1:13" x14ac:dyDescent="0.2">
      <c r="A25" s="2" t="s">
        <v>252</v>
      </c>
      <c r="B25" s="87">
        <f t="shared" si="2"/>
        <v>1</v>
      </c>
      <c r="C25" s="87">
        <f t="shared" si="2"/>
        <v>1.3225806451612903</v>
      </c>
      <c r="D25" s="87">
        <f t="shared" si="2"/>
        <v>14</v>
      </c>
      <c r="E25" s="87">
        <f t="shared" si="2"/>
        <v>12.096774193548388</v>
      </c>
      <c r="F25" s="87">
        <f t="shared" si="1"/>
        <v>21.516129032258064</v>
      </c>
      <c r="G25" s="87">
        <f t="shared" si="1"/>
        <v>16.903225806451612</v>
      </c>
      <c r="I25" s="88"/>
      <c r="J25" s="88"/>
      <c r="K25" s="88"/>
      <c r="L25" s="88"/>
      <c r="M25" s="88"/>
    </row>
    <row r="26" spans="1:13" x14ac:dyDescent="0.2">
      <c r="A26" s="2" t="s">
        <v>253</v>
      </c>
      <c r="B26" s="87">
        <f t="shared" si="2"/>
        <v>1</v>
      </c>
      <c r="C26" s="87">
        <f t="shared" si="2"/>
        <v>1.0147523709167545</v>
      </c>
      <c r="D26" s="87">
        <f t="shared" si="2"/>
        <v>4.7692307692307692</v>
      </c>
      <c r="E26" s="87">
        <f t="shared" si="2"/>
        <v>4.3076923076923075</v>
      </c>
      <c r="F26" s="87">
        <f t="shared" si="1"/>
        <v>6.3308746048472075</v>
      </c>
      <c r="G26" s="87">
        <f t="shared" si="1"/>
        <v>5.8177028451001052</v>
      </c>
      <c r="I26" s="88"/>
      <c r="J26" s="88"/>
      <c r="K26" s="88"/>
      <c r="L26" s="88"/>
      <c r="M26" s="88"/>
    </row>
    <row r="27" spans="1:13" x14ac:dyDescent="0.2">
      <c r="A27" s="2" t="s">
        <v>254</v>
      </c>
      <c r="B27" s="87">
        <f t="shared" si="2"/>
        <v>1</v>
      </c>
      <c r="C27" s="87">
        <f t="shared" si="2"/>
        <v>1.097457627118644</v>
      </c>
      <c r="D27" s="87">
        <f t="shared" si="2"/>
        <v>4.6207627118644066</v>
      </c>
      <c r="E27" s="87">
        <f t="shared" si="2"/>
        <v>4.1716101694915251</v>
      </c>
      <c r="F27" s="87">
        <f t="shared" si="1"/>
        <v>6.1652542372881358</v>
      </c>
      <c r="G27" s="87">
        <f t="shared" si="1"/>
        <v>4.9110169491525424</v>
      </c>
      <c r="I27" s="88"/>
      <c r="J27" s="88"/>
      <c r="K27" s="88"/>
      <c r="L27" s="88"/>
      <c r="M27" s="88"/>
    </row>
    <row r="28" spans="1:13" x14ac:dyDescent="0.2">
      <c r="A28" s="2" t="s">
        <v>255</v>
      </c>
      <c r="B28" s="87">
        <f t="shared" si="2"/>
        <v>1</v>
      </c>
      <c r="C28" s="87">
        <f t="shared" si="2"/>
        <v>1.4259259259259258</v>
      </c>
      <c r="D28" s="87">
        <f t="shared" si="2"/>
        <v>6.4814814814814818</v>
      </c>
      <c r="E28" s="87">
        <f t="shared" si="2"/>
        <v>5.7777777777777777</v>
      </c>
      <c r="F28" s="87">
        <f t="shared" si="1"/>
        <v>9.3148148148148149</v>
      </c>
      <c r="G28" s="87">
        <f t="shared" si="1"/>
        <v>7.5185185185185182</v>
      </c>
      <c r="I28" s="88"/>
      <c r="J28" s="88"/>
      <c r="K28" s="88"/>
      <c r="L28" s="88"/>
      <c r="M28" s="88"/>
    </row>
    <row r="29" spans="1:13" x14ac:dyDescent="0.2">
      <c r="A29" s="2" t="s">
        <v>226</v>
      </c>
      <c r="B29" s="87">
        <f>GEOMEAN(B17:B28)</f>
        <v>1</v>
      </c>
      <c r="C29" s="87">
        <f t="shared" ref="C29:E29" si="3">GEOMEAN(C17:C28)</f>
        <v>1.1803910434964764</v>
      </c>
      <c r="D29" s="87">
        <f t="shared" si="3"/>
        <v>4.4524778925966091</v>
      </c>
      <c r="E29" s="87">
        <f t="shared" si="3"/>
        <v>4.0693476148817931</v>
      </c>
      <c r="F29" s="87">
        <f>GEOMEAN(F17:F28)</f>
        <v>5.9003939039676796</v>
      </c>
      <c r="G29" s="87">
        <f>GEOMEAN(G17:G28)</f>
        <v>5.0309069677068088</v>
      </c>
      <c r="H29" s="1">
        <f>E29/G29</f>
        <v>0.80886958176781509</v>
      </c>
    </row>
    <row r="33" spans="1:13" x14ac:dyDescent="0.2">
      <c r="A33" s="2" t="s">
        <v>236</v>
      </c>
      <c r="B33" s="90" t="s">
        <v>233</v>
      </c>
      <c r="C33" s="90" t="s">
        <v>257</v>
      </c>
      <c r="D33" s="90" t="s">
        <v>242</v>
      </c>
      <c r="E33" s="90" t="s">
        <v>243</v>
      </c>
      <c r="F33" s="90" t="s">
        <v>240</v>
      </c>
      <c r="G33" s="90" t="s">
        <v>241</v>
      </c>
      <c r="H33" s="2" t="s">
        <v>257</v>
      </c>
      <c r="I33" s="2" t="s">
        <v>267</v>
      </c>
      <c r="J33" s="2" t="s">
        <v>277</v>
      </c>
      <c r="K33" s="2" t="s">
        <v>263</v>
      </c>
      <c r="L33" s="2" t="s">
        <v>278</v>
      </c>
    </row>
    <row r="34" spans="1:13" x14ac:dyDescent="0.2">
      <c r="A34" s="2" t="s">
        <v>244</v>
      </c>
      <c r="B34" s="3">
        <v>5360</v>
      </c>
      <c r="C34" s="3">
        <v>13144</v>
      </c>
      <c r="D34" s="3">
        <v>62824</v>
      </c>
      <c r="E34" s="3">
        <v>63072</v>
      </c>
      <c r="F34" s="3">
        <v>13904</v>
      </c>
      <c r="G34" s="3">
        <v>13916</v>
      </c>
      <c r="H34" s="94">
        <f>(C34-$B34)/1024</f>
        <v>7.6015625</v>
      </c>
      <c r="I34" s="94">
        <f>(D34-$B34)/1024</f>
        <v>56.1171875</v>
      </c>
      <c r="J34" s="94">
        <f>(E34-$B34)/1024</f>
        <v>56.359375</v>
      </c>
      <c r="K34" s="94">
        <f>(F34-$B34)/1024</f>
        <v>8.34375</v>
      </c>
      <c r="L34" s="94">
        <f>(G34-$B34)/1024</f>
        <v>8.35546875</v>
      </c>
      <c r="M34" s="93">
        <f>J34-L34</f>
        <v>48.00390625</v>
      </c>
    </row>
    <row r="35" spans="1:13" x14ac:dyDescent="0.2">
      <c r="A35" s="2" t="s">
        <v>245</v>
      </c>
      <c r="B35" s="3">
        <v>41536</v>
      </c>
      <c r="C35" s="3">
        <v>50052</v>
      </c>
      <c r="D35" s="3">
        <v>108036</v>
      </c>
      <c r="E35" s="3">
        <v>108204</v>
      </c>
      <c r="F35" s="3">
        <v>51204</v>
      </c>
      <c r="G35" s="3">
        <v>51220</v>
      </c>
      <c r="H35" s="94">
        <f t="shared" ref="H35:H45" si="4">(C35-$B35)/1024</f>
        <v>8.31640625</v>
      </c>
      <c r="I35" s="94">
        <f t="shared" ref="I35:I45" si="5">(D35-$B35)/1024</f>
        <v>64.94140625</v>
      </c>
      <c r="J35" s="94">
        <f t="shared" ref="J35:J45" si="6">(E35-$B35)/1024</f>
        <v>65.10546875</v>
      </c>
      <c r="K35" s="94">
        <f t="shared" ref="K35:K45" si="7">(F35-$B35)/1024</f>
        <v>9.44140625</v>
      </c>
      <c r="L35" s="94">
        <f t="shared" ref="L35:L45" si="8">(G35-$B35)/1024</f>
        <v>9.45703125</v>
      </c>
      <c r="M35" s="93">
        <f t="shared" ref="M35:M45" si="9">J35-L35</f>
        <v>55.6484375</v>
      </c>
    </row>
    <row r="36" spans="1:13" x14ac:dyDescent="0.2">
      <c r="A36" s="2" t="s">
        <v>246</v>
      </c>
      <c r="B36" s="3">
        <v>12587144</v>
      </c>
      <c r="C36" s="3">
        <v>12594744</v>
      </c>
      <c r="D36" s="3">
        <v>12641892</v>
      </c>
      <c r="E36" s="3">
        <v>12641952</v>
      </c>
      <c r="F36" s="3">
        <v>12595580</v>
      </c>
      <c r="G36" s="3">
        <v>12595564</v>
      </c>
      <c r="H36" s="94">
        <f t="shared" si="4"/>
        <v>7.421875</v>
      </c>
      <c r="I36" s="94">
        <f t="shared" si="5"/>
        <v>53.46484375</v>
      </c>
      <c r="J36" s="94">
        <f t="shared" si="6"/>
        <v>53.5234375</v>
      </c>
      <c r="K36" s="94">
        <f t="shared" si="7"/>
        <v>8.23828125</v>
      </c>
      <c r="L36" s="94">
        <f t="shared" si="8"/>
        <v>8.22265625</v>
      </c>
      <c r="M36" s="93">
        <f t="shared" si="9"/>
        <v>45.30078125</v>
      </c>
    </row>
    <row r="37" spans="1:13" x14ac:dyDescent="0.2">
      <c r="A37" s="2" t="s">
        <v>247</v>
      </c>
      <c r="B37" s="3">
        <v>26204</v>
      </c>
      <c r="C37" s="3">
        <v>34308</v>
      </c>
      <c r="D37" s="3">
        <v>90500</v>
      </c>
      <c r="E37" s="3">
        <v>90780</v>
      </c>
      <c r="F37" s="3">
        <v>35160</v>
      </c>
      <c r="G37" s="3">
        <v>35204</v>
      </c>
      <c r="H37" s="94">
        <f t="shared" si="4"/>
        <v>7.9140625</v>
      </c>
      <c r="I37" s="94">
        <f t="shared" si="5"/>
        <v>62.7890625</v>
      </c>
      <c r="J37" s="94">
        <f t="shared" si="6"/>
        <v>63.0625</v>
      </c>
      <c r="K37" s="94">
        <f t="shared" si="7"/>
        <v>8.74609375</v>
      </c>
      <c r="L37" s="94">
        <f t="shared" si="8"/>
        <v>8.7890625</v>
      </c>
      <c r="M37" s="93">
        <f t="shared" si="9"/>
        <v>54.2734375</v>
      </c>
    </row>
    <row r="38" spans="1:13" x14ac:dyDescent="0.2">
      <c r="A38" s="2" t="s">
        <v>248</v>
      </c>
      <c r="B38" s="3">
        <v>133964</v>
      </c>
      <c r="C38" s="3">
        <v>141596</v>
      </c>
      <c r="D38" s="3">
        <v>189824</v>
      </c>
      <c r="E38" s="3">
        <v>190160</v>
      </c>
      <c r="F38" s="3">
        <v>142304</v>
      </c>
      <c r="G38" s="3">
        <v>142360</v>
      </c>
      <c r="H38" s="94">
        <f t="shared" si="4"/>
        <v>7.453125</v>
      </c>
      <c r="I38" s="94">
        <f t="shared" si="5"/>
        <v>54.55078125</v>
      </c>
      <c r="J38" s="94">
        <f t="shared" si="6"/>
        <v>54.87890625</v>
      </c>
      <c r="K38" s="94">
        <f t="shared" si="7"/>
        <v>8.14453125</v>
      </c>
      <c r="L38" s="94">
        <f t="shared" si="8"/>
        <v>8.19921875</v>
      </c>
      <c r="M38" s="93">
        <f t="shared" si="9"/>
        <v>46.6796875</v>
      </c>
    </row>
    <row r="39" spans="1:13" x14ac:dyDescent="0.2">
      <c r="A39" s="2" t="s">
        <v>249</v>
      </c>
      <c r="B39" s="3">
        <v>133440</v>
      </c>
      <c r="C39" s="3">
        <v>141076</v>
      </c>
      <c r="D39" s="3">
        <v>189404</v>
      </c>
      <c r="E39" s="3">
        <v>189292</v>
      </c>
      <c r="F39" s="3">
        <v>141808</v>
      </c>
      <c r="G39" s="3">
        <v>141944</v>
      </c>
      <c r="H39" s="94">
        <f t="shared" si="4"/>
        <v>7.45703125</v>
      </c>
      <c r="I39" s="94">
        <f t="shared" si="5"/>
        <v>54.65234375</v>
      </c>
      <c r="J39" s="94">
        <f t="shared" si="6"/>
        <v>54.54296875</v>
      </c>
      <c r="K39" s="94">
        <f t="shared" si="7"/>
        <v>8.171875</v>
      </c>
      <c r="L39" s="94">
        <f t="shared" si="8"/>
        <v>8.3046875</v>
      </c>
      <c r="M39" s="93">
        <f t="shared" si="9"/>
        <v>46.23828125</v>
      </c>
    </row>
    <row r="40" spans="1:13" x14ac:dyDescent="0.2">
      <c r="A40" s="2" t="s">
        <v>250</v>
      </c>
      <c r="B40" s="3">
        <v>3629736</v>
      </c>
      <c r="C40" s="3">
        <v>3638004</v>
      </c>
      <c r="D40" s="3">
        <v>3689212</v>
      </c>
      <c r="E40" s="3">
        <v>3689200</v>
      </c>
      <c r="F40" s="3">
        <v>3639052</v>
      </c>
      <c r="G40" s="3">
        <v>3639068</v>
      </c>
      <c r="H40" s="94">
        <f t="shared" si="4"/>
        <v>8.07421875</v>
      </c>
      <c r="I40" s="94">
        <f t="shared" si="5"/>
        <v>58.08203125</v>
      </c>
      <c r="J40" s="94">
        <f t="shared" si="6"/>
        <v>58.0703125</v>
      </c>
      <c r="K40" s="94">
        <f t="shared" si="7"/>
        <v>9.09765625</v>
      </c>
      <c r="L40" s="94">
        <f t="shared" si="8"/>
        <v>9.11328125</v>
      </c>
      <c r="M40" s="93">
        <f t="shared" si="9"/>
        <v>48.95703125</v>
      </c>
    </row>
    <row r="41" spans="1:13" x14ac:dyDescent="0.2">
      <c r="A41" s="2" t="s">
        <v>251</v>
      </c>
      <c r="B41" s="3">
        <v>4092668</v>
      </c>
      <c r="C41" s="3">
        <v>4100588</v>
      </c>
      <c r="D41" s="3">
        <v>4150416</v>
      </c>
      <c r="E41" s="3">
        <v>4150508</v>
      </c>
      <c r="F41" s="3">
        <v>4101716</v>
      </c>
      <c r="G41" s="3">
        <v>4101748</v>
      </c>
      <c r="H41" s="94">
        <f t="shared" si="4"/>
        <v>7.734375</v>
      </c>
      <c r="I41" s="94">
        <f t="shared" si="5"/>
        <v>56.39453125</v>
      </c>
      <c r="J41" s="94">
        <f t="shared" si="6"/>
        <v>56.484375</v>
      </c>
      <c r="K41" s="94">
        <f t="shared" si="7"/>
        <v>8.8359375</v>
      </c>
      <c r="L41" s="94">
        <f t="shared" si="8"/>
        <v>8.8671875</v>
      </c>
      <c r="M41" s="93">
        <f t="shared" si="9"/>
        <v>47.6171875</v>
      </c>
    </row>
    <row r="42" spans="1:13" x14ac:dyDescent="0.2">
      <c r="A42" s="2" t="s">
        <v>252</v>
      </c>
      <c r="B42" s="3">
        <v>219128</v>
      </c>
      <c r="C42" s="3">
        <v>227168</v>
      </c>
      <c r="D42" s="3">
        <v>530128</v>
      </c>
      <c r="E42" s="3">
        <v>530852</v>
      </c>
      <c r="F42" s="3">
        <v>228484</v>
      </c>
      <c r="G42" s="3">
        <v>228536</v>
      </c>
      <c r="H42" s="94">
        <f t="shared" si="4"/>
        <v>7.8515625</v>
      </c>
      <c r="I42" s="94">
        <f t="shared" si="5"/>
        <v>303.7109375</v>
      </c>
      <c r="J42" s="94">
        <f t="shared" si="6"/>
        <v>304.41796875</v>
      </c>
      <c r="K42" s="94">
        <f t="shared" si="7"/>
        <v>9.13671875</v>
      </c>
      <c r="L42" s="94">
        <f t="shared" si="8"/>
        <v>9.1875</v>
      </c>
      <c r="M42" s="93">
        <f t="shared" si="9"/>
        <v>295.23046875</v>
      </c>
    </row>
    <row r="43" spans="1:13" x14ac:dyDescent="0.2">
      <c r="A43" s="2" t="s">
        <v>253</v>
      </c>
      <c r="B43" s="3">
        <v>1440684</v>
      </c>
      <c r="C43" s="3">
        <v>1448396</v>
      </c>
      <c r="D43" s="3">
        <v>1494912</v>
      </c>
      <c r="E43" s="3">
        <v>1495092</v>
      </c>
      <c r="F43" s="3">
        <v>1449048</v>
      </c>
      <c r="G43" s="3">
        <v>1449148</v>
      </c>
      <c r="H43" s="94">
        <f t="shared" si="4"/>
        <v>7.53125</v>
      </c>
      <c r="I43" s="94">
        <f t="shared" si="5"/>
        <v>52.95703125</v>
      </c>
      <c r="J43" s="94">
        <f t="shared" si="6"/>
        <v>53.1328125</v>
      </c>
      <c r="K43" s="94">
        <f t="shared" si="7"/>
        <v>8.16796875</v>
      </c>
      <c r="L43" s="94">
        <f t="shared" si="8"/>
        <v>8.265625</v>
      </c>
      <c r="M43" s="93">
        <f t="shared" si="9"/>
        <v>44.8671875</v>
      </c>
    </row>
    <row r="44" spans="1:13" x14ac:dyDescent="0.2">
      <c r="A44" s="2" t="s">
        <v>254</v>
      </c>
      <c r="B44" s="3">
        <v>6708</v>
      </c>
      <c r="C44" s="3">
        <v>14652</v>
      </c>
      <c r="D44" s="3">
        <v>65744</v>
      </c>
      <c r="E44" s="3">
        <v>65864</v>
      </c>
      <c r="F44" s="3">
        <v>15340</v>
      </c>
      <c r="G44" s="3">
        <v>15520</v>
      </c>
      <c r="H44" s="94">
        <f t="shared" si="4"/>
        <v>7.7578125</v>
      </c>
      <c r="I44" s="94">
        <f t="shared" si="5"/>
        <v>57.65234375</v>
      </c>
      <c r="J44" s="94">
        <f t="shared" si="6"/>
        <v>57.76953125</v>
      </c>
      <c r="K44" s="94">
        <f t="shared" si="7"/>
        <v>8.4296875</v>
      </c>
      <c r="L44" s="94">
        <f t="shared" si="8"/>
        <v>8.60546875</v>
      </c>
      <c r="M44" s="93">
        <f t="shared" si="9"/>
        <v>49.1640625</v>
      </c>
    </row>
    <row r="45" spans="1:13" x14ac:dyDescent="0.2">
      <c r="A45" s="2" t="s">
        <v>255</v>
      </c>
      <c r="B45" s="3">
        <v>5508</v>
      </c>
      <c r="C45" s="3">
        <v>13740</v>
      </c>
      <c r="D45" s="3">
        <v>65380</v>
      </c>
      <c r="E45" s="3">
        <v>65616</v>
      </c>
      <c r="F45" s="3">
        <v>14548</v>
      </c>
      <c r="G45" s="3">
        <v>14544</v>
      </c>
      <c r="H45" s="94">
        <f t="shared" si="4"/>
        <v>8.0390625</v>
      </c>
      <c r="I45" s="94">
        <f t="shared" si="5"/>
        <v>58.46875</v>
      </c>
      <c r="J45" s="94">
        <f t="shared" si="6"/>
        <v>58.69921875</v>
      </c>
      <c r="K45" s="94">
        <f t="shared" si="7"/>
        <v>8.828125</v>
      </c>
      <c r="L45" s="94">
        <f t="shared" si="8"/>
        <v>8.82421875</v>
      </c>
      <c r="M45" s="93">
        <f t="shared" si="9"/>
        <v>49.875</v>
      </c>
    </row>
    <row r="46" spans="1:13" x14ac:dyDescent="0.2">
      <c r="A46" s="1" t="s">
        <v>170</v>
      </c>
      <c r="H46" s="96">
        <f>GEOMEAN(H34:H45)</f>
        <v>7.7579290223578559</v>
      </c>
      <c r="I46" s="96">
        <f t="shared" ref="I46:L46" si="10">GEOMEAN(I34:I45)</f>
        <v>65.707549857590024</v>
      </c>
      <c r="J46" s="96">
        <f t="shared" si="10"/>
        <v>65.867950232364592</v>
      </c>
      <c r="K46" s="96">
        <f t="shared" si="10"/>
        <v>8.6215148237372947</v>
      </c>
      <c r="L46" s="96">
        <f t="shared" si="10"/>
        <v>8.6732137773689146</v>
      </c>
    </row>
    <row r="48" spans="1:13" x14ac:dyDescent="0.2">
      <c r="A48" s="2" t="s">
        <v>236</v>
      </c>
      <c r="B48" s="90" t="s">
        <v>233</v>
      </c>
      <c r="C48" s="90" t="s">
        <v>257</v>
      </c>
      <c r="D48" s="90" t="s">
        <v>242</v>
      </c>
      <c r="E48" s="90" t="s">
        <v>243</v>
      </c>
      <c r="F48" s="90" t="s">
        <v>240</v>
      </c>
      <c r="G48" s="90" t="s">
        <v>241</v>
      </c>
    </row>
    <row r="49" spans="1:7" x14ac:dyDescent="0.2">
      <c r="A49" s="2" t="s">
        <v>244</v>
      </c>
      <c r="B49" s="100">
        <f t="shared" ref="B49:G60" si="11">B34/$B34</f>
        <v>1</v>
      </c>
      <c r="C49" s="100">
        <f t="shared" si="11"/>
        <v>2.4522388059701492</v>
      </c>
      <c r="D49" s="100">
        <f t="shared" si="11"/>
        <v>11.72089552238806</v>
      </c>
      <c r="E49" s="100">
        <f t="shared" si="11"/>
        <v>11.767164179104478</v>
      </c>
      <c r="F49" s="100">
        <f t="shared" si="11"/>
        <v>2.5940298507462685</v>
      </c>
      <c r="G49" s="100">
        <f t="shared" si="11"/>
        <v>2.5962686567164179</v>
      </c>
    </row>
    <row r="50" spans="1:7" x14ac:dyDescent="0.2">
      <c r="A50" s="2" t="s">
        <v>245</v>
      </c>
      <c r="B50" s="100">
        <f t="shared" si="11"/>
        <v>1</v>
      </c>
      <c r="C50" s="100">
        <f t="shared" si="11"/>
        <v>1.2050269645608629</v>
      </c>
      <c r="D50" s="100">
        <f t="shared" si="11"/>
        <v>2.6010208012326657</v>
      </c>
      <c r="E50" s="100">
        <f t="shared" si="11"/>
        <v>2.6050654853620956</v>
      </c>
      <c r="F50" s="100">
        <f t="shared" si="11"/>
        <v>1.2327619414483821</v>
      </c>
      <c r="G50" s="100">
        <f t="shared" si="11"/>
        <v>1.2331471494607087</v>
      </c>
    </row>
    <row r="51" spans="1:7" x14ac:dyDescent="0.2">
      <c r="A51" s="2" t="s">
        <v>246</v>
      </c>
      <c r="B51" s="100">
        <f t="shared" si="11"/>
        <v>1</v>
      </c>
      <c r="C51" s="100">
        <f t="shared" si="11"/>
        <v>1.0006037906613288</v>
      </c>
      <c r="D51" s="100">
        <f t="shared" si="11"/>
        <v>1.0043495172534771</v>
      </c>
      <c r="E51" s="100">
        <f t="shared" si="11"/>
        <v>1.004354284021856</v>
      </c>
      <c r="F51" s="100">
        <f t="shared" si="11"/>
        <v>1.000670207634075</v>
      </c>
      <c r="G51" s="100">
        <f t="shared" si="11"/>
        <v>1.0006689364958405</v>
      </c>
    </row>
    <row r="52" spans="1:7" x14ac:dyDescent="0.2">
      <c r="A52" s="2" t="s">
        <v>247</v>
      </c>
      <c r="B52" s="100">
        <f t="shared" si="11"/>
        <v>1</v>
      </c>
      <c r="C52" s="100">
        <f t="shared" si="11"/>
        <v>1.3092657609525262</v>
      </c>
      <c r="D52" s="100">
        <f t="shared" si="11"/>
        <v>3.4536711952373684</v>
      </c>
      <c r="E52" s="100">
        <f t="shared" si="11"/>
        <v>3.4643565867806441</v>
      </c>
      <c r="F52" s="100">
        <f t="shared" si="11"/>
        <v>1.3417798809342085</v>
      </c>
      <c r="G52" s="100">
        <f t="shared" si="11"/>
        <v>1.343459013891009</v>
      </c>
    </row>
    <row r="53" spans="1:7" x14ac:dyDescent="0.2">
      <c r="A53" s="2" t="s">
        <v>248</v>
      </c>
      <c r="B53" s="100">
        <f t="shared" si="11"/>
        <v>1</v>
      </c>
      <c r="C53" s="100">
        <f t="shared" si="11"/>
        <v>1.056970529395957</v>
      </c>
      <c r="D53" s="100">
        <f t="shared" si="11"/>
        <v>1.4169776955002837</v>
      </c>
      <c r="E53" s="100">
        <f t="shared" si="11"/>
        <v>1.4194858320145711</v>
      </c>
      <c r="F53" s="100">
        <f t="shared" si="11"/>
        <v>1.062255531336777</v>
      </c>
      <c r="G53" s="100">
        <f t="shared" si="11"/>
        <v>1.0626735540891583</v>
      </c>
    </row>
    <row r="54" spans="1:7" x14ac:dyDescent="0.2">
      <c r="A54" s="2" t="s">
        <v>249</v>
      </c>
      <c r="B54" s="100">
        <f t="shared" si="11"/>
        <v>1</v>
      </c>
      <c r="C54" s="100">
        <f t="shared" si="11"/>
        <v>1.0572242206235012</v>
      </c>
      <c r="D54" s="100">
        <f t="shared" si="11"/>
        <v>1.41939448441247</v>
      </c>
      <c r="E54" s="100">
        <f t="shared" si="11"/>
        <v>1.4185551558752998</v>
      </c>
      <c r="F54" s="100">
        <f t="shared" si="11"/>
        <v>1.0627098321342925</v>
      </c>
      <c r="G54" s="100">
        <f t="shared" si="11"/>
        <v>1.0637290167865707</v>
      </c>
    </row>
    <row r="55" spans="1:7" x14ac:dyDescent="0.2">
      <c r="A55" s="2" t="s">
        <v>250</v>
      </c>
      <c r="B55" s="100">
        <f t="shared" si="11"/>
        <v>1</v>
      </c>
      <c r="C55" s="100">
        <f t="shared" si="11"/>
        <v>1.0022778516123487</v>
      </c>
      <c r="D55" s="100">
        <f t="shared" si="11"/>
        <v>1.0163857646947325</v>
      </c>
      <c r="E55" s="100">
        <f t="shared" si="11"/>
        <v>1.0163824586691705</v>
      </c>
      <c r="F55" s="100">
        <f t="shared" si="11"/>
        <v>1.0025665778447799</v>
      </c>
      <c r="G55" s="100">
        <f t="shared" si="11"/>
        <v>1.0025709858788627</v>
      </c>
    </row>
    <row r="56" spans="1:7" x14ac:dyDescent="0.2">
      <c r="A56" s="2" t="s">
        <v>251</v>
      </c>
      <c r="B56" s="100">
        <f t="shared" si="11"/>
        <v>1</v>
      </c>
      <c r="C56" s="100">
        <f t="shared" si="11"/>
        <v>1.0019351679637831</v>
      </c>
      <c r="D56" s="100">
        <f t="shared" si="11"/>
        <v>1.0141101110571393</v>
      </c>
      <c r="E56" s="100">
        <f t="shared" si="11"/>
        <v>1.014132590280961</v>
      </c>
      <c r="F56" s="100">
        <f t="shared" si="11"/>
        <v>1.0022107827949884</v>
      </c>
      <c r="G56" s="100">
        <f t="shared" si="11"/>
        <v>1.0022186016554482</v>
      </c>
    </row>
    <row r="57" spans="1:7" x14ac:dyDescent="0.2">
      <c r="A57" s="2" t="s">
        <v>252</v>
      </c>
      <c r="B57" s="100">
        <f t="shared" si="11"/>
        <v>1</v>
      </c>
      <c r="C57" s="100">
        <f t="shared" si="11"/>
        <v>1.0366908838669635</v>
      </c>
      <c r="D57" s="100">
        <f t="shared" si="11"/>
        <v>2.4192618013216021</v>
      </c>
      <c r="E57" s="100">
        <f t="shared" si="11"/>
        <v>2.4225658062867366</v>
      </c>
      <c r="F57" s="100">
        <f t="shared" si="11"/>
        <v>1.0426965061516555</v>
      </c>
      <c r="G57" s="100">
        <f t="shared" si="11"/>
        <v>1.0429338103756709</v>
      </c>
    </row>
    <row r="58" spans="1:7" x14ac:dyDescent="0.2">
      <c r="A58" s="2" t="s">
        <v>253</v>
      </c>
      <c r="B58" s="100">
        <f t="shared" si="11"/>
        <v>1</v>
      </c>
      <c r="C58" s="100">
        <f t="shared" si="11"/>
        <v>1.0053530128744401</v>
      </c>
      <c r="D58" s="100">
        <f t="shared" si="11"/>
        <v>1.0376404541176274</v>
      </c>
      <c r="E58" s="100">
        <f t="shared" si="11"/>
        <v>1.0377653947708172</v>
      </c>
      <c r="F58" s="100">
        <f t="shared" si="11"/>
        <v>1.0058055756848829</v>
      </c>
      <c r="G58" s="100">
        <f t="shared" si="11"/>
        <v>1.0058749871588772</v>
      </c>
    </row>
    <row r="59" spans="1:7" x14ac:dyDescent="0.2">
      <c r="A59" s="2" t="s">
        <v>254</v>
      </c>
      <c r="B59" s="100">
        <f t="shared" si="11"/>
        <v>1</v>
      </c>
      <c r="C59" s="100">
        <f t="shared" si="11"/>
        <v>2.184257602862254</v>
      </c>
      <c r="D59" s="100">
        <f t="shared" si="11"/>
        <v>9.8008348240906376</v>
      </c>
      <c r="E59" s="100">
        <f t="shared" si="11"/>
        <v>9.818723911747167</v>
      </c>
      <c r="F59" s="100">
        <f t="shared" si="11"/>
        <v>2.2868217054263567</v>
      </c>
      <c r="G59" s="100">
        <f t="shared" si="11"/>
        <v>2.3136553369111508</v>
      </c>
    </row>
    <row r="60" spans="1:7" x14ac:dyDescent="0.2">
      <c r="A60" s="2" t="s">
        <v>255</v>
      </c>
      <c r="B60" s="100">
        <f t="shared" si="11"/>
        <v>1</v>
      </c>
      <c r="C60" s="100">
        <f t="shared" si="11"/>
        <v>2.494553376906318</v>
      </c>
      <c r="D60" s="100">
        <f t="shared" si="11"/>
        <v>11.870007262164124</v>
      </c>
      <c r="E60" s="100">
        <f t="shared" si="11"/>
        <v>11.912854030501089</v>
      </c>
      <c r="F60" s="100">
        <f t="shared" si="11"/>
        <v>2.6412490922294842</v>
      </c>
      <c r="G60" s="100">
        <f t="shared" si="11"/>
        <v>2.6405228758169934</v>
      </c>
    </row>
    <row r="61" spans="1:7" x14ac:dyDescent="0.2">
      <c r="A61" s="2" t="s">
        <v>226</v>
      </c>
      <c r="B61" s="100">
        <f>GEOMEAN(B49:B60)</f>
        <v>1</v>
      </c>
      <c r="C61" s="100">
        <f t="shared" ref="C61:E61" si="12">GEOMEAN(C49:C60)</f>
        <v>1.3062139315258672</v>
      </c>
      <c r="D61" s="100">
        <f t="shared" si="12"/>
        <v>2.5149364170687911</v>
      </c>
      <c r="E61" s="100">
        <f t="shared" si="12"/>
        <v>2.5184378277716348</v>
      </c>
      <c r="F61" s="100">
        <f>GEOMEAN(F49:F60)</f>
        <v>1.3307751141660851</v>
      </c>
      <c r="G61" s="100">
        <f>GEOMEAN(G49:G60)</f>
        <v>1.3324924789728769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3A84-072C-594B-9281-A975C9EBA603}">
  <dimension ref="A1:I154"/>
  <sheetViews>
    <sheetView topLeftCell="D1" zoomScale="90" zoomScaleNormal="90" workbookViewId="0">
      <selection activeCell="I162" sqref="I162"/>
    </sheetView>
  </sheetViews>
  <sheetFormatPr baseColWidth="10" defaultColWidth="18.83203125" defaultRowHeight="16" x14ac:dyDescent="0.2"/>
  <cols>
    <col min="1" max="1" width="19.6640625" bestFit="1" customWidth="1"/>
    <col min="2" max="2" width="12.83203125" bestFit="1" customWidth="1"/>
    <col min="3" max="3" width="20.5" bestFit="1" customWidth="1"/>
    <col min="4" max="4" width="20.6640625" bestFit="1" customWidth="1"/>
    <col min="5" max="5" width="31.33203125" bestFit="1" customWidth="1"/>
    <col min="6" max="6" width="31.5" bestFit="1" customWidth="1"/>
  </cols>
  <sheetData>
    <row r="1" spans="1:8" ht="18" x14ac:dyDescent="0.2">
      <c r="A1" s="2" t="s">
        <v>235</v>
      </c>
      <c r="B1" s="2" t="s">
        <v>233</v>
      </c>
      <c r="C1" s="2" t="s">
        <v>265</v>
      </c>
      <c r="D1" s="2" t="s">
        <v>263</v>
      </c>
      <c r="E1" s="2" t="s">
        <v>266</v>
      </c>
      <c r="F1" s="2" t="s">
        <v>264</v>
      </c>
    </row>
    <row r="2" spans="1:8" ht="18" x14ac:dyDescent="0.2">
      <c r="A2" s="28" t="s">
        <v>269</v>
      </c>
      <c r="B2" s="87" cm="1">
        <f t="array" ref="B2:F16">Static_Overhead_SPEC2017!B22:F36</f>
        <v>1</v>
      </c>
      <c r="C2" s="87">
        <v>1.7103958136846269</v>
      </c>
      <c r="D2" s="87">
        <v>1.7343393471051751</v>
      </c>
      <c r="E2" s="87">
        <v>21.375764398065048</v>
      </c>
      <c r="F2" s="87">
        <v>1.936718488545438</v>
      </c>
    </row>
    <row r="3" spans="1:8" ht="18" x14ac:dyDescent="0.2">
      <c r="A3" s="28" t="s">
        <v>270</v>
      </c>
      <c r="B3" s="87">
        <v>1</v>
      </c>
      <c r="C3" s="87">
        <v>1.6373122834039275</v>
      </c>
      <c r="D3" s="87">
        <v>1.7070465922217943</v>
      </c>
      <c r="E3" s="87">
        <v>2.6425490951097421</v>
      </c>
      <c r="F3" s="87">
        <v>1.7102425876010781</v>
      </c>
    </row>
    <row r="4" spans="1:8" ht="18" x14ac:dyDescent="0.2">
      <c r="A4" s="28" t="s">
        <v>271</v>
      </c>
      <c r="B4" s="87">
        <v>1</v>
      </c>
      <c r="C4" s="87">
        <v>2.5291974471078951</v>
      </c>
      <c r="D4" s="87">
        <v>2.5778682345846526</v>
      </c>
      <c r="E4" s="87">
        <v>2.8280315593748431</v>
      </c>
      <c r="F4" s="87">
        <v>2.5839991959394943</v>
      </c>
    </row>
    <row r="5" spans="1:8" ht="18" x14ac:dyDescent="0.2">
      <c r="A5" s="28" t="s">
        <v>272</v>
      </c>
      <c r="B5" s="87">
        <v>1</v>
      </c>
      <c r="C5" s="87">
        <v>1.2255798758575629</v>
      </c>
      <c r="D5" s="87">
        <v>1.314970597843842</v>
      </c>
      <c r="E5" s="87">
        <v>1.310764456060111</v>
      </c>
      <c r="F5" s="87">
        <v>1.3118670369160406</v>
      </c>
    </row>
    <row r="6" spans="1:8" ht="18" x14ac:dyDescent="0.2">
      <c r="A6" s="28" t="s">
        <v>273</v>
      </c>
      <c r="B6" s="87">
        <v>1</v>
      </c>
      <c r="C6" s="87">
        <v>1.7915722547262336</v>
      </c>
      <c r="D6" s="87">
        <v>1.7757448679360142</v>
      </c>
      <c r="E6" s="87">
        <v>12.316953566234908</v>
      </c>
      <c r="F6" s="87">
        <v>1.8433156346173358</v>
      </c>
    </row>
    <row r="7" spans="1:8" ht="18" x14ac:dyDescent="0.2">
      <c r="A7" s="28" t="s">
        <v>274</v>
      </c>
      <c r="B7" s="87">
        <v>1</v>
      </c>
      <c r="C7" s="87">
        <v>1.8157203658426153</v>
      </c>
      <c r="D7" s="87">
        <v>1.89133387666395</v>
      </c>
      <c r="E7" s="87">
        <v>12.43412116272752</v>
      </c>
      <c r="F7" s="87">
        <v>1.9429502852485738</v>
      </c>
    </row>
    <row r="8" spans="1:8" ht="18" x14ac:dyDescent="0.2">
      <c r="A8" s="28" t="s">
        <v>275</v>
      </c>
      <c r="B8" s="87">
        <v>1</v>
      </c>
      <c r="C8" s="87">
        <v>1.687632842635598</v>
      </c>
      <c r="D8" s="87">
        <v>1.6882363746096722</v>
      </c>
      <c r="E8" s="87">
        <v>12.902463984885459</v>
      </c>
      <c r="F8" s="87">
        <v>1.7269149019916554</v>
      </c>
    </row>
    <row r="9" spans="1:8" ht="18" x14ac:dyDescent="0.2">
      <c r="A9" s="28" t="s">
        <v>276</v>
      </c>
      <c r="B9" s="87">
        <v>1</v>
      </c>
      <c r="C9" s="87">
        <v>1.6695261097693013</v>
      </c>
      <c r="D9" s="87">
        <v>1.6823519613558757</v>
      </c>
      <c r="E9" s="87">
        <v>2.4952944115932372</v>
      </c>
      <c r="F9" s="87">
        <v>1.6696093945198633</v>
      </c>
    </row>
    <row r="10" spans="1:8" ht="18" x14ac:dyDescent="0.2">
      <c r="A10" s="28" t="s">
        <v>7</v>
      </c>
      <c r="B10" s="87">
        <v>1</v>
      </c>
      <c r="C10" s="87">
        <v>1.6856932175588026</v>
      </c>
      <c r="D10" s="87">
        <v>1.7502370167491836</v>
      </c>
      <c r="E10" s="87">
        <v>24.357797474831077</v>
      </c>
      <c r="F10" s="87">
        <v>1.9552753156461151</v>
      </c>
    </row>
    <row r="11" spans="1:8" ht="18" x14ac:dyDescent="0.2">
      <c r="A11" s="28" t="s">
        <v>9</v>
      </c>
      <c r="B11" s="87">
        <v>1</v>
      </c>
      <c r="C11" s="87">
        <v>0.96508848263882918</v>
      </c>
      <c r="D11" s="87">
        <v>1.0087622749238998</v>
      </c>
      <c r="E11" s="87">
        <v>1.0063803807591105</v>
      </c>
      <c r="F11" s="87">
        <v>1.009673757889487</v>
      </c>
    </row>
    <row r="12" spans="1:8" ht="18" x14ac:dyDescent="0.2">
      <c r="A12" s="28" t="s">
        <v>11</v>
      </c>
      <c r="B12" s="87">
        <v>1</v>
      </c>
      <c r="C12" s="87">
        <v>1.7081217409086262</v>
      </c>
      <c r="D12" s="87">
        <v>1.7895095600013633</v>
      </c>
      <c r="E12" s="87">
        <v>12.368358269997614</v>
      </c>
      <c r="F12" s="87">
        <v>1.8334753416720631</v>
      </c>
    </row>
    <row r="13" spans="1:8" ht="18" x14ac:dyDescent="0.2">
      <c r="A13" s="28" t="s">
        <v>12</v>
      </c>
      <c r="B13" s="87">
        <v>1</v>
      </c>
      <c r="C13" s="87">
        <v>1.6892061781609196</v>
      </c>
      <c r="D13" s="87">
        <v>1.8683548850574712</v>
      </c>
      <c r="E13" s="87">
        <v>12.338362068965518</v>
      </c>
      <c r="F13" s="87">
        <v>1.9264547413793103</v>
      </c>
    </row>
    <row r="14" spans="1:8" ht="18" x14ac:dyDescent="0.2">
      <c r="A14" s="28" t="s">
        <v>15</v>
      </c>
      <c r="B14" s="87">
        <v>1</v>
      </c>
      <c r="C14" s="87">
        <v>1.599460464629004</v>
      </c>
      <c r="D14" s="87">
        <v>1.6913386239228936</v>
      </c>
      <c r="E14" s="87">
        <v>12.940991592676985</v>
      </c>
      <c r="F14" s="87">
        <v>1.7253869725779838</v>
      </c>
    </row>
    <row r="15" spans="1:8" ht="18" x14ac:dyDescent="0.2">
      <c r="A15" s="28" t="s">
        <v>17</v>
      </c>
      <c r="B15" s="87">
        <v>1</v>
      </c>
      <c r="C15" s="87">
        <v>1.9476324365774171</v>
      </c>
      <c r="D15" s="87">
        <v>2.0097130807080323</v>
      </c>
      <c r="E15" s="87">
        <v>3.087737235606109</v>
      </c>
      <c r="F15" s="87">
        <v>2.0301616716723112</v>
      </c>
    </row>
    <row r="16" spans="1:8" ht="18" x14ac:dyDescent="0.2">
      <c r="A16" s="4" t="s">
        <v>302</v>
      </c>
      <c r="B16" s="102">
        <v>1</v>
      </c>
      <c r="C16" s="102">
        <v>1.6556977008480984</v>
      </c>
      <c r="D16" s="102">
        <v>1.716072489700305</v>
      </c>
      <c r="E16" s="102">
        <v>6.2975928485938155</v>
      </c>
      <c r="F16" s="102">
        <v>1.7643230843716435</v>
      </c>
      <c r="G16">
        <f>C16/D16</f>
        <v>0.96481804281895434</v>
      </c>
      <c r="H16">
        <f>E16/F16</f>
        <v>3.56941021991824</v>
      </c>
    </row>
    <row r="17" spans="1:8" ht="18" x14ac:dyDescent="0.2">
      <c r="A17" s="2" t="s">
        <v>244</v>
      </c>
      <c r="B17" s="87" cm="1">
        <f t="array" ref="B17:F29">Static_Overhead_Splash3!B17:F29</f>
        <v>1</v>
      </c>
      <c r="C17" s="87">
        <v>2.1923076923076925</v>
      </c>
      <c r="D17" s="87">
        <v>2.7307692307692308</v>
      </c>
      <c r="E17" s="87">
        <v>15.76923076923077</v>
      </c>
      <c r="F17" s="87">
        <v>2.8461538461538463</v>
      </c>
    </row>
    <row r="18" spans="1:8" ht="18" x14ac:dyDescent="0.2">
      <c r="A18" s="2" t="s">
        <v>245</v>
      </c>
      <c r="B18" s="87">
        <v>1</v>
      </c>
      <c r="C18" s="87">
        <v>1.0454545454545454</v>
      </c>
      <c r="D18" s="87">
        <v>1.0909090909090908</v>
      </c>
      <c r="E18" s="87">
        <v>2.6363636363636362</v>
      </c>
      <c r="F18" s="87">
        <v>1.1363636363636365</v>
      </c>
    </row>
    <row r="19" spans="1:8" ht="18" x14ac:dyDescent="0.2">
      <c r="A19" s="2" t="s">
        <v>246</v>
      </c>
      <c r="B19" s="87">
        <v>1</v>
      </c>
      <c r="C19" s="87">
        <v>1.0241137304300882</v>
      </c>
      <c r="D19" s="87">
        <v>1.1693359726471118</v>
      </c>
      <c r="E19" s="87">
        <v>2.5805290624437647</v>
      </c>
      <c r="F19" s="87">
        <v>1.1182292603922981</v>
      </c>
    </row>
    <row r="20" spans="1:8" ht="18" x14ac:dyDescent="0.2">
      <c r="A20" s="2" t="s">
        <v>247</v>
      </c>
      <c r="B20" s="87">
        <v>1</v>
      </c>
      <c r="C20" s="87">
        <v>0.93181818181818177</v>
      </c>
      <c r="D20" s="87">
        <v>0.95454545454545459</v>
      </c>
      <c r="E20" s="87">
        <v>1.7045454545454546</v>
      </c>
      <c r="F20" s="87">
        <v>0.97727272727272729</v>
      </c>
    </row>
    <row r="21" spans="1:8" ht="18" x14ac:dyDescent="0.2">
      <c r="A21" s="2" t="s">
        <v>248</v>
      </c>
      <c r="B21" s="87">
        <v>1</v>
      </c>
      <c r="C21" s="87">
        <v>1.7817142857142858</v>
      </c>
      <c r="D21" s="87">
        <v>1.8213333333333332</v>
      </c>
      <c r="E21" s="87">
        <v>11.063619047619047</v>
      </c>
      <c r="F21" s="87">
        <v>1.7344761904761905</v>
      </c>
    </row>
    <row r="22" spans="1:8" ht="18" x14ac:dyDescent="0.2">
      <c r="A22" s="2" t="s">
        <v>249</v>
      </c>
      <c r="B22" s="87">
        <v>1</v>
      </c>
      <c r="C22" s="87">
        <v>1.5210866752910737</v>
      </c>
      <c r="D22" s="87">
        <v>1.4271668822768435</v>
      </c>
      <c r="E22" s="87">
        <v>7.9055627425614485</v>
      </c>
      <c r="F22" s="87">
        <v>1.5060802069857697</v>
      </c>
    </row>
    <row r="23" spans="1:8" ht="18" x14ac:dyDescent="0.2">
      <c r="A23" s="2" t="s">
        <v>250</v>
      </c>
      <c r="B23" s="87">
        <v>1</v>
      </c>
      <c r="C23" s="87">
        <v>1.0066334991708126</v>
      </c>
      <c r="D23" s="87">
        <v>1.0071862907683804</v>
      </c>
      <c r="E23" s="87">
        <v>1.0182421227197347</v>
      </c>
      <c r="F23" s="87">
        <v>1.007739082365948</v>
      </c>
    </row>
    <row r="24" spans="1:8" ht="18" x14ac:dyDescent="0.2">
      <c r="A24" s="2" t="s">
        <v>251</v>
      </c>
      <c r="B24" s="87">
        <v>1</v>
      </c>
      <c r="C24" s="87">
        <v>0.97901168969181718</v>
      </c>
      <c r="D24" s="87">
        <v>0.98591923485653565</v>
      </c>
      <c r="E24" s="87">
        <v>0.98618490967056327</v>
      </c>
      <c r="F24" s="87">
        <v>1.0092986184909671</v>
      </c>
    </row>
    <row r="25" spans="1:8" ht="18" x14ac:dyDescent="0.2">
      <c r="A25" s="2" t="s">
        <v>252</v>
      </c>
      <c r="B25" s="87">
        <v>1</v>
      </c>
      <c r="C25" s="87">
        <v>2.6774193548387095</v>
      </c>
      <c r="D25" s="87">
        <v>3.161290322580645</v>
      </c>
      <c r="E25" s="87">
        <v>28.838709677419356</v>
      </c>
      <c r="F25" s="87">
        <v>3.4193548387096775</v>
      </c>
    </row>
    <row r="26" spans="1:8" ht="18" x14ac:dyDescent="0.2">
      <c r="A26" s="2" t="s">
        <v>253</v>
      </c>
      <c r="B26" s="87">
        <v>1</v>
      </c>
      <c r="C26" s="87">
        <v>1.3530031612223392</v>
      </c>
      <c r="D26" s="87">
        <v>1.3582718651211803</v>
      </c>
      <c r="E26" s="87">
        <v>8.1707060063224439</v>
      </c>
      <c r="F26" s="87">
        <v>1.3909378292939938</v>
      </c>
    </row>
    <row r="27" spans="1:8" ht="18" x14ac:dyDescent="0.2">
      <c r="A27" s="2" t="s">
        <v>254</v>
      </c>
      <c r="B27" s="87">
        <v>1</v>
      </c>
      <c r="C27" s="87">
        <v>1.3771186440677967</v>
      </c>
      <c r="D27" s="87">
        <v>1.4682203389830508</v>
      </c>
      <c r="E27" s="87">
        <v>6.8919491525423728</v>
      </c>
      <c r="F27" s="87">
        <v>1.6271186440677967</v>
      </c>
    </row>
    <row r="28" spans="1:8" ht="18" x14ac:dyDescent="0.2">
      <c r="A28" s="2" t="s">
        <v>255</v>
      </c>
      <c r="B28" s="87">
        <v>1</v>
      </c>
      <c r="C28" s="87">
        <v>1.5</v>
      </c>
      <c r="D28" s="87">
        <v>1.537037037037037</v>
      </c>
      <c r="E28" s="87">
        <v>6.2777777777777777</v>
      </c>
      <c r="F28" s="87">
        <v>1.6851851851851851</v>
      </c>
    </row>
    <row r="29" spans="1:8" ht="18" x14ac:dyDescent="0.2">
      <c r="A29" s="4" t="s">
        <v>305</v>
      </c>
      <c r="B29" s="102">
        <v>1</v>
      </c>
      <c r="C29" s="102">
        <v>1.3699916755751029</v>
      </c>
      <c r="D29" s="102">
        <v>1.4454263140532051</v>
      </c>
      <c r="E29" s="102">
        <v>4.8362973995012819</v>
      </c>
      <c r="F29" s="102">
        <v>1.4928016562932125</v>
      </c>
      <c r="G29">
        <f>C29/D29</f>
        <v>0.94781149495848638</v>
      </c>
      <c r="H29">
        <f>E29/F29</f>
        <v>3.2397454672647736</v>
      </c>
    </row>
    <row r="30" spans="1:8" x14ac:dyDescent="0.2">
      <c r="H30">
        <f>GEOMEAN(H29,H16)</f>
        <v>3.4005853291438926</v>
      </c>
    </row>
    <row r="33" spans="1:7" ht="18" x14ac:dyDescent="0.2">
      <c r="A33" s="2"/>
    </row>
    <row r="34" spans="1:7" ht="18" x14ac:dyDescent="0.2">
      <c r="A34" s="2"/>
    </row>
    <row r="35" spans="1:7" ht="18" x14ac:dyDescent="0.2">
      <c r="A35" s="2"/>
    </row>
    <row r="36" spans="1:7" ht="18" x14ac:dyDescent="0.2">
      <c r="A36" s="2"/>
    </row>
    <row r="37" spans="1:7" ht="18" x14ac:dyDescent="0.2">
      <c r="A37" s="2"/>
    </row>
    <row r="38" spans="1:7" ht="18" x14ac:dyDescent="0.2">
      <c r="A38" s="2"/>
    </row>
    <row r="39" spans="1:7" ht="18" x14ac:dyDescent="0.2">
      <c r="A39" s="2"/>
    </row>
    <row r="40" spans="1:7" ht="18" x14ac:dyDescent="0.2">
      <c r="A40" s="2"/>
    </row>
    <row r="41" spans="1:7" ht="18" x14ac:dyDescent="0.2">
      <c r="A41" s="2" t="s">
        <v>235</v>
      </c>
      <c r="B41" s="2" t="s">
        <v>233</v>
      </c>
      <c r="C41" s="2" t="s">
        <v>257</v>
      </c>
      <c r="D41" s="2" t="s">
        <v>267</v>
      </c>
      <c r="E41" s="2" t="s">
        <v>263</v>
      </c>
      <c r="F41" s="2" t="s">
        <v>277</v>
      </c>
      <c r="G41" s="2" t="s">
        <v>278</v>
      </c>
    </row>
    <row r="42" spans="1:7" ht="18" x14ac:dyDescent="0.2">
      <c r="A42" s="28" t="s">
        <v>269</v>
      </c>
      <c r="B42" s="87" cm="1">
        <f t="array" ref="B42:G56">Dyn_Overhead_SPEC2017!B22:G36</f>
        <v>1</v>
      </c>
      <c r="C42" s="87">
        <v>1.8634275457117648</v>
      </c>
      <c r="D42" s="87">
        <v>11.977851470990903</v>
      </c>
      <c r="E42" s="87">
        <v>9.8078128327603515</v>
      </c>
      <c r="F42" s="87">
        <v>13.95844108430436</v>
      </c>
      <c r="G42" s="87">
        <v>11.831817213788067</v>
      </c>
    </row>
    <row r="43" spans="1:7" ht="18" x14ac:dyDescent="0.2">
      <c r="A43" s="28" t="s">
        <v>270</v>
      </c>
      <c r="B43" s="87">
        <v>1</v>
      </c>
      <c r="C43" s="87">
        <v>1.7180978051597997</v>
      </c>
      <c r="D43" s="87">
        <v>2.1906815556411243</v>
      </c>
      <c r="E43" s="87">
        <v>1.9727762803234501</v>
      </c>
      <c r="F43" s="87">
        <v>2.2666923373122834</v>
      </c>
      <c r="G43" s="87">
        <v>2.0347708894878704</v>
      </c>
    </row>
    <row r="44" spans="1:7" ht="18" x14ac:dyDescent="0.2">
      <c r="A44" s="28" t="s">
        <v>271</v>
      </c>
      <c r="B44" s="87">
        <v>1</v>
      </c>
      <c r="C44" s="87">
        <v>2.6148801447308911</v>
      </c>
      <c r="D44" s="87">
        <v>4.5557816975727423</v>
      </c>
      <c r="E44" s="87">
        <v>3.6053319262274486</v>
      </c>
      <c r="F44" s="87">
        <v>4.9206241519674352</v>
      </c>
      <c r="G44" s="87">
        <v>3.9598723553947432</v>
      </c>
    </row>
    <row r="45" spans="1:7" ht="18" x14ac:dyDescent="0.2">
      <c r="A45" s="28" t="s">
        <v>272</v>
      </c>
      <c r="B45" s="87">
        <v>1</v>
      </c>
      <c r="C45" s="87">
        <v>1.7126347598823914</v>
      </c>
      <c r="D45" s="87">
        <v>1.6963819013394315</v>
      </c>
      <c r="E45" s="87">
        <v>1.7067134923227703</v>
      </c>
      <c r="F45" s="87">
        <v>1.7083061091146685</v>
      </c>
      <c r="G45" s="87">
        <v>1.7029157138190134</v>
      </c>
    </row>
    <row r="46" spans="1:7" ht="18" x14ac:dyDescent="0.2">
      <c r="A46" s="28" t="s">
        <v>273</v>
      </c>
      <c r="B46" s="87">
        <v>1</v>
      </c>
      <c r="C46" s="87">
        <v>1.871047380702763</v>
      </c>
      <c r="D46" s="87">
        <v>7.6688761878994898</v>
      </c>
      <c r="E46" s="87">
        <v>4.8612059927626907</v>
      </c>
      <c r="F46" s="87">
        <v>8.8169704758361807</v>
      </c>
      <c r="G46" s="87">
        <v>5.9611079170753154</v>
      </c>
    </row>
    <row r="47" spans="1:7" ht="18" x14ac:dyDescent="0.2">
      <c r="A47" s="28" t="s">
        <v>274</v>
      </c>
      <c r="B47" s="87">
        <v>1</v>
      </c>
      <c r="C47" s="87">
        <v>2.0961695191524043</v>
      </c>
      <c r="D47" s="87">
        <v>7.2963868513990766</v>
      </c>
      <c r="E47" s="87">
        <v>5.6994476138730414</v>
      </c>
      <c r="F47" s="87">
        <v>8.3346011047722541</v>
      </c>
      <c r="G47" s="87">
        <v>6.6386851399076336</v>
      </c>
    </row>
    <row r="48" spans="1:7" ht="18" x14ac:dyDescent="0.2">
      <c r="A48" s="28" t="s">
        <v>275</v>
      </c>
      <c r="B48" s="87">
        <v>1</v>
      </c>
      <c r="C48" s="87">
        <v>1.8667506363326249</v>
      </c>
      <c r="D48" s="87">
        <v>7.2846571675982048</v>
      </c>
      <c r="E48" s="87">
        <v>4.3248051641344567</v>
      </c>
      <c r="F48" s="87">
        <v>8.2738723136267023</v>
      </c>
      <c r="G48" s="87">
        <v>5.1537432102652918</v>
      </c>
    </row>
    <row r="49" spans="1:9" ht="18" x14ac:dyDescent="0.2">
      <c r="A49" s="28" t="s">
        <v>276</v>
      </c>
      <c r="B49" s="87">
        <v>1</v>
      </c>
      <c r="C49" s="87">
        <v>1.745898226034813</v>
      </c>
      <c r="D49" s="87">
        <v>2.2697593070708755</v>
      </c>
      <c r="E49" s="87">
        <v>2.0695427667194135</v>
      </c>
      <c r="F49" s="87">
        <v>2.36886816023986</v>
      </c>
      <c r="G49" s="87">
        <v>2.1584075955692512</v>
      </c>
    </row>
    <row r="50" spans="1:9" ht="18" x14ac:dyDescent="0.2">
      <c r="A50" s="28" t="s">
        <v>7</v>
      </c>
      <c r="B50" s="87">
        <v>1</v>
      </c>
      <c r="C50" s="87">
        <v>1.872116296218266</v>
      </c>
      <c r="D50" s="87">
        <v>11.527290785691713</v>
      </c>
      <c r="E50" s="87">
        <v>9.4144557643978271</v>
      </c>
      <c r="F50" s="87">
        <v>13.259394140043039</v>
      </c>
      <c r="G50" s="87">
        <v>11.355735805330243</v>
      </c>
    </row>
    <row r="51" spans="1:9" ht="18" x14ac:dyDescent="0.2">
      <c r="A51" s="28" t="s">
        <v>9</v>
      </c>
      <c r="B51" s="87">
        <v>1</v>
      </c>
      <c r="C51" s="87">
        <v>1.051567578722892</v>
      </c>
      <c r="D51" s="87">
        <v>1.0193905102584828</v>
      </c>
      <c r="E51" s="87">
        <v>1.0154694137272775</v>
      </c>
      <c r="F51" s="87">
        <v>1.0154436170395722</v>
      </c>
      <c r="G51" s="87">
        <v>1.0191669389650369</v>
      </c>
    </row>
    <row r="52" spans="1:9" ht="18" x14ac:dyDescent="0.2">
      <c r="A52" s="28" t="s">
        <v>11</v>
      </c>
      <c r="B52" s="87">
        <v>1</v>
      </c>
      <c r="C52" s="87">
        <v>1.8700453290617225</v>
      </c>
      <c r="D52" s="87">
        <v>7.7165059132272251</v>
      </c>
      <c r="E52" s="87">
        <v>4.8336457516785387</v>
      </c>
      <c r="F52" s="87">
        <v>8.8725673971575603</v>
      </c>
      <c r="G52" s="87">
        <v>5.9641798166388327</v>
      </c>
    </row>
    <row r="53" spans="1:9" ht="18" x14ac:dyDescent="0.2">
      <c r="A53" s="28" t="s">
        <v>12</v>
      </c>
      <c r="B53" s="87">
        <v>1</v>
      </c>
      <c r="C53" s="87">
        <v>2.078753591954023</v>
      </c>
      <c r="D53" s="87">
        <v>7.2301544540229887</v>
      </c>
      <c r="E53" s="87">
        <v>5.6506824712643677</v>
      </c>
      <c r="F53" s="87">
        <v>8.2584410919540225</v>
      </c>
      <c r="G53" s="87">
        <v>6.5884518678160919</v>
      </c>
    </row>
    <row r="54" spans="1:9" ht="18" x14ac:dyDescent="0.2">
      <c r="A54" s="28" t="s">
        <v>15</v>
      </c>
      <c r="B54" s="87">
        <v>1</v>
      </c>
      <c r="C54" s="87">
        <v>1.8705377019983762</v>
      </c>
      <c r="D54" s="87">
        <v>7.2107330871375819</v>
      </c>
      <c r="E54" s="87">
        <v>4.3492574840889446</v>
      </c>
      <c r="F54" s="87">
        <v>8.301458840784683</v>
      </c>
      <c r="G54" s="87">
        <v>5.1725989366438805</v>
      </c>
    </row>
    <row r="55" spans="1:9" ht="18" x14ac:dyDescent="0.2">
      <c r="A55" s="28" t="s">
        <v>17</v>
      </c>
      <c r="B55" s="87">
        <v>1</v>
      </c>
      <c r="C55" s="87">
        <v>2.0591411591795001</v>
      </c>
      <c r="D55" s="87">
        <v>2.6106140967473959</v>
      </c>
      <c r="E55" s="87">
        <v>2.4405393315866828</v>
      </c>
      <c r="F55" s="87">
        <v>2.7455108952648732</v>
      </c>
      <c r="G55" s="87">
        <v>2.5617611348967984</v>
      </c>
    </row>
    <row r="56" spans="1:9" ht="18" x14ac:dyDescent="0.2">
      <c r="A56" s="4" t="s">
        <v>304</v>
      </c>
      <c r="B56" s="102">
        <v>1</v>
      </c>
      <c r="C56" s="102">
        <v>1.8476181560103755</v>
      </c>
      <c r="D56" s="102">
        <v>4.6655435097550528</v>
      </c>
      <c r="E56" s="102">
        <v>3.6745826883437345</v>
      </c>
      <c r="F56" s="102">
        <v>5.1245444978469061</v>
      </c>
      <c r="G56" s="102">
        <v>4.13737523717624</v>
      </c>
      <c r="H56">
        <f>D56/E56</f>
        <v>1.2696798263799527</v>
      </c>
      <c r="I56">
        <f>F56/G56</f>
        <v>1.2385979525860964</v>
      </c>
    </row>
    <row r="57" spans="1:9" ht="18" x14ac:dyDescent="0.2">
      <c r="A57" s="2" t="s">
        <v>244</v>
      </c>
      <c r="B57" s="87" cm="1">
        <f t="array" ref="B57:G69">Dyn_Overhead_Splash3!$B$17:$G$29</f>
        <v>1</v>
      </c>
      <c r="C57" s="87">
        <v>1.1153846153846154</v>
      </c>
      <c r="D57" s="87">
        <v>14.76923076923077</v>
      </c>
      <c r="E57" s="87">
        <v>14.23076923076923</v>
      </c>
      <c r="F57" s="87">
        <v>20.846153846153847</v>
      </c>
      <c r="G57" s="87">
        <v>17.73076923076923</v>
      </c>
    </row>
    <row r="58" spans="1:9" ht="18" x14ac:dyDescent="0.2">
      <c r="A58" s="2" t="s">
        <v>245</v>
      </c>
      <c r="B58" s="87">
        <v>1</v>
      </c>
      <c r="C58" s="87">
        <v>1.4090909090909092</v>
      </c>
      <c r="D58" s="87">
        <v>3.3636363636363638</v>
      </c>
      <c r="E58" s="87">
        <v>3.0909090909090908</v>
      </c>
      <c r="F58" s="87">
        <v>4.5</v>
      </c>
      <c r="G58" s="87">
        <v>3.9545454545454546</v>
      </c>
    </row>
    <row r="59" spans="1:9" ht="18" x14ac:dyDescent="0.2">
      <c r="A59" s="2" t="s">
        <v>246</v>
      </c>
      <c r="B59" s="87">
        <v>1</v>
      </c>
      <c r="C59" s="87">
        <v>1.5463379521324456</v>
      </c>
      <c r="D59" s="87">
        <v>7.2513946373942773</v>
      </c>
      <c r="E59" s="87">
        <v>6.1943494691380243</v>
      </c>
      <c r="F59" s="87">
        <v>10.853158178873493</v>
      </c>
      <c r="G59" s="87">
        <v>9.534640993341732</v>
      </c>
    </row>
    <row r="60" spans="1:9" ht="18" x14ac:dyDescent="0.2">
      <c r="A60" s="2" t="s">
        <v>247</v>
      </c>
      <c r="B60" s="87">
        <v>1</v>
      </c>
      <c r="C60" s="87">
        <v>1.2727272727272727</v>
      </c>
      <c r="D60" s="87">
        <v>2.3409090909090908</v>
      </c>
      <c r="E60" s="87">
        <v>2.1363636363636362</v>
      </c>
      <c r="F60" s="87">
        <v>3.1363636363636362</v>
      </c>
      <c r="G60" s="87">
        <v>2.7954545454545454</v>
      </c>
    </row>
    <row r="61" spans="1:9" ht="18" x14ac:dyDescent="0.2">
      <c r="A61" s="2" t="s">
        <v>248</v>
      </c>
      <c r="B61" s="87">
        <v>1</v>
      </c>
      <c r="C61" s="87">
        <v>1.0331428571428571</v>
      </c>
      <c r="D61" s="87">
        <v>6.5039999999999996</v>
      </c>
      <c r="E61" s="87">
        <v>5.7344761904761903</v>
      </c>
      <c r="F61" s="87">
        <v>9.0712380952380958</v>
      </c>
      <c r="G61" s="87">
        <v>6.8994285714285715</v>
      </c>
    </row>
    <row r="62" spans="1:9" ht="18" x14ac:dyDescent="0.2">
      <c r="A62" s="2" t="s">
        <v>249</v>
      </c>
      <c r="B62" s="87">
        <v>1</v>
      </c>
      <c r="C62" s="87">
        <v>1.0388098318240622</v>
      </c>
      <c r="D62" s="87">
        <v>5.0623544631306601</v>
      </c>
      <c r="E62" s="87">
        <v>4.5068564036222512</v>
      </c>
      <c r="F62" s="87">
        <v>6.6631306597671411</v>
      </c>
      <c r="G62" s="87">
        <v>5.0401034928848638</v>
      </c>
    </row>
    <row r="63" spans="1:9" ht="18" x14ac:dyDescent="0.2">
      <c r="A63" s="2" t="s">
        <v>250</v>
      </c>
      <c r="B63" s="87">
        <v>1</v>
      </c>
      <c r="C63" s="87">
        <v>1.0334821428571428</v>
      </c>
      <c r="D63" s="87">
        <v>1.0758928571428572</v>
      </c>
      <c r="E63" s="87">
        <v>1.0714285714285714</v>
      </c>
      <c r="F63" s="87">
        <v>1.1551339285714286</v>
      </c>
      <c r="G63" s="87">
        <v>1.1238839285714286</v>
      </c>
    </row>
    <row r="64" spans="1:9" ht="18" x14ac:dyDescent="0.2">
      <c r="A64" s="2" t="s">
        <v>251</v>
      </c>
      <c r="B64" s="87">
        <v>1</v>
      </c>
      <c r="C64" s="87">
        <v>1.0154091392136027</v>
      </c>
      <c r="D64" s="87">
        <v>1.0162061636556854</v>
      </c>
      <c r="E64" s="87">
        <v>1.0185972369819341</v>
      </c>
      <c r="F64" s="87">
        <v>1.0209883103081827</v>
      </c>
      <c r="G64" s="87">
        <v>0.99123273113708821</v>
      </c>
    </row>
    <row r="65" spans="1:9" ht="18" x14ac:dyDescent="0.2">
      <c r="A65" s="2" t="s">
        <v>252</v>
      </c>
      <c r="B65" s="87">
        <v>1</v>
      </c>
      <c r="C65" s="87">
        <v>1.3225806451612903</v>
      </c>
      <c r="D65" s="87">
        <v>14</v>
      </c>
      <c r="E65" s="87">
        <v>12.096774193548388</v>
      </c>
      <c r="F65" s="87">
        <v>21.516129032258064</v>
      </c>
      <c r="G65" s="87">
        <v>16.903225806451612</v>
      </c>
    </row>
    <row r="66" spans="1:9" ht="18" x14ac:dyDescent="0.2">
      <c r="A66" s="2" t="s">
        <v>253</v>
      </c>
      <c r="B66" s="87">
        <v>1</v>
      </c>
      <c r="C66" s="87">
        <v>1.0147523709167545</v>
      </c>
      <c r="D66" s="87">
        <v>4.7692307692307692</v>
      </c>
      <c r="E66" s="87">
        <v>4.3076923076923075</v>
      </c>
      <c r="F66" s="87">
        <v>6.3308746048472075</v>
      </c>
      <c r="G66" s="87">
        <v>5.8177028451001052</v>
      </c>
    </row>
    <row r="67" spans="1:9" ht="18" x14ac:dyDescent="0.2">
      <c r="A67" s="2" t="s">
        <v>254</v>
      </c>
      <c r="B67" s="87">
        <v>1</v>
      </c>
      <c r="C67" s="87">
        <v>1.097457627118644</v>
      </c>
      <c r="D67" s="87">
        <v>4.6207627118644066</v>
      </c>
      <c r="E67" s="87">
        <v>4.1716101694915251</v>
      </c>
      <c r="F67" s="87">
        <v>6.1652542372881358</v>
      </c>
      <c r="G67" s="87">
        <v>4.9110169491525424</v>
      </c>
    </row>
    <row r="68" spans="1:9" ht="18" x14ac:dyDescent="0.2">
      <c r="A68" s="2" t="s">
        <v>255</v>
      </c>
      <c r="B68" s="87">
        <v>1</v>
      </c>
      <c r="C68" s="87">
        <v>1.4259259259259258</v>
      </c>
      <c r="D68" s="87">
        <v>6.4814814814814818</v>
      </c>
      <c r="E68" s="87">
        <v>5.7777777777777777</v>
      </c>
      <c r="F68" s="87">
        <v>9.3148148148148149</v>
      </c>
      <c r="G68" s="87">
        <v>7.5185185185185182</v>
      </c>
    </row>
    <row r="69" spans="1:9" ht="18" x14ac:dyDescent="0.2">
      <c r="A69" s="4" t="s">
        <v>305</v>
      </c>
      <c r="B69" s="102">
        <v>1</v>
      </c>
      <c r="C69" s="102">
        <v>1.1803910434964764</v>
      </c>
      <c r="D69" s="102">
        <v>4.4524778925966091</v>
      </c>
      <c r="E69" s="102">
        <v>4.0693476148817931</v>
      </c>
      <c r="F69" s="102">
        <v>5.9003939039676796</v>
      </c>
      <c r="G69" s="102">
        <v>5.0309069677068088</v>
      </c>
      <c r="H69">
        <f>D69/E69</f>
        <v>1.0941502948319506</v>
      </c>
      <c r="I69">
        <f>F69/G69</f>
        <v>1.172829062799625</v>
      </c>
    </row>
    <row r="70" spans="1:9" x14ac:dyDescent="0.2">
      <c r="I70">
        <f>GEOMEAN(I69,I56)</f>
        <v>1.2052649816190155</v>
      </c>
    </row>
    <row r="84" spans="1:6" ht="18" x14ac:dyDescent="0.2">
      <c r="B84" s="2"/>
      <c r="C84" s="2"/>
      <c r="D84" s="2"/>
      <c r="E84" s="2"/>
    </row>
    <row r="85" spans="1:6" ht="18" x14ac:dyDescent="0.2">
      <c r="A85" s="2" t="s">
        <v>303</v>
      </c>
      <c r="B85" t="s">
        <v>233</v>
      </c>
      <c r="C85" s="2" t="s">
        <v>265</v>
      </c>
      <c r="D85" s="2" t="s">
        <v>263</v>
      </c>
      <c r="E85" s="2" t="s">
        <v>266</v>
      </c>
      <c r="F85" s="2" t="s">
        <v>264</v>
      </c>
    </row>
    <row r="86" spans="1:6" ht="18" x14ac:dyDescent="0.2">
      <c r="A86" s="28" t="s">
        <v>269</v>
      </c>
      <c r="B86" s="100" cm="1">
        <f t="array" ref="B86:F100">Static_Overhead_SPEC2017!B62:F76</f>
        <v>1</v>
      </c>
      <c r="C86" s="100">
        <v>1.0032116002230813</v>
      </c>
      <c r="D86" s="100">
        <v>1.0029487746559229</v>
      </c>
      <c r="E86" s="100">
        <v>1.0031731379449604</v>
      </c>
      <c r="F86" s="100">
        <v>1.002910312377802</v>
      </c>
    </row>
    <row r="87" spans="1:6" ht="18" x14ac:dyDescent="0.2">
      <c r="A87" s="28" t="s">
        <v>270</v>
      </c>
      <c r="B87" s="100">
        <v>1</v>
      </c>
      <c r="C87" s="100">
        <v>1.002810000720513</v>
      </c>
      <c r="D87" s="100">
        <v>1.0031702572231429</v>
      </c>
      <c r="E87" s="100">
        <v>1.0074933352547013</v>
      </c>
      <c r="F87" s="100">
        <v>1.0028340178206883</v>
      </c>
    </row>
    <row r="88" spans="1:6" ht="18" x14ac:dyDescent="0.2">
      <c r="A88" s="28" t="s">
        <v>271</v>
      </c>
      <c r="B88" s="100">
        <v>1</v>
      </c>
      <c r="C88" s="100">
        <v>1.0036687729887768</v>
      </c>
      <c r="D88" s="100">
        <v>1.0027916627369613</v>
      </c>
      <c r="E88" s="100">
        <v>1.0089502970857305</v>
      </c>
      <c r="F88" s="100">
        <v>1.0028482504951428</v>
      </c>
    </row>
    <row r="89" spans="1:6" ht="18" x14ac:dyDescent="0.2">
      <c r="A89" s="28" t="s">
        <v>272</v>
      </c>
      <c r="B89" s="100">
        <v>1</v>
      </c>
      <c r="C89" s="100">
        <v>1.0047764488720159</v>
      </c>
      <c r="D89" s="100">
        <v>1.0038725392249213</v>
      </c>
      <c r="E89" s="100">
        <v>1.0049762604782158</v>
      </c>
      <c r="F89" s="100">
        <v>1.0039391430936546</v>
      </c>
    </row>
    <row r="90" spans="1:6" ht="18" x14ac:dyDescent="0.2">
      <c r="A90" s="28" t="s">
        <v>273</v>
      </c>
      <c r="B90" s="100">
        <v>1</v>
      </c>
      <c r="C90" s="100">
        <v>1.0092776781346813</v>
      </c>
      <c r="D90" s="100">
        <v>1.0076716125876406</v>
      </c>
      <c r="E90" s="100">
        <v>1.0284444806782977</v>
      </c>
      <c r="F90" s="100">
        <v>1.0081852274580141</v>
      </c>
    </row>
    <row r="91" spans="1:6" ht="18" x14ac:dyDescent="0.2">
      <c r="A91" s="28" t="s">
        <v>274</v>
      </c>
      <c r="B91" s="100">
        <v>1</v>
      </c>
      <c r="C91" s="100">
        <v>1.0167550265079524</v>
      </c>
      <c r="D91" s="100">
        <v>1.015629688906672</v>
      </c>
      <c r="E91" s="100">
        <v>1.0483895168550565</v>
      </c>
      <c r="F91" s="100">
        <v>1.016930079023707</v>
      </c>
    </row>
    <row r="92" spans="1:6" ht="18" x14ac:dyDescent="0.2">
      <c r="A92" s="28" t="s">
        <v>275</v>
      </c>
      <c r="B92" s="100">
        <v>1</v>
      </c>
      <c r="C92" s="100">
        <v>1.0260454348140646</v>
      </c>
      <c r="D92" s="100">
        <v>1.0240196787729707</v>
      </c>
      <c r="E92" s="100">
        <v>1.072059036318912</v>
      </c>
      <c r="F92" s="100">
        <v>1.0235855881927363</v>
      </c>
    </row>
    <row r="93" spans="1:6" ht="18" x14ac:dyDescent="0.2">
      <c r="A93" s="28" t="s">
        <v>276</v>
      </c>
      <c r="B93" s="100">
        <v>1</v>
      </c>
      <c r="C93" s="100">
        <v>1.0033162674763527</v>
      </c>
      <c r="D93" s="100">
        <v>1.0032032129032953</v>
      </c>
      <c r="E93" s="100">
        <v>1.0040215126701875</v>
      </c>
      <c r="F93" s="100">
        <v>1.0033916371917244</v>
      </c>
    </row>
    <row r="94" spans="1:6" ht="18" x14ac:dyDescent="0.2">
      <c r="A94" s="28" t="s">
        <v>7</v>
      </c>
      <c r="B94" s="100">
        <v>1</v>
      </c>
      <c r="C94" s="100">
        <v>1.0004210368550224</v>
      </c>
      <c r="D94" s="100">
        <v>1.0003875116721868</v>
      </c>
      <c r="E94" s="100">
        <v>1.0004427296203864</v>
      </c>
      <c r="F94" s="100">
        <v>1.0004062463331831</v>
      </c>
    </row>
    <row r="95" spans="1:6" ht="18" x14ac:dyDescent="0.2">
      <c r="A95" s="28" t="s">
        <v>9</v>
      </c>
      <c r="B95" s="100">
        <v>1</v>
      </c>
      <c r="C95" s="100">
        <v>1.0004518145258976</v>
      </c>
      <c r="D95" s="100">
        <v>1.0004324337419448</v>
      </c>
      <c r="E95" s="100">
        <v>1.0005135907747469</v>
      </c>
      <c r="F95" s="100">
        <v>1.0004045738650129</v>
      </c>
    </row>
    <row r="96" spans="1:6" ht="18" x14ac:dyDescent="0.2">
      <c r="A96" s="28" t="s">
        <v>11</v>
      </c>
      <c r="B96" s="100">
        <v>1</v>
      </c>
      <c r="C96" s="100">
        <v>1.0083256621019445</v>
      </c>
      <c r="D96" s="100">
        <v>1.0070059387550609</v>
      </c>
      <c r="E96" s="100">
        <v>1.0275431150358851</v>
      </c>
      <c r="F96" s="100">
        <v>1.0074377000969426</v>
      </c>
    </row>
    <row r="97" spans="1:6" ht="18" x14ac:dyDescent="0.2">
      <c r="A97" s="28" t="s">
        <v>12</v>
      </c>
      <c r="B97" s="100">
        <v>1</v>
      </c>
      <c r="C97" s="100">
        <v>1.0153558052434457</v>
      </c>
      <c r="D97" s="100">
        <v>1.0150062421972534</v>
      </c>
      <c r="E97" s="100">
        <v>1.0461423220973782</v>
      </c>
      <c r="F97" s="100">
        <v>1.0151310861423222</v>
      </c>
    </row>
    <row r="98" spans="1:6" ht="18" x14ac:dyDescent="0.2">
      <c r="A98" s="28" t="s">
        <v>15</v>
      </c>
      <c r="B98" s="100">
        <v>1</v>
      </c>
      <c r="C98" s="100">
        <v>1.013550135501355</v>
      </c>
      <c r="D98" s="100">
        <v>1.0069890172585936</v>
      </c>
      <c r="E98" s="100">
        <v>1.0196833547282842</v>
      </c>
      <c r="F98" s="100">
        <v>1.0088432463272001</v>
      </c>
    </row>
    <row r="99" spans="1:6" ht="18" x14ac:dyDescent="0.2">
      <c r="A99" s="28" t="s">
        <v>17</v>
      </c>
      <c r="B99" s="100">
        <v>1</v>
      </c>
      <c r="C99" s="100">
        <v>1.0294970989004282</v>
      </c>
      <c r="D99" s="100">
        <v>1.0008193784718369</v>
      </c>
      <c r="E99" s="100">
        <v>1.032522880782142</v>
      </c>
      <c r="F99" s="100">
        <v>1.0180805132071185</v>
      </c>
    </row>
    <row r="100" spans="1:6" ht="18" x14ac:dyDescent="0.2">
      <c r="A100" s="4" t="s">
        <v>301</v>
      </c>
      <c r="B100" s="103">
        <v>1</v>
      </c>
      <c r="C100" s="103">
        <v>1.0097793737615448</v>
      </c>
      <c r="D100" s="103">
        <v>1.0066885036996243</v>
      </c>
      <c r="E100" s="103">
        <v>1.0215239857027005</v>
      </c>
      <c r="F100" s="103">
        <v>1.0081841357978394</v>
      </c>
    </row>
    <row r="101" spans="1:6" ht="18" x14ac:dyDescent="0.2">
      <c r="A101" s="2" t="s">
        <v>244</v>
      </c>
      <c r="B101" s="100" cm="1">
        <f t="array" ref="B101:F113">Static_Overhead_Splash3!B54:F66</f>
        <v>1</v>
      </c>
      <c r="C101" s="100">
        <v>1.3477611940298508</v>
      </c>
      <c r="D101" s="100">
        <v>1.2850746268656716</v>
      </c>
      <c r="E101" s="100">
        <v>1.3350746268656717</v>
      </c>
      <c r="F101" s="100">
        <v>1.2843283582089553</v>
      </c>
    </row>
    <row r="102" spans="1:6" ht="18" x14ac:dyDescent="0.2">
      <c r="A102" s="2" t="s">
        <v>245</v>
      </c>
      <c r="B102" s="100">
        <v>1</v>
      </c>
      <c r="C102" s="100">
        <v>1.0611517719568566</v>
      </c>
      <c r="D102" s="100">
        <v>1.0595146379044684</v>
      </c>
      <c r="E102" s="100">
        <v>1.0552773497688752</v>
      </c>
      <c r="F102" s="100">
        <v>1.0579738058551618</v>
      </c>
    </row>
    <row r="103" spans="1:6" ht="18" x14ac:dyDescent="0.2">
      <c r="A103" s="2" t="s">
        <v>246</v>
      </c>
      <c r="B103" s="100">
        <v>1</v>
      </c>
      <c r="C103" s="100">
        <v>1.0001592100638557</v>
      </c>
      <c r="D103" s="100">
        <v>1.0001531721572423</v>
      </c>
      <c r="E103" s="100">
        <v>1.0001607989866486</v>
      </c>
      <c r="F103" s="100">
        <v>1.0001366473601954</v>
      </c>
    </row>
    <row r="104" spans="1:6" ht="18" x14ac:dyDescent="0.2">
      <c r="A104" s="2" t="s">
        <v>247</v>
      </c>
      <c r="B104" s="100">
        <v>1</v>
      </c>
      <c r="C104" s="100">
        <v>1.0665547244695466</v>
      </c>
      <c r="D104" s="100">
        <v>1.055258739123798</v>
      </c>
      <c r="E104" s="100">
        <v>1.0654861853152191</v>
      </c>
      <c r="F104" s="100">
        <v>1.0587696534880171</v>
      </c>
    </row>
    <row r="105" spans="1:6" ht="18" x14ac:dyDescent="0.2">
      <c r="A105" s="2" t="s">
        <v>248</v>
      </c>
      <c r="B105" s="100">
        <v>1</v>
      </c>
      <c r="C105" s="100">
        <v>1.014600937565316</v>
      </c>
      <c r="D105" s="100">
        <v>1.0135260219163358</v>
      </c>
      <c r="E105" s="100">
        <v>1.0144516437251798</v>
      </c>
      <c r="F105" s="100">
        <v>1.0137350332925263</v>
      </c>
    </row>
    <row r="106" spans="1:6" ht="18" x14ac:dyDescent="0.2">
      <c r="A106" s="2" t="s">
        <v>249</v>
      </c>
      <c r="B106" s="100">
        <v>1</v>
      </c>
      <c r="C106" s="100">
        <v>1.0147182254196643</v>
      </c>
      <c r="D106" s="100">
        <v>1.0136091127098321</v>
      </c>
      <c r="E106" s="100">
        <v>1.0157374100719425</v>
      </c>
      <c r="F106" s="100">
        <v>1.0142685851318944</v>
      </c>
    </row>
    <row r="107" spans="1:6" ht="18" x14ac:dyDescent="0.2">
      <c r="A107" s="2" t="s">
        <v>250</v>
      </c>
      <c r="B107" s="100">
        <v>1</v>
      </c>
      <c r="C107" s="100">
        <v>1.0005620243455722</v>
      </c>
      <c r="D107" s="100">
        <v>1.0005653303711344</v>
      </c>
      <c r="E107" s="100">
        <v>1.0005851665245076</v>
      </c>
      <c r="F107" s="100">
        <v>1.0005377801581161</v>
      </c>
    </row>
    <row r="108" spans="1:6" ht="18" x14ac:dyDescent="0.2">
      <c r="A108" s="2" t="s">
        <v>251</v>
      </c>
      <c r="B108" s="100">
        <v>1</v>
      </c>
      <c r="C108" s="100">
        <v>1.0004730410578135</v>
      </c>
      <c r="D108" s="100">
        <v>1.0004710863426987</v>
      </c>
      <c r="E108" s="100">
        <v>1.0004857467060606</v>
      </c>
      <c r="F108" s="100">
        <v>1.0004173316770382</v>
      </c>
    </row>
    <row r="109" spans="1:6" ht="18" x14ac:dyDescent="0.2">
      <c r="A109" s="2" t="s">
        <v>252</v>
      </c>
      <c r="B109" s="100">
        <v>1</v>
      </c>
      <c r="C109" s="100">
        <v>1.0084151728670001</v>
      </c>
      <c r="D109" s="100">
        <v>1.0071191267204556</v>
      </c>
      <c r="E109" s="100">
        <v>1.0093461355919828</v>
      </c>
      <c r="F109" s="100">
        <v>1.0080865977875946</v>
      </c>
    </row>
    <row r="110" spans="1:6" ht="18" x14ac:dyDescent="0.2">
      <c r="A110" s="2" t="s">
        <v>253</v>
      </c>
      <c r="B110" s="100">
        <v>1</v>
      </c>
      <c r="C110" s="100">
        <v>1.0015214995099551</v>
      </c>
      <c r="D110" s="100">
        <v>1.0013910059388458</v>
      </c>
      <c r="E110" s="100">
        <v>1.0014048882336446</v>
      </c>
      <c r="F110" s="100">
        <v>1.001266065285656</v>
      </c>
    </row>
    <row r="111" spans="1:6" ht="18" x14ac:dyDescent="0.2">
      <c r="A111" s="2" t="s">
        <v>254</v>
      </c>
      <c r="B111" s="100">
        <v>1</v>
      </c>
      <c r="C111" s="100">
        <v>1.2969588550983899</v>
      </c>
      <c r="D111" s="100">
        <v>1.2719141323792487</v>
      </c>
      <c r="E111" s="100">
        <v>1.3023255813953489</v>
      </c>
      <c r="F111" s="100">
        <v>1.2653548002385211</v>
      </c>
    </row>
    <row r="112" spans="1:6" ht="18" x14ac:dyDescent="0.2">
      <c r="A112" s="2" t="s">
        <v>255</v>
      </c>
      <c r="B112" s="100">
        <v>1</v>
      </c>
      <c r="C112" s="100">
        <v>1.3761801016702977</v>
      </c>
      <c r="D112" s="100">
        <v>1.3514887436456064</v>
      </c>
      <c r="E112" s="100">
        <v>1.3783587509077706</v>
      </c>
      <c r="F112" s="100">
        <v>1.3289760348583879</v>
      </c>
    </row>
    <row r="113" spans="1:7" ht="18" x14ac:dyDescent="0.2">
      <c r="A113" s="4" t="s">
        <v>300</v>
      </c>
      <c r="B113" s="103">
        <v>1</v>
      </c>
      <c r="C113" s="103">
        <v>1.0906937681372697</v>
      </c>
      <c r="D113" s="103">
        <v>1.0815524328338557</v>
      </c>
      <c r="E113" s="103">
        <v>1.0899124256208585</v>
      </c>
      <c r="F113" s="103">
        <v>1.0798333317432964</v>
      </c>
    </row>
    <row r="126" spans="1:7" ht="18" x14ac:dyDescent="0.2">
      <c r="A126" s="2" t="s">
        <v>303</v>
      </c>
      <c r="B126" s="90" t="s">
        <v>233</v>
      </c>
      <c r="C126" s="2" t="s">
        <v>257</v>
      </c>
      <c r="D126" s="2" t="s">
        <v>267</v>
      </c>
      <c r="E126" s="2" t="s">
        <v>263</v>
      </c>
      <c r="F126" s="2" t="s">
        <v>277</v>
      </c>
      <c r="G126" s="2" t="s">
        <v>278</v>
      </c>
    </row>
    <row r="127" spans="1:7" ht="18" x14ac:dyDescent="0.2">
      <c r="A127" s="28" t="s">
        <v>269</v>
      </c>
      <c r="B127" s="100" cm="1">
        <f t="array" ref="B127:G141">Dyn_Overhead_SPEC2017!B62:G76</f>
        <v>1</v>
      </c>
      <c r="C127" s="100">
        <v>1.0122886978595742</v>
      </c>
      <c r="D127" s="100">
        <v>1.0897196740962967</v>
      </c>
      <c r="E127" s="100">
        <v>1.0136797502516075</v>
      </c>
      <c r="F127" s="100">
        <v>1.0898991647275269</v>
      </c>
      <c r="G127" s="100">
        <v>1.0138335993640903</v>
      </c>
    </row>
    <row r="128" spans="1:7" ht="18" x14ac:dyDescent="0.2">
      <c r="A128" s="28" t="s">
        <v>270</v>
      </c>
      <c r="B128" s="100">
        <v>1</v>
      </c>
      <c r="C128" s="100">
        <v>1.0504599274683575</v>
      </c>
      <c r="D128" s="100">
        <v>1.4131421572159377</v>
      </c>
      <c r="E128" s="100">
        <v>1.0574729207195523</v>
      </c>
      <c r="F128" s="100">
        <v>1.4141508754233014</v>
      </c>
      <c r="G128" s="100">
        <v>1.0579052285227082</v>
      </c>
    </row>
    <row r="129" spans="1:7" ht="18" x14ac:dyDescent="0.2">
      <c r="A129" s="28" t="s">
        <v>271</v>
      </c>
      <c r="B129" s="100">
        <v>1</v>
      </c>
      <c r="C129" s="100">
        <v>1.2545883240592286</v>
      </c>
      <c r="D129" s="100">
        <v>4.3333679147411113</v>
      </c>
      <c r="E129" s="100">
        <v>1.2635008959728378</v>
      </c>
      <c r="F129" s="100">
        <v>4.3382344619447331</v>
      </c>
      <c r="G129" s="100">
        <v>1.2671979628407055</v>
      </c>
    </row>
    <row r="130" spans="1:7" ht="18" x14ac:dyDescent="0.2">
      <c r="A130" s="28" t="s">
        <v>272</v>
      </c>
      <c r="B130" s="100">
        <v>1</v>
      </c>
      <c r="C130" s="100">
        <v>1.0173360355474361</v>
      </c>
      <c r="D130" s="100">
        <v>1.1249583725820418</v>
      </c>
      <c r="E130" s="100">
        <v>1.0200097051351582</v>
      </c>
      <c r="F130" s="100">
        <v>1.1257576190068412</v>
      </c>
      <c r="G130" s="100">
        <v>1.0197052303066632</v>
      </c>
    </row>
    <row r="131" spans="1:7" ht="18" x14ac:dyDescent="0.2">
      <c r="A131" s="28" t="s">
        <v>273</v>
      </c>
      <c r="B131" s="100">
        <v>1</v>
      </c>
      <c r="C131" s="100">
        <v>1.0371107125387249</v>
      </c>
      <c r="D131" s="100">
        <v>1.5068481982716453</v>
      </c>
      <c r="E131" s="100">
        <v>1.0430539703244741</v>
      </c>
      <c r="F131" s="100">
        <v>1.5107125387249307</v>
      </c>
      <c r="G131" s="100">
        <v>1.0462824066525354</v>
      </c>
    </row>
    <row r="132" spans="1:7" ht="18" x14ac:dyDescent="0.2">
      <c r="A132" s="28" t="s">
        <v>274</v>
      </c>
      <c r="B132" s="100">
        <v>1</v>
      </c>
      <c r="C132" s="100">
        <v>1.0767230169050714</v>
      </c>
      <c r="D132" s="100">
        <v>1.7247924377313193</v>
      </c>
      <c r="E132" s="100">
        <v>1.1052065619685907</v>
      </c>
      <c r="F132" s="100">
        <v>1.7082124637391218</v>
      </c>
      <c r="G132" s="100">
        <v>1.1074322296689008</v>
      </c>
    </row>
    <row r="133" spans="1:7" ht="18" x14ac:dyDescent="0.2">
      <c r="A133" s="28" t="s">
        <v>275</v>
      </c>
      <c r="B133" s="100">
        <v>1</v>
      </c>
      <c r="C133" s="100">
        <v>3.1156127912024307</v>
      </c>
      <c r="D133" s="100">
        <v>12.064824193315005</v>
      </c>
      <c r="E133" s="100">
        <v>3.1562726088843873</v>
      </c>
      <c r="F133" s="100">
        <v>12.081319635363913</v>
      </c>
      <c r="G133" s="100">
        <v>3.162349877007669</v>
      </c>
    </row>
    <row r="134" spans="1:7" ht="18" x14ac:dyDescent="0.2">
      <c r="A134" s="28" t="s">
        <v>276</v>
      </c>
      <c r="B134" s="100">
        <v>1</v>
      </c>
      <c r="C134" s="100">
        <v>1.01130007375465</v>
      </c>
      <c r="D134" s="100">
        <v>1.0729471173775647</v>
      </c>
      <c r="E134" s="100">
        <v>1.0131466317812556</v>
      </c>
      <c r="F134" s="100">
        <v>1.0731732265236795</v>
      </c>
      <c r="G134" s="100">
        <v>1.0132704534565089</v>
      </c>
    </row>
    <row r="135" spans="1:7" ht="18" x14ac:dyDescent="0.2">
      <c r="A135" s="28" t="s">
        <v>7</v>
      </c>
      <c r="B135" s="100">
        <v>1</v>
      </c>
      <c r="C135" s="100">
        <v>1.0018221922905883</v>
      </c>
      <c r="D135" s="100">
        <v>1.0136398192401024</v>
      </c>
      <c r="E135" s="100">
        <v>1.0020489802921226</v>
      </c>
      <c r="F135" s="100">
        <v>1.0137177159884556</v>
      </c>
      <c r="G135" s="100">
        <v>1.0020627847791725</v>
      </c>
    </row>
    <row r="136" spans="1:7" ht="18" x14ac:dyDescent="0.2">
      <c r="A136" s="28" t="s">
        <v>9</v>
      </c>
      <c r="B136" s="100">
        <v>1</v>
      </c>
      <c r="C136" s="100">
        <v>1.0024916420369203</v>
      </c>
      <c r="D136" s="100">
        <v>1.0206853529725277</v>
      </c>
      <c r="E136" s="100">
        <v>1.0031275740103687</v>
      </c>
      <c r="F136" s="100">
        <v>1.0206514366006105</v>
      </c>
      <c r="G136" s="100">
        <v>1.0031929841562091</v>
      </c>
    </row>
    <row r="137" spans="1:7" ht="18" x14ac:dyDescent="0.2">
      <c r="A137" s="28" t="s">
        <v>11</v>
      </c>
      <c r="B137" s="100">
        <v>1</v>
      </c>
      <c r="C137" s="100">
        <v>1.0361294632310412</v>
      </c>
      <c r="D137" s="100">
        <v>1.5045986656130603</v>
      </c>
      <c r="E137" s="100">
        <v>1.0420682182920173</v>
      </c>
      <c r="F137" s="100">
        <v>1.5083378817625639</v>
      </c>
      <c r="G137" s="100">
        <v>1.0452616229338592</v>
      </c>
    </row>
    <row r="138" spans="1:7" ht="18" x14ac:dyDescent="0.2">
      <c r="A138" s="28" t="s">
        <v>12</v>
      </c>
      <c r="B138" s="100">
        <v>1</v>
      </c>
      <c r="C138" s="100">
        <v>1.0748813982521848</v>
      </c>
      <c r="D138" s="100">
        <v>1.7218476903870161</v>
      </c>
      <c r="E138" s="100">
        <v>1.1035955056179776</v>
      </c>
      <c r="F138" s="100">
        <v>1.7057677902621722</v>
      </c>
      <c r="G138" s="100">
        <v>1.1058177278401997</v>
      </c>
    </row>
    <row r="139" spans="1:7" ht="18" x14ac:dyDescent="0.2">
      <c r="A139" s="28" t="s">
        <v>15</v>
      </c>
      <c r="B139" s="100">
        <v>1</v>
      </c>
      <c r="C139" s="100">
        <v>3.0747396947653689</v>
      </c>
      <c r="D139" s="100">
        <v>11.888603622878334</v>
      </c>
      <c r="E139" s="100">
        <v>3.1095421480530594</v>
      </c>
      <c r="F139" s="100">
        <v>11.908001711596063</v>
      </c>
      <c r="G139" s="100">
        <v>3.1188132933960917</v>
      </c>
    </row>
    <row r="140" spans="1:7" ht="18" x14ac:dyDescent="0.2">
      <c r="A140" s="28" t="s">
        <v>17</v>
      </c>
      <c r="B140" s="100">
        <v>1</v>
      </c>
      <c r="C140" s="100">
        <v>0.99774966039082114</v>
      </c>
      <c r="D140" s="100">
        <v>1.0024190642591895</v>
      </c>
      <c r="E140" s="100">
        <v>1.0001954055058107</v>
      </c>
      <c r="F140" s="100">
        <v>1.0034276006084251</v>
      </c>
      <c r="G140" s="100">
        <v>1.001386133984651</v>
      </c>
    </row>
    <row r="141" spans="1:7" ht="18" x14ac:dyDescent="0.2">
      <c r="A141" s="4" t="s">
        <v>301</v>
      </c>
      <c r="B141" s="103">
        <v>1</v>
      </c>
      <c r="C141" s="103">
        <v>1.2210921406382136</v>
      </c>
      <c r="D141" s="103">
        <v>1.9013094932587031</v>
      </c>
      <c r="E141" s="103">
        <v>1.2308110528355438</v>
      </c>
      <c r="F141" s="103">
        <v>1.9003548568054989</v>
      </c>
      <c r="G141" s="103">
        <v>1.2325397047224376</v>
      </c>
    </row>
    <row r="142" spans="1:7" ht="18" x14ac:dyDescent="0.2">
      <c r="A142" s="2" t="s">
        <v>244</v>
      </c>
      <c r="B142" s="100" cm="1">
        <f t="array" ref="B142:G154">Dyn_Overhead_Splash3!B49:G61</f>
        <v>1</v>
      </c>
      <c r="C142" s="100">
        <v>2.4522388059701492</v>
      </c>
      <c r="D142" s="100">
        <v>11.72089552238806</v>
      </c>
      <c r="E142" s="100">
        <v>11.767164179104478</v>
      </c>
      <c r="F142" s="100">
        <v>2.5940298507462685</v>
      </c>
      <c r="G142" s="100">
        <v>2.5962686567164179</v>
      </c>
    </row>
    <row r="143" spans="1:7" ht="18" x14ac:dyDescent="0.2">
      <c r="A143" s="2" t="s">
        <v>245</v>
      </c>
      <c r="B143" s="100">
        <v>1</v>
      </c>
      <c r="C143" s="100">
        <v>1.2050269645608629</v>
      </c>
      <c r="D143" s="100">
        <v>2.6010208012326657</v>
      </c>
      <c r="E143" s="100">
        <v>2.6050654853620956</v>
      </c>
      <c r="F143" s="100">
        <v>1.2327619414483821</v>
      </c>
      <c r="G143" s="100">
        <v>1.2331471494607087</v>
      </c>
    </row>
    <row r="144" spans="1:7" ht="18" x14ac:dyDescent="0.2">
      <c r="A144" s="2" t="s">
        <v>246</v>
      </c>
      <c r="B144" s="100">
        <v>1</v>
      </c>
      <c r="C144" s="100">
        <v>1.0006037906613288</v>
      </c>
      <c r="D144" s="100">
        <v>1.0043495172534771</v>
      </c>
      <c r="E144" s="100">
        <v>1.004354284021856</v>
      </c>
      <c r="F144" s="100">
        <v>1.000670207634075</v>
      </c>
      <c r="G144" s="100">
        <v>1.0006689364958405</v>
      </c>
    </row>
    <row r="145" spans="1:7" ht="18" x14ac:dyDescent="0.2">
      <c r="A145" s="2" t="s">
        <v>247</v>
      </c>
      <c r="B145" s="100">
        <v>1</v>
      </c>
      <c r="C145" s="100">
        <v>1.3092657609525262</v>
      </c>
      <c r="D145" s="100">
        <v>3.4536711952373684</v>
      </c>
      <c r="E145" s="100">
        <v>3.4643565867806441</v>
      </c>
      <c r="F145" s="100">
        <v>1.3417798809342085</v>
      </c>
      <c r="G145" s="100">
        <v>1.343459013891009</v>
      </c>
    </row>
    <row r="146" spans="1:7" ht="18" x14ac:dyDescent="0.2">
      <c r="A146" s="2" t="s">
        <v>248</v>
      </c>
      <c r="B146" s="100">
        <v>1</v>
      </c>
      <c r="C146" s="100">
        <v>1.056970529395957</v>
      </c>
      <c r="D146" s="100">
        <v>1.4169776955002837</v>
      </c>
      <c r="E146" s="100">
        <v>1.4194858320145711</v>
      </c>
      <c r="F146" s="100">
        <v>1.062255531336777</v>
      </c>
      <c r="G146" s="100">
        <v>1.0626735540891583</v>
      </c>
    </row>
    <row r="147" spans="1:7" ht="18" x14ac:dyDescent="0.2">
      <c r="A147" s="2" t="s">
        <v>249</v>
      </c>
      <c r="B147" s="100">
        <v>1</v>
      </c>
      <c r="C147" s="100">
        <v>1.0572242206235012</v>
      </c>
      <c r="D147" s="100">
        <v>1.41939448441247</v>
      </c>
      <c r="E147" s="100">
        <v>1.4185551558752998</v>
      </c>
      <c r="F147" s="100">
        <v>1.0627098321342925</v>
      </c>
      <c r="G147" s="100">
        <v>1.0637290167865707</v>
      </c>
    </row>
    <row r="148" spans="1:7" ht="18" x14ac:dyDescent="0.2">
      <c r="A148" s="2" t="s">
        <v>250</v>
      </c>
      <c r="B148" s="100">
        <v>1</v>
      </c>
      <c r="C148" s="100">
        <v>1.0022778516123487</v>
      </c>
      <c r="D148" s="100">
        <v>1.0163857646947325</v>
      </c>
      <c r="E148" s="100">
        <v>1.0163824586691705</v>
      </c>
      <c r="F148" s="100">
        <v>1.0025665778447799</v>
      </c>
      <c r="G148" s="100">
        <v>1.0025709858788627</v>
      </c>
    </row>
    <row r="149" spans="1:7" ht="18" x14ac:dyDescent="0.2">
      <c r="A149" s="2" t="s">
        <v>251</v>
      </c>
      <c r="B149" s="100">
        <v>1</v>
      </c>
      <c r="C149" s="100">
        <v>1.0019351679637831</v>
      </c>
      <c r="D149" s="100">
        <v>1.0141101110571393</v>
      </c>
      <c r="E149" s="100">
        <v>1.014132590280961</v>
      </c>
      <c r="F149" s="100">
        <v>1.0022107827949884</v>
      </c>
      <c r="G149" s="100">
        <v>1.0022186016554482</v>
      </c>
    </row>
    <row r="150" spans="1:7" ht="18" x14ac:dyDescent="0.2">
      <c r="A150" s="2" t="s">
        <v>252</v>
      </c>
      <c r="B150" s="100">
        <v>1</v>
      </c>
      <c r="C150" s="100">
        <v>1.0366908838669635</v>
      </c>
      <c r="D150" s="100">
        <v>2.4192618013216021</v>
      </c>
      <c r="E150" s="100">
        <v>2.4225658062867366</v>
      </c>
      <c r="F150" s="100">
        <v>1.0426965061516555</v>
      </c>
      <c r="G150" s="100">
        <v>1.0429338103756709</v>
      </c>
    </row>
    <row r="151" spans="1:7" ht="18" x14ac:dyDescent="0.2">
      <c r="A151" s="2" t="s">
        <v>253</v>
      </c>
      <c r="B151" s="100">
        <v>1</v>
      </c>
      <c r="C151" s="100">
        <v>1.0053530128744401</v>
      </c>
      <c r="D151" s="100">
        <v>1.0376404541176274</v>
      </c>
      <c r="E151" s="100">
        <v>1.0377653947708172</v>
      </c>
      <c r="F151" s="100">
        <v>1.0058055756848829</v>
      </c>
      <c r="G151" s="100">
        <v>1.0058749871588772</v>
      </c>
    </row>
    <row r="152" spans="1:7" ht="18" x14ac:dyDescent="0.2">
      <c r="A152" s="2" t="s">
        <v>254</v>
      </c>
      <c r="B152" s="100">
        <v>1</v>
      </c>
      <c r="C152" s="100">
        <v>2.184257602862254</v>
      </c>
      <c r="D152" s="100">
        <v>9.8008348240906376</v>
      </c>
      <c r="E152" s="100">
        <v>9.818723911747167</v>
      </c>
      <c r="F152" s="100">
        <v>2.2868217054263567</v>
      </c>
      <c r="G152" s="100">
        <v>2.3136553369111508</v>
      </c>
    </row>
    <row r="153" spans="1:7" ht="18" x14ac:dyDescent="0.2">
      <c r="A153" s="2" t="s">
        <v>255</v>
      </c>
      <c r="B153" s="100">
        <v>1</v>
      </c>
      <c r="C153" s="100">
        <v>2.494553376906318</v>
      </c>
      <c r="D153" s="100">
        <v>11.870007262164124</v>
      </c>
      <c r="E153" s="100">
        <v>11.912854030501089</v>
      </c>
      <c r="F153" s="100">
        <v>2.6412490922294842</v>
      </c>
      <c r="G153" s="100">
        <v>2.6405228758169934</v>
      </c>
    </row>
    <row r="154" spans="1:7" ht="18" x14ac:dyDescent="0.2">
      <c r="A154" s="2" t="s">
        <v>300</v>
      </c>
      <c r="B154" s="103">
        <v>1</v>
      </c>
      <c r="C154" s="103">
        <v>1.3062139315258672</v>
      </c>
      <c r="D154" s="103">
        <v>2.5149364170687911</v>
      </c>
      <c r="E154" s="103">
        <v>2.5184378277716348</v>
      </c>
      <c r="F154" s="103">
        <v>1.3307751141660851</v>
      </c>
      <c r="G154" s="103">
        <v>1.3324924789728769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baseDr_vs_DrCCTProf</vt:lpstr>
      <vt:lpstr>MaxCCID</vt:lpstr>
      <vt:lpstr>Call Graph Statistics</vt:lpstr>
      <vt:lpstr>Benchmarks selection (before)</vt:lpstr>
      <vt:lpstr>Benchmarks selection (lto)</vt:lpstr>
      <vt:lpstr>Runtime</vt:lpstr>
      <vt:lpstr>Call Graph Stat (lto,-O3,-nog)</vt:lpstr>
      <vt:lpstr>Bench status (lto,-O3, -nog)</vt:lpstr>
      <vt:lpstr>Runtime(desktop)</vt:lpstr>
      <vt:lpstr>Static Dynamic Characteristics</vt:lpstr>
      <vt:lpstr>Static_Overhead_SPEC2017</vt:lpstr>
      <vt:lpstr>Static_Overhead_Splash3</vt:lpstr>
      <vt:lpstr>Dyn_Overhead_SPEC2017</vt:lpstr>
      <vt:lpstr>Dyn_Overhead_Splash3</vt:lpstr>
      <vt:lpstr>Figure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Kim, Sungkeun</dc:creator>
  <cp:keywords/>
  <dc:description/>
  <cp:lastModifiedBy>Kim, Sungkeun</cp:lastModifiedBy>
  <cp:revision/>
  <dcterms:created xsi:type="dcterms:W3CDTF">2022-06-02T21:10:16Z</dcterms:created>
  <dcterms:modified xsi:type="dcterms:W3CDTF">2023-10-23T21:11:25Z</dcterms:modified>
  <cp:category/>
  <cp:contentStatus/>
</cp:coreProperties>
</file>