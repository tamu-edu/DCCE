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ngkeunkim/git/DCCE/docs/"/>
    </mc:Choice>
  </mc:AlternateContent>
  <xr:revisionPtr revIDLastSave="0" documentId="8_{3CAF6D5A-8B9C-4740-8452-21228AC836AB}" xr6:coauthVersionLast="47" xr6:coauthVersionMax="47" xr10:uidLastSave="{00000000-0000-0000-0000-000000000000}"/>
  <bookViews>
    <workbookView xWindow="0" yWindow="500" windowWidth="38400" windowHeight="19600" xr2:uid="{E6A628A0-BA48-FD4D-9B0A-CC4CBF8BF1CD}"/>
  </bookViews>
  <sheets>
    <sheet name="Bench status" sheetId="11" r:id="rId1"/>
    <sheet name="Static Dynamic Characteristics" sheetId="13" r:id="rId2"/>
    <sheet name="Static_Overhead_SPEC2017" sheetId="23" r:id="rId3"/>
    <sheet name="Static_Overhead_Splash3" sheetId="22" r:id="rId4"/>
    <sheet name="Dyn_Overhead_SPEC2017" sheetId="19" r:id="rId5"/>
    <sheet name="Dyn_Overhead_Splash3" sheetId="20" r:id="rId6"/>
    <sheet name="Sheet1" sheetId="24" r:id="rId7"/>
    <sheet name="Dyn_Overhead_Splash3-analysis" sheetId="25" r:id="rId8"/>
    <sheet name="Sheet3" sheetId="26" r:id="rId9"/>
  </sheets>
  <definedNames>
    <definedName name="_xlnm._FilterDatabase" localSheetId="0" hidden="1">'Bench status'!$A$1:$I$44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55" i="26" l="1"/>
  <c r="E56" i="26"/>
  <c r="E57" i="26"/>
  <c r="E58" i="26"/>
  <c r="E59" i="26"/>
  <c r="E60" i="26"/>
  <c r="E61" i="26"/>
  <c r="E62" i="26"/>
  <c r="E63" i="26"/>
  <c r="E64" i="26"/>
  <c r="E65" i="26"/>
  <c r="E66" i="26"/>
  <c r="E67" i="26"/>
  <c r="E68" i="26"/>
  <c r="E69" i="26"/>
  <c r="E70" i="26"/>
  <c r="E71" i="26"/>
  <c r="E72" i="26"/>
  <c r="E73" i="26"/>
  <c r="E74" i="26"/>
  <c r="E75" i="26"/>
  <c r="E76" i="26"/>
  <c r="E77" i="26"/>
  <c r="E78" i="26"/>
  <c r="E79" i="26"/>
  <c r="E54" i="26"/>
  <c r="D13" i="26"/>
  <c r="D14" i="26"/>
  <c r="D4" i="26"/>
  <c r="D5" i="26"/>
  <c r="D6" i="26"/>
  <c r="D7" i="26"/>
  <c r="D8" i="26"/>
  <c r="D9" i="26"/>
  <c r="D10" i="26"/>
  <c r="D11" i="26"/>
  <c r="D12" i="26"/>
  <c r="D3" i="26"/>
  <c r="G60" i="25"/>
  <c r="F60" i="25"/>
  <c r="E60" i="25"/>
  <c r="D60" i="25"/>
  <c r="C60" i="25"/>
  <c r="B60" i="25"/>
  <c r="G59" i="25"/>
  <c r="F59" i="25"/>
  <c r="E59" i="25"/>
  <c r="D59" i="25"/>
  <c r="C59" i="25"/>
  <c r="B59" i="25"/>
  <c r="G58" i="25"/>
  <c r="F58" i="25"/>
  <c r="E58" i="25"/>
  <c r="D58" i="25"/>
  <c r="C58" i="25"/>
  <c r="B58" i="25"/>
  <c r="G57" i="25"/>
  <c r="F57" i="25"/>
  <c r="E57" i="25"/>
  <c r="D57" i="25"/>
  <c r="C57" i="25"/>
  <c r="B57" i="25"/>
  <c r="G56" i="25"/>
  <c r="F56" i="25"/>
  <c r="E56" i="25"/>
  <c r="D56" i="25"/>
  <c r="C56" i="25"/>
  <c r="B56" i="25"/>
  <c r="G55" i="25"/>
  <c r="F55" i="25"/>
  <c r="E55" i="25"/>
  <c r="D55" i="25"/>
  <c r="C55" i="25"/>
  <c r="B55" i="25"/>
  <c r="G54" i="25"/>
  <c r="F54" i="25"/>
  <c r="E54" i="25"/>
  <c r="D54" i="25"/>
  <c r="C54" i="25"/>
  <c r="B54" i="25"/>
  <c r="G53" i="25"/>
  <c r="F53" i="25"/>
  <c r="E53" i="25"/>
  <c r="D53" i="25"/>
  <c r="C53" i="25"/>
  <c r="B53" i="25"/>
  <c r="G52" i="25"/>
  <c r="F52" i="25"/>
  <c r="E52" i="25"/>
  <c r="D52" i="25"/>
  <c r="C52" i="25"/>
  <c r="B52" i="25"/>
  <c r="G51" i="25"/>
  <c r="F51" i="25"/>
  <c r="E51" i="25"/>
  <c r="D51" i="25"/>
  <c r="C51" i="25"/>
  <c r="B51" i="25"/>
  <c r="G50" i="25"/>
  <c r="F50" i="25"/>
  <c r="E50" i="25"/>
  <c r="D50" i="25"/>
  <c r="C50" i="25"/>
  <c r="B50" i="25"/>
  <c r="G49" i="25"/>
  <c r="G61" i="25" s="1"/>
  <c r="F49" i="25"/>
  <c r="F61" i="25" s="1"/>
  <c r="E49" i="25"/>
  <c r="E61" i="25" s="1"/>
  <c r="D49" i="25"/>
  <c r="D61" i="25" s="1"/>
  <c r="C49" i="25"/>
  <c r="C61" i="25" s="1"/>
  <c r="B49" i="25"/>
  <c r="B61" i="25" s="1"/>
  <c r="L45" i="25"/>
  <c r="K45" i="25"/>
  <c r="J45" i="25"/>
  <c r="M45" i="25" s="1"/>
  <c r="I45" i="25"/>
  <c r="H45" i="25"/>
  <c r="M44" i="25"/>
  <c r="L44" i="25"/>
  <c r="K44" i="25"/>
  <c r="J44" i="25"/>
  <c r="I44" i="25"/>
  <c r="H44" i="25"/>
  <c r="L43" i="25"/>
  <c r="K43" i="25"/>
  <c r="J43" i="25"/>
  <c r="M43" i="25" s="1"/>
  <c r="I43" i="25"/>
  <c r="H43" i="25"/>
  <c r="L42" i="25"/>
  <c r="K42" i="25"/>
  <c r="J42" i="25"/>
  <c r="M42" i="25" s="1"/>
  <c r="I42" i="25"/>
  <c r="H42" i="25"/>
  <c r="L41" i="25"/>
  <c r="M41" i="25" s="1"/>
  <c r="K41" i="25"/>
  <c r="J41" i="25"/>
  <c r="I41" i="25"/>
  <c r="H41" i="25"/>
  <c r="L40" i="25"/>
  <c r="K40" i="25"/>
  <c r="J40" i="25"/>
  <c r="M40" i="25" s="1"/>
  <c r="I40" i="25"/>
  <c r="H40" i="25"/>
  <c r="M39" i="25"/>
  <c r="L39" i="25"/>
  <c r="K39" i="25"/>
  <c r="J39" i="25"/>
  <c r="I39" i="25"/>
  <c r="H39" i="25"/>
  <c r="L38" i="25"/>
  <c r="K38" i="25"/>
  <c r="J38" i="25"/>
  <c r="M38" i="25" s="1"/>
  <c r="I38" i="25"/>
  <c r="H38" i="25"/>
  <c r="L37" i="25"/>
  <c r="K37" i="25"/>
  <c r="J37" i="25"/>
  <c r="M37" i="25" s="1"/>
  <c r="I37" i="25"/>
  <c r="H37" i="25"/>
  <c r="L36" i="25"/>
  <c r="M36" i="25" s="1"/>
  <c r="K36" i="25"/>
  <c r="J36" i="25"/>
  <c r="I36" i="25"/>
  <c r="H36" i="25"/>
  <c r="L35" i="25"/>
  <c r="K35" i="25"/>
  <c r="K46" i="25" s="1"/>
  <c r="J35" i="25"/>
  <c r="M35" i="25" s="1"/>
  <c r="I35" i="25"/>
  <c r="H35" i="25"/>
  <c r="M34" i="25"/>
  <c r="L34" i="25"/>
  <c r="K34" i="25"/>
  <c r="J34" i="25"/>
  <c r="J46" i="25" s="1"/>
  <c r="I34" i="25"/>
  <c r="I46" i="25" s="1"/>
  <c r="H34" i="25"/>
  <c r="H46" i="25" s="1"/>
  <c r="F29" i="25"/>
  <c r="G28" i="25"/>
  <c r="F28" i="25"/>
  <c r="E28" i="25"/>
  <c r="D28" i="25"/>
  <c r="C28" i="25"/>
  <c r="B28" i="25"/>
  <c r="G27" i="25"/>
  <c r="F27" i="25"/>
  <c r="E27" i="25"/>
  <c r="D27" i="25"/>
  <c r="C27" i="25"/>
  <c r="B27" i="25"/>
  <c r="G26" i="25"/>
  <c r="F26" i="25"/>
  <c r="E26" i="25"/>
  <c r="D26" i="25"/>
  <c r="C26" i="25"/>
  <c r="B26" i="25"/>
  <c r="G25" i="25"/>
  <c r="F25" i="25"/>
  <c r="E25" i="25"/>
  <c r="D25" i="25"/>
  <c r="C25" i="25"/>
  <c r="B25" i="25"/>
  <c r="G24" i="25"/>
  <c r="F24" i="25"/>
  <c r="E24" i="25"/>
  <c r="D24" i="25"/>
  <c r="C24" i="25"/>
  <c r="B24" i="25"/>
  <c r="G23" i="25"/>
  <c r="F23" i="25"/>
  <c r="E23" i="25"/>
  <c r="D23" i="25"/>
  <c r="C23" i="25"/>
  <c r="B23" i="25"/>
  <c r="G22" i="25"/>
  <c r="F22" i="25"/>
  <c r="E22" i="25"/>
  <c r="D22" i="25"/>
  <c r="C22" i="25"/>
  <c r="B22" i="25"/>
  <c r="G21" i="25"/>
  <c r="F21" i="25"/>
  <c r="E21" i="25"/>
  <c r="D21" i="25"/>
  <c r="C21" i="25"/>
  <c r="B21" i="25"/>
  <c r="G20" i="25"/>
  <c r="F20" i="25"/>
  <c r="E20" i="25"/>
  <c r="D20" i="25"/>
  <c r="C20" i="25"/>
  <c r="B20" i="25"/>
  <c r="G19" i="25"/>
  <c r="F19" i="25"/>
  <c r="E19" i="25"/>
  <c r="E29" i="25" s="1"/>
  <c r="D19" i="25"/>
  <c r="C19" i="25"/>
  <c r="B19" i="25"/>
  <c r="G18" i="25"/>
  <c r="F18" i="25"/>
  <c r="E18" i="25"/>
  <c r="D18" i="25"/>
  <c r="D29" i="25" s="1"/>
  <c r="C18" i="25"/>
  <c r="B18" i="25"/>
  <c r="G17" i="25"/>
  <c r="G29" i="25" s="1"/>
  <c r="F17" i="25"/>
  <c r="E17" i="25"/>
  <c r="D17" i="25"/>
  <c r="C17" i="25"/>
  <c r="C29" i="25" s="1"/>
  <c r="B17" i="25"/>
  <c r="B29" i="25" s="1"/>
  <c r="G28" i="24"/>
  <c r="F28" i="24"/>
  <c r="E28" i="24"/>
  <c r="D28" i="24"/>
  <c r="C28" i="24"/>
  <c r="B28" i="24"/>
  <c r="G27" i="24"/>
  <c r="F27" i="24"/>
  <c r="E27" i="24"/>
  <c r="D27" i="24"/>
  <c r="C27" i="24"/>
  <c r="B27" i="24"/>
  <c r="G26" i="24"/>
  <c r="F26" i="24"/>
  <c r="E26" i="24"/>
  <c r="D26" i="24"/>
  <c r="C26" i="24"/>
  <c r="B26" i="24"/>
  <c r="G25" i="24"/>
  <c r="F25" i="24"/>
  <c r="E25" i="24"/>
  <c r="D25" i="24"/>
  <c r="C25" i="24"/>
  <c r="B25" i="24"/>
  <c r="G24" i="24"/>
  <c r="F24" i="24"/>
  <c r="E24" i="24"/>
  <c r="D24" i="24"/>
  <c r="C24" i="24"/>
  <c r="B24" i="24"/>
  <c r="G23" i="24"/>
  <c r="F23" i="24"/>
  <c r="E23" i="24"/>
  <c r="D23" i="24"/>
  <c r="C23" i="24"/>
  <c r="B23" i="24"/>
  <c r="G22" i="24"/>
  <c r="F22" i="24"/>
  <c r="E22" i="24"/>
  <c r="D22" i="24"/>
  <c r="C22" i="24"/>
  <c r="B22" i="24"/>
  <c r="G21" i="24"/>
  <c r="F21" i="24"/>
  <c r="E21" i="24"/>
  <c r="D21" i="24"/>
  <c r="C21" i="24"/>
  <c r="B21" i="24"/>
  <c r="G20" i="24"/>
  <c r="F20" i="24"/>
  <c r="E20" i="24"/>
  <c r="D20" i="24"/>
  <c r="C20" i="24"/>
  <c r="B20" i="24"/>
  <c r="G19" i="24"/>
  <c r="F19" i="24"/>
  <c r="E19" i="24"/>
  <c r="D19" i="24"/>
  <c r="C19" i="24"/>
  <c r="B19" i="24"/>
  <c r="G18" i="24"/>
  <c r="F18" i="24"/>
  <c r="E18" i="24"/>
  <c r="D18" i="24"/>
  <c r="C18" i="24"/>
  <c r="B18" i="24"/>
  <c r="G17" i="24"/>
  <c r="G29" i="24" s="1"/>
  <c r="F17" i="24"/>
  <c r="F29" i="24" s="1"/>
  <c r="E17" i="24"/>
  <c r="E29" i="24" s="1"/>
  <c r="D17" i="24"/>
  <c r="D29" i="24" s="1"/>
  <c r="C17" i="24"/>
  <c r="C29" i="24" s="1"/>
  <c r="B17" i="24"/>
  <c r="B29" i="24" s="1"/>
  <c r="K22" i="19"/>
  <c r="L22" i="19"/>
  <c r="M22" i="19"/>
  <c r="N22" i="19"/>
  <c r="K23" i="19"/>
  <c r="L23" i="19"/>
  <c r="M23" i="19"/>
  <c r="M36" i="19" s="1"/>
  <c r="N23" i="19"/>
  <c r="K24" i="19"/>
  <c r="K36" i="19" s="1"/>
  <c r="L24" i="19"/>
  <c r="L36" i="19" s="1"/>
  <c r="M24" i="19"/>
  <c r="N24" i="19"/>
  <c r="K25" i="19"/>
  <c r="L25" i="19"/>
  <c r="M25" i="19"/>
  <c r="N25" i="19"/>
  <c r="K26" i="19"/>
  <c r="L26" i="19"/>
  <c r="M26" i="19"/>
  <c r="N26" i="19"/>
  <c r="N36" i="19" s="1"/>
  <c r="K27" i="19"/>
  <c r="L27" i="19"/>
  <c r="M27" i="19"/>
  <c r="N27" i="19"/>
  <c r="K28" i="19"/>
  <c r="L28" i="19"/>
  <c r="M28" i="19"/>
  <c r="N28" i="19"/>
  <c r="K29" i="19"/>
  <c r="L29" i="19"/>
  <c r="M29" i="19"/>
  <c r="N29" i="19"/>
  <c r="K30" i="19"/>
  <c r="L30" i="19"/>
  <c r="M30" i="19"/>
  <c r="N30" i="19"/>
  <c r="K31" i="19"/>
  <c r="L31" i="19"/>
  <c r="M31" i="19"/>
  <c r="N31" i="19"/>
  <c r="K32" i="19"/>
  <c r="L32" i="19"/>
  <c r="M32" i="19"/>
  <c r="N32" i="19"/>
  <c r="K33" i="19"/>
  <c r="L33" i="19"/>
  <c r="M33" i="19"/>
  <c r="N33" i="19"/>
  <c r="K34" i="19"/>
  <c r="L34" i="19"/>
  <c r="M34" i="19"/>
  <c r="N34" i="19"/>
  <c r="K35" i="19"/>
  <c r="L35" i="19"/>
  <c r="M35" i="19"/>
  <c r="N35" i="19"/>
  <c r="J23" i="19"/>
  <c r="J24" i="19"/>
  <c r="J25" i="19"/>
  <c r="J26" i="19"/>
  <c r="J27" i="19"/>
  <c r="J28" i="19"/>
  <c r="J36" i="19" s="1"/>
  <c r="J29" i="19"/>
  <c r="J30" i="19"/>
  <c r="J31" i="19"/>
  <c r="J32" i="19"/>
  <c r="J33" i="19"/>
  <c r="J34" i="19"/>
  <c r="J35" i="19"/>
  <c r="J22" i="19"/>
  <c r="B62" i="23"/>
  <c r="F17" i="22"/>
  <c r="F18" i="22"/>
  <c r="F19" i="22"/>
  <c r="F20" i="22"/>
  <c r="F21" i="22"/>
  <c r="F22" i="22"/>
  <c r="F23" i="22"/>
  <c r="F24" i="22"/>
  <c r="F25" i="22"/>
  <c r="F26" i="22"/>
  <c r="F27" i="22"/>
  <c r="F28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L102" i="13"/>
  <c r="L103" i="13"/>
  <c r="L104" i="13"/>
  <c r="L105" i="13"/>
  <c r="L106" i="13"/>
  <c r="L107" i="13"/>
  <c r="L108" i="13"/>
  <c r="L109" i="13"/>
  <c r="L110" i="13"/>
  <c r="L111" i="13"/>
  <c r="L112" i="13"/>
  <c r="L113" i="13"/>
  <c r="L114" i="13"/>
  <c r="L115" i="13"/>
  <c r="L116" i="13"/>
  <c r="L117" i="13"/>
  <c r="L118" i="13"/>
  <c r="L119" i="13"/>
  <c r="L120" i="13"/>
  <c r="L121" i="13"/>
  <c r="L122" i="13"/>
  <c r="L123" i="13"/>
  <c r="L124" i="13"/>
  <c r="L125" i="13"/>
  <c r="L126" i="13"/>
  <c r="L101" i="13"/>
  <c r="F102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01" i="13"/>
  <c r="I45" i="23"/>
  <c r="I46" i="20"/>
  <c r="J46" i="20"/>
  <c r="K46" i="20"/>
  <c r="L46" i="20"/>
  <c r="H46" i="20"/>
  <c r="H44" i="19"/>
  <c r="I44" i="19"/>
  <c r="I57" i="19" s="1"/>
  <c r="K44" i="19"/>
  <c r="J44" i="19"/>
  <c r="L44" i="19"/>
  <c r="M44" i="19" s="1"/>
  <c r="H45" i="19"/>
  <c r="I45" i="19"/>
  <c r="K45" i="19"/>
  <c r="J45" i="19"/>
  <c r="L45" i="19"/>
  <c r="H46" i="19"/>
  <c r="I46" i="19"/>
  <c r="K46" i="19"/>
  <c r="J46" i="19"/>
  <c r="L46" i="19"/>
  <c r="H47" i="19"/>
  <c r="I47" i="19"/>
  <c r="K47" i="19"/>
  <c r="J47" i="19"/>
  <c r="L47" i="19"/>
  <c r="H48" i="19"/>
  <c r="I48" i="19"/>
  <c r="K48" i="19"/>
  <c r="J48" i="19"/>
  <c r="L48" i="19"/>
  <c r="M48" i="19" s="1"/>
  <c r="H49" i="19"/>
  <c r="I49" i="19"/>
  <c r="K49" i="19"/>
  <c r="J49" i="19"/>
  <c r="L49" i="19"/>
  <c r="H50" i="19"/>
  <c r="I50" i="19"/>
  <c r="K50" i="19"/>
  <c r="J50" i="19"/>
  <c r="L50" i="19"/>
  <c r="H51" i="19"/>
  <c r="I51" i="19"/>
  <c r="K51" i="19"/>
  <c r="J51" i="19"/>
  <c r="L51" i="19"/>
  <c r="H52" i="19"/>
  <c r="I52" i="19"/>
  <c r="K52" i="19"/>
  <c r="J52" i="19"/>
  <c r="L52" i="19"/>
  <c r="M52" i="19" s="1"/>
  <c r="H53" i="19"/>
  <c r="I53" i="19"/>
  <c r="K53" i="19"/>
  <c r="J53" i="19"/>
  <c r="L53" i="19"/>
  <c r="M53" i="19" s="1"/>
  <c r="H54" i="19"/>
  <c r="I54" i="19"/>
  <c r="K54" i="19"/>
  <c r="J54" i="19"/>
  <c r="L54" i="19"/>
  <c r="M54" i="19" s="1"/>
  <c r="H55" i="19"/>
  <c r="I55" i="19"/>
  <c r="K55" i="19"/>
  <c r="J55" i="19"/>
  <c r="L55" i="19"/>
  <c r="I56" i="19"/>
  <c r="K56" i="19"/>
  <c r="L56" i="19"/>
  <c r="L43" i="19"/>
  <c r="J43" i="19"/>
  <c r="K43" i="19"/>
  <c r="I43" i="19"/>
  <c r="H43" i="19"/>
  <c r="G39" i="22"/>
  <c r="I39" i="22"/>
  <c r="H39" i="22"/>
  <c r="J39" i="22"/>
  <c r="G40" i="22"/>
  <c r="I40" i="22"/>
  <c r="H40" i="22"/>
  <c r="J40" i="22"/>
  <c r="G41" i="22"/>
  <c r="I41" i="22"/>
  <c r="H41" i="22"/>
  <c r="J41" i="22"/>
  <c r="G42" i="22"/>
  <c r="I42" i="22"/>
  <c r="H42" i="22"/>
  <c r="J42" i="22"/>
  <c r="G43" i="22"/>
  <c r="I43" i="22"/>
  <c r="H43" i="22"/>
  <c r="J43" i="22"/>
  <c r="G44" i="22"/>
  <c r="I44" i="22"/>
  <c r="H44" i="22"/>
  <c r="J44" i="22"/>
  <c r="G45" i="22"/>
  <c r="I45" i="22"/>
  <c r="H45" i="22"/>
  <c r="J45" i="22"/>
  <c r="G46" i="22"/>
  <c r="I46" i="22"/>
  <c r="H46" i="22"/>
  <c r="J46" i="22"/>
  <c r="G47" i="22"/>
  <c r="I47" i="22"/>
  <c r="H47" i="22"/>
  <c r="J47" i="22"/>
  <c r="K47" i="22" s="1"/>
  <c r="G48" i="22"/>
  <c r="I48" i="22"/>
  <c r="H48" i="22"/>
  <c r="J48" i="22"/>
  <c r="G49" i="22"/>
  <c r="I49" i="22"/>
  <c r="H49" i="22"/>
  <c r="J49" i="22"/>
  <c r="J38" i="22"/>
  <c r="H38" i="22"/>
  <c r="I38" i="22"/>
  <c r="G38" i="22"/>
  <c r="D65" i="22"/>
  <c r="E65" i="22"/>
  <c r="C65" i="22"/>
  <c r="B65" i="22"/>
  <c r="D64" i="22"/>
  <c r="E64" i="22"/>
  <c r="C64" i="22"/>
  <c r="B64" i="22"/>
  <c r="D63" i="22"/>
  <c r="E63" i="22"/>
  <c r="C63" i="22"/>
  <c r="B63" i="22"/>
  <c r="D62" i="22"/>
  <c r="E62" i="22"/>
  <c r="C62" i="22"/>
  <c r="B62" i="22"/>
  <c r="D61" i="22"/>
  <c r="E61" i="22"/>
  <c r="C61" i="22"/>
  <c r="B61" i="22"/>
  <c r="D60" i="22"/>
  <c r="E60" i="22"/>
  <c r="C60" i="22"/>
  <c r="B60" i="22"/>
  <c r="D59" i="22"/>
  <c r="E59" i="22"/>
  <c r="C59" i="22"/>
  <c r="B59" i="22"/>
  <c r="D58" i="22"/>
  <c r="E58" i="22"/>
  <c r="C58" i="22"/>
  <c r="B58" i="22"/>
  <c r="D57" i="22"/>
  <c r="E57" i="22"/>
  <c r="C57" i="22"/>
  <c r="B57" i="22"/>
  <c r="D56" i="22"/>
  <c r="E56" i="22"/>
  <c r="C56" i="22"/>
  <c r="B56" i="22"/>
  <c r="D55" i="22"/>
  <c r="E55" i="22"/>
  <c r="C55" i="22"/>
  <c r="B55" i="22"/>
  <c r="D54" i="22"/>
  <c r="E54" i="22"/>
  <c r="C54" i="22"/>
  <c r="B54" i="22"/>
  <c r="G44" i="23"/>
  <c r="I44" i="23"/>
  <c r="I57" i="23" s="1"/>
  <c r="H44" i="23"/>
  <c r="J44" i="23"/>
  <c r="G45" i="23"/>
  <c r="H45" i="23"/>
  <c r="J45" i="23"/>
  <c r="G46" i="23"/>
  <c r="I46" i="23"/>
  <c r="H46" i="23"/>
  <c r="J46" i="23"/>
  <c r="G47" i="23"/>
  <c r="I47" i="23"/>
  <c r="H47" i="23"/>
  <c r="J47" i="23"/>
  <c r="G48" i="23"/>
  <c r="I48" i="23"/>
  <c r="H48" i="23"/>
  <c r="J48" i="23"/>
  <c r="G49" i="23"/>
  <c r="I49" i="23"/>
  <c r="H49" i="23"/>
  <c r="H57" i="23" s="1"/>
  <c r="J49" i="23"/>
  <c r="G50" i="23"/>
  <c r="I50" i="23"/>
  <c r="H50" i="23"/>
  <c r="J50" i="23"/>
  <c r="G51" i="23"/>
  <c r="I51" i="23"/>
  <c r="H51" i="23"/>
  <c r="J51" i="23"/>
  <c r="G52" i="23"/>
  <c r="I52" i="23"/>
  <c r="H52" i="23"/>
  <c r="J52" i="23"/>
  <c r="G53" i="23"/>
  <c r="I53" i="23"/>
  <c r="H53" i="23"/>
  <c r="J53" i="23"/>
  <c r="G54" i="23"/>
  <c r="I54" i="23"/>
  <c r="H54" i="23"/>
  <c r="J54" i="23"/>
  <c r="G55" i="23"/>
  <c r="I55" i="23"/>
  <c r="H55" i="23"/>
  <c r="J55" i="23"/>
  <c r="J43" i="23"/>
  <c r="H43" i="23"/>
  <c r="I43" i="23"/>
  <c r="G43" i="23"/>
  <c r="L35" i="20"/>
  <c r="L36" i="20"/>
  <c r="L37" i="20"/>
  <c r="L38" i="20"/>
  <c r="L39" i="20"/>
  <c r="L40" i="20"/>
  <c r="L41" i="20"/>
  <c r="L42" i="20"/>
  <c r="L43" i="20"/>
  <c r="L44" i="20"/>
  <c r="M44" i="20" s="1"/>
  <c r="L45" i="20"/>
  <c r="L34" i="20"/>
  <c r="K35" i="20"/>
  <c r="K36" i="20"/>
  <c r="K37" i="20"/>
  <c r="K38" i="20"/>
  <c r="K39" i="20"/>
  <c r="K40" i="20"/>
  <c r="K41" i="20"/>
  <c r="K42" i="20"/>
  <c r="K43" i="20"/>
  <c r="K44" i="20"/>
  <c r="K45" i="20"/>
  <c r="K34" i="20"/>
  <c r="J35" i="20"/>
  <c r="J36" i="20"/>
  <c r="J37" i="20"/>
  <c r="J38" i="20"/>
  <c r="M38" i="20" s="1"/>
  <c r="J39" i="20"/>
  <c r="M39" i="20" s="1"/>
  <c r="J40" i="20"/>
  <c r="M40" i="20" s="1"/>
  <c r="J41" i="20"/>
  <c r="J42" i="20"/>
  <c r="J43" i="20"/>
  <c r="J44" i="20"/>
  <c r="J45" i="20"/>
  <c r="J34" i="20"/>
  <c r="I35" i="20"/>
  <c r="I36" i="20"/>
  <c r="I37" i="20"/>
  <c r="I38" i="20"/>
  <c r="I39" i="20"/>
  <c r="I40" i="20"/>
  <c r="I41" i="20"/>
  <c r="I42" i="20"/>
  <c r="I43" i="20"/>
  <c r="I44" i="20"/>
  <c r="I45" i="20"/>
  <c r="I34" i="20"/>
  <c r="H35" i="20"/>
  <c r="H36" i="20"/>
  <c r="H37" i="20"/>
  <c r="H38" i="20"/>
  <c r="H39" i="20"/>
  <c r="H40" i="20"/>
  <c r="H41" i="20"/>
  <c r="H42" i="20"/>
  <c r="H43" i="20"/>
  <c r="H44" i="20"/>
  <c r="H45" i="20"/>
  <c r="H34" i="20"/>
  <c r="M35" i="20"/>
  <c r="M36" i="20"/>
  <c r="M37" i="20"/>
  <c r="M45" i="20"/>
  <c r="M34" i="20"/>
  <c r="D17" i="20"/>
  <c r="E75" i="23"/>
  <c r="C75" i="23"/>
  <c r="F75" i="23"/>
  <c r="D75" i="23"/>
  <c r="B75" i="23"/>
  <c r="E74" i="23"/>
  <c r="C74" i="23"/>
  <c r="F74" i="23"/>
  <c r="D74" i="23"/>
  <c r="B74" i="23"/>
  <c r="E73" i="23"/>
  <c r="C73" i="23"/>
  <c r="F73" i="23"/>
  <c r="D73" i="23"/>
  <c r="B73" i="23"/>
  <c r="E72" i="23"/>
  <c r="C72" i="23"/>
  <c r="F72" i="23"/>
  <c r="D72" i="23"/>
  <c r="B72" i="23"/>
  <c r="E71" i="23"/>
  <c r="C71" i="23"/>
  <c r="F71" i="23"/>
  <c r="D71" i="23"/>
  <c r="B71" i="23"/>
  <c r="E70" i="23"/>
  <c r="C70" i="23"/>
  <c r="F70" i="23"/>
  <c r="D70" i="23"/>
  <c r="B70" i="23"/>
  <c r="E69" i="23"/>
  <c r="C69" i="23"/>
  <c r="F69" i="23"/>
  <c r="D69" i="23"/>
  <c r="B69" i="23"/>
  <c r="E68" i="23"/>
  <c r="C68" i="23"/>
  <c r="F68" i="23"/>
  <c r="D68" i="23"/>
  <c r="B68" i="23"/>
  <c r="E67" i="23"/>
  <c r="C67" i="23"/>
  <c r="F67" i="23"/>
  <c r="D67" i="23"/>
  <c r="B67" i="23"/>
  <c r="E66" i="23"/>
  <c r="C66" i="23"/>
  <c r="F66" i="23"/>
  <c r="D66" i="23"/>
  <c r="B66" i="23"/>
  <c r="E65" i="23"/>
  <c r="C65" i="23"/>
  <c r="F65" i="23"/>
  <c r="D65" i="23"/>
  <c r="B65" i="23"/>
  <c r="E64" i="23"/>
  <c r="C64" i="23"/>
  <c r="F64" i="23"/>
  <c r="D64" i="23"/>
  <c r="B64" i="23"/>
  <c r="E63" i="23"/>
  <c r="C63" i="23"/>
  <c r="F63" i="23"/>
  <c r="D63" i="23"/>
  <c r="B63" i="23"/>
  <c r="E62" i="23"/>
  <c r="C62" i="23"/>
  <c r="F62" i="23"/>
  <c r="D62" i="23"/>
  <c r="E35" i="23"/>
  <c r="C35" i="23"/>
  <c r="F35" i="23"/>
  <c r="D35" i="23"/>
  <c r="B35" i="23"/>
  <c r="E34" i="23"/>
  <c r="C34" i="23"/>
  <c r="F34" i="23"/>
  <c r="D34" i="23"/>
  <c r="B34" i="23"/>
  <c r="E33" i="23"/>
  <c r="C33" i="23"/>
  <c r="F33" i="23"/>
  <c r="D33" i="23"/>
  <c r="B33" i="23"/>
  <c r="E32" i="23"/>
  <c r="C32" i="23"/>
  <c r="F32" i="23"/>
  <c r="D32" i="23"/>
  <c r="B32" i="23"/>
  <c r="E31" i="23"/>
  <c r="C31" i="23"/>
  <c r="F31" i="23"/>
  <c r="D31" i="23"/>
  <c r="B31" i="23"/>
  <c r="E30" i="23"/>
  <c r="C30" i="23"/>
  <c r="F30" i="23"/>
  <c r="D30" i="23"/>
  <c r="B30" i="23"/>
  <c r="E29" i="23"/>
  <c r="C29" i="23"/>
  <c r="F29" i="23"/>
  <c r="D29" i="23"/>
  <c r="B29" i="23"/>
  <c r="E28" i="23"/>
  <c r="C28" i="23"/>
  <c r="F28" i="23"/>
  <c r="D28" i="23"/>
  <c r="B28" i="23"/>
  <c r="E27" i="23"/>
  <c r="C27" i="23"/>
  <c r="F27" i="23"/>
  <c r="D27" i="23"/>
  <c r="B27" i="23"/>
  <c r="E26" i="23"/>
  <c r="C26" i="23"/>
  <c r="F26" i="23"/>
  <c r="D26" i="23"/>
  <c r="B26" i="23"/>
  <c r="E25" i="23"/>
  <c r="C25" i="23"/>
  <c r="F25" i="23"/>
  <c r="D25" i="23"/>
  <c r="B25" i="23"/>
  <c r="E24" i="23"/>
  <c r="C24" i="23"/>
  <c r="F24" i="23"/>
  <c r="D24" i="23"/>
  <c r="B24" i="23"/>
  <c r="E23" i="23"/>
  <c r="C23" i="23"/>
  <c r="F23" i="23"/>
  <c r="D23" i="23"/>
  <c r="B23" i="23"/>
  <c r="E22" i="23"/>
  <c r="C22" i="23"/>
  <c r="F22" i="23"/>
  <c r="D22" i="23"/>
  <c r="B22" i="23"/>
  <c r="E28" i="22"/>
  <c r="C28" i="22"/>
  <c r="D28" i="22"/>
  <c r="B28" i="22"/>
  <c r="E27" i="22"/>
  <c r="C27" i="22"/>
  <c r="D27" i="22"/>
  <c r="B27" i="22"/>
  <c r="E26" i="22"/>
  <c r="C26" i="22"/>
  <c r="D26" i="22"/>
  <c r="B26" i="22"/>
  <c r="E25" i="22"/>
  <c r="C25" i="22"/>
  <c r="D25" i="22"/>
  <c r="B25" i="22"/>
  <c r="E24" i="22"/>
  <c r="C24" i="22"/>
  <c r="D24" i="22"/>
  <c r="B24" i="22"/>
  <c r="E23" i="22"/>
  <c r="C23" i="22"/>
  <c r="D23" i="22"/>
  <c r="B23" i="22"/>
  <c r="E22" i="22"/>
  <c r="C22" i="22"/>
  <c r="D22" i="22"/>
  <c r="B22" i="22"/>
  <c r="E21" i="22"/>
  <c r="C21" i="22"/>
  <c r="D21" i="22"/>
  <c r="B21" i="22"/>
  <c r="E20" i="22"/>
  <c r="C20" i="22"/>
  <c r="D20" i="22"/>
  <c r="B20" i="22"/>
  <c r="E19" i="22"/>
  <c r="C19" i="22"/>
  <c r="D19" i="22"/>
  <c r="B19" i="22"/>
  <c r="E18" i="22"/>
  <c r="C18" i="22"/>
  <c r="D18" i="22"/>
  <c r="B18" i="22"/>
  <c r="E17" i="22"/>
  <c r="C17" i="22"/>
  <c r="D17" i="22"/>
  <c r="B17" i="22"/>
  <c r="E60" i="20"/>
  <c r="D60" i="20"/>
  <c r="G60" i="20"/>
  <c r="F60" i="20"/>
  <c r="C60" i="20"/>
  <c r="B60" i="20"/>
  <c r="E59" i="20"/>
  <c r="D59" i="20"/>
  <c r="G59" i="20"/>
  <c r="F59" i="20"/>
  <c r="C59" i="20"/>
  <c r="B59" i="20"/>
  <c r="E58" i="20"/>
  <c r="D58" i="20"/>
  <c r="G58" i="20"/>
  <c r="F58" i="20"/>
  <c r="C58" i="20"/>
  <c r="B58" i="20"/>
  <c r="E57" i="20"/>
  <c r="D57" i="20"/>
  <c r="G57" i="20"/>
  <c r="F57" i="20"/>
  <c r="C57" i="20"/>
  <c r="B57" i="20"/>
  <c r="E56" i="20"/>
  <c r="D56" i="20"/>
  <c r="G56" i="20"/>
  <c r="F56" i="20"/>
  <c r="C56" i="20"/>
  <c r="B56" i="20"/>
  <c r="E55" i="20"/>
  <c r="D55" i="20"/>
  <c r="G55" i="20"/>
  <c r="F55" i="20"/>
  <c r="C55" i="20"/>
  <c r="B55" i="20"/>
  <c r="E54" i="20"/>
  <c r="D54" i="20"/>
  <c r="G54" i="20"/>
  <c r="F54" i="20"/>
  <c r="C54" i="20"/>
  <c r="B54" i="20"/>
  <c r="E53" i="20"/>
  <c r="D53" i="20"/>
  <c r="G53" i="20"/>
  <c r="F53" i="20"/>
  <c r="C53" i="20"/>
  <c r="B53" i="20"/>
  <c r="E52" i="20"/>
  <c r="D52" i="20"/>
  <c r="G52" i="20"/>
  <c r="F52" i="20"/>
  <c r="C52" i="20"/>
  <c r="B52" i="20"/>
  <c r="E51" i="20"/>
  <c r="D51" i="20"/>
  <c r="G51" i="20"/>
  <c r="F51" i="20"/>
  <c r="C51" i="20"/>
  <c r="B51" i="20"/>
  <c r="E50" i="20"/>
  <c r="D50" i="20"/>
  <c r="G50" i="20"/>
  <c r="F50" i="20"/>
  <c r="C50" i="20"/>
  <c r="B50" i="20"/>
  <c r="E49" i="20"/>
  <c r="D49" i="20"/>
  <c r="G49" i="20"/>
  <c r="F49" i="20"/>
  <c r="C49" i="20"/>
  <c r="B49" i="20"/>
  <c r="E28" i="20"/>
  <c r="D28" i="20"/>
  <c r="G28" i="20"/>
  <c r="F28" i="20"/>
  <c r="C28" i="20"/>
  <c r="B28" i="20"/>
  <c r="E27" i="20"/>
  <c r="D27" i="20"/>
  <c r="G27" i="20"/>
  <c r="F27" i="20"/>
  <c r="C27" i="20"/>
  <c r="B27" i="20"/>
  <c r="E26" i="20"/>
  <c r="D26" i="20"/>
  <c r="G26" i="20"/>
  <c r="F26" i="20"/>
  <c r="C26" i="20"/>
  <c r="B26" i="20"/>
  <c r="E25" i="20"/>
  <c r="D25" i="20"/>
  <c r="G25" i="20"/>
  <c r="F25" i="20"/>
  <c r="C25" i="20"/>
  <c r="B25" i="20"/>
  <c r="E24" i="20"/>
  <c r="D24" i="20"/>
  <c r="G24" i="20"/>
  <c r="F24" i="20"/>
  <c r="C24" i="20"/>
  <c r="B24" i="20"/>
  <c r="E23" i="20"/>
  <c r="D23" i="20"/>
  <c r="G23" i="20"/>
  <c r="F23" i="20"/>
  <c r="C23" i="20"/>
  <c r="B23" i="20"/>
  <c r="E22" i="20"/>
  <c r="D22" i="20"/>
  <c r="G22" i="20"/>
  <c r="F22" i="20"/>
  <c r="C22" i="20"/>
  <c r="B22" i="20"/>
  <c r="E21" i="20"/>
  <c r="D21" i="20"/>
  <c r="G21" i="20"/>
  <c r="F21" i="20"/>
  <c r="C21" i="20"/>
  <c r="B21" i="20"/>
  <c r="E20" i="20"/>
  <c r="D20" i="20"/>
  <c r="G20" i="20"/>
  <c r="F20" i="20"/>
  <c r="C20" i="20"/>
  <c r="B20" i="20"/>
  <c r="E19" i="20"/>
  <c r="D19" i="20"/>
  <c r="G19" i="20"/>
  <c r="F19" i="20"/>
  <c r="C19" i="20"/>
  <c r="B19" i="20"/>
  <c r="E18" i="20"/>
  <c r="D18" i="20"/>
  <c r="G18" i="20"/>
  <c r="F18" i="20"/>
  <c r="C18" i="20"/>
  <c r="B18" i="20"/>
  <c r="E17" i="20"/>
  <c r="G17" i="20"/>
  <c r="F17" i="20"/>
  <c r="C17" i="20"/>
  <c r="B17" i="20"/>
  <c r="C62" i="19"/>
  <c r="E62" i="19"/>
  <c r="G62" i="19"/>
  <c r="D62" i="19"/>
  <c r="F62" i="19"/>
  <c r="C63" i="19"/>
  <c r="E63" i="19"/>
  <c r="G63" i="19"/>
  <c r="D63" i="19"/>
  <c r="F63" i="19"/>
  <c r="C64" i="19"/>
  <c r="E64" i="19"/>
  <c r="G64" i="19"/>
  <c r="D64" i="19"/>
  <c r="F64" i="19"/>
  <c r="C65" i="19"/>
  <c r="E65" i="19"/>
  <c r="G65" i="19"/>
  <c r="D65" i="19"/>
  <c r="F65" i="19"/>
  <c r="C66" i="19"/>
  <c r="E66" i="19"/>
  <c r="G66" i="19"/>
  <c r="D66" i="19"/>
  <c r="F66" i="19"/>
  <c r="C67" i="19"/>
  <c r="E67" i="19"/>
  <c r="G67" i="19"/>
  <c r="D67" i="19"/>
  <c r="F67" i="19"/>
  <c r="C68" i="19"/>
  <c r="E68" i="19"/>
  <c r="G68" i="19"/>
  <c r="D68" i="19"/>
  <c r="F68" i="19"/>
  <c r="C69" i="19"/>
  <c r="E69" i="19"/>
  <c r="G69" i="19"/>
  <c r="D69" i="19"/>
  <c r="F69" i="19"/>
  <c r="C70" i="19"/>
  <c r="E70" i="19"/>
  <c r="G70" i="19"/>
  <c r="D70" i="19"/>
  <c r="F70" i="19"/>
  <c r="C71" i="19"/>
  <c r="E71" i="19"/>
  <c r="G71" i="19"/>
  <c r="D71" i="19"/>
  <c r="F71" i="19"/>
  <c r="C72" i="19"/>
  <c r="E72" i="19"/>
  <c r="G72" i="19"/>
  <c r="D72" i="19"/>
  <c r="F72" i="19"/>
  <c r="C73" i="19"/>
  <c r="E73" i="19"/>
  <c r="G73" i="19"/>
  <c r="D73" i="19"/>
  <c r="F73" i="19"/>
  <c r="C74" i="19"/>
  <c r="E74" i="19"/>
  <c r="G74" i="19"/>
  <c r="D74" i="19"/>
  <c r="F74" i="19"/>
  <c r="C75" i="19"/>
  <c r="E75" i="19"/>
  <c r="G75" i="19"/>
  <c r="D75" i="19"/>
  <c r="F75" i="19"/>
  <c r="B73" i="19"/>
  <c r="B74" i="19"/>
  <c r="B75" i="19"/>
  <c r="B33" i="19"/>
  <c r="C33" i="19"/>
  <c r="E33" i="19"/>
  <c r="G33" i="19"/>
  <c r="D33" i="19"/>
  <c r="F33" i="19"/>
  <c r="B34" i="19"/>
  <c r="C34" i="19"/>
  <c r="E34" i="19"/>
  <c r="G34" i="19"/>
  <c r="D34" i="19"/>
  <c r="F34" i="19"/>
  <c r="B35" i="19"/>
  <c r="C35" i="19"/>
  <c r="E35" i="19"/>
  <c r="G35" i="19"/>
  <c r="D35" i="19"/>
  <c r="F35" i="19"/>
  <c r="B72" i="19"/>
  <c r="B71" i="19"/>
  <c r="B70" i="19"/>
  <c r="B69" i="19"/>
  <c r="B68" i="19"/>
  <c r="B67" i="19"/>
  <c r="B66" i="19"/>
  <c r="B65" i="19"/>
  <c r="B64" i="19"/>
  <c r="B63" i="19"/>
  <c r="B62" i="19"/>
  <c r="F32" i="19"/>
  <c r="D32" i="19"/>
  <c r="G32" i="19"/>
  <c r="E32" i="19"/>
  <c r="C32" i="19"/>
  <c r="B32" i="19"/>
  <c r="F31" i="19"/>
  <c r="D31" i="19"/>
  <c r="G31" i="19"/>
  <c r="E31" i="19"/>
  <c r="C31" i="19"/>
  <c r="B31" i="19"/>
  <c r="F30" i="19"/>
  <c r="D30" i="19"/>
  <c r="G30" i="19"/>
  <c r="E30" i="19"/>
  <c r="C30" i="19"/>
  <c r="B30" i="19"/>
  <c r="F29" i="19"/>
  <c r="D29" i="19"/>
  <c r="G29" i="19"/>
  <c r="E29" i="19"/>
  <c r="C29" i="19"/>
  <c r="B29" i="19"/>
  <c r="F28" i="19"/>
  <c r="D28" i="19"/>
  <c r="G28" i="19"/>
  <c r="E28" i="19"/>
  <c r="C28" i="19"/>
  <c r="B28" i="19"/>
  <c r="F27" i="19"/>
  <c r="D27" i="19"/>
  <c r="G27" i="19"/>
  <c r="E27" i="19"/>
  <c r="C27" i="19"/>
  <c r="B27" i="19"/>
  <c r="F26" i="19"/>
  <c r="D26" i="19"/>
  <c r="G26" i="19"/>
  <c r="E26" i="19"/>
  <c r="C26" i="19"/>
  <c r="B26" i="19"/>
  <c r="F25" i="19"/>
  <c r="D25" i="19"/>
  <c r="G25" i="19"/>
  <c r="E25" i="19"/>
  <c r="C25" i="19"/>
  <c r="B25" i="19"/>
  <c r="F24" i="19"/>
  <c r="D24" i="19"/>
  <c r="G24" i="19"/>
  <c r="E24" i="19"/>
  <c r="C24" i="19"/>
  <c r="B24" i="19"/>
  <c r="F23" i="19"/>
  <c r="D23" i="19"/>
  <c r="G23" i="19"/>
  <c r="E23" i="19"/>
  <c r="C23" i="19"/>
  <c r="B23" i="19"/>
  <c r="F22" i="19"/>
  <c r="D22" i="19"/>
  <c r="G22" i="19"/>
  <c r="E22" i="19"/>
  <c r="C22" i="19"/>
  <c r="B22" i="19"/>
  <c r="E94" i="13"/>
  <c r="E93" i="13"/>
  <c r="E92" i="13"/>
  <c r="Q11" i="13"/>
  <c r="E24" i="13"/>
  <c r="E25" i="13"/>
  <c r="E26" i="13"/>
  <c r="E27" i="13"/>
  <c r="E28" i="13"/>
  <c r="E29" i="13"/>
  <c r="E30" i="13"/>
  <c r="E31" i="13"/>
  <c r="E33" i="13"/>
  <c r="E34" i="13"/>
  <c r="E35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H29" i="25" l="1"/>
  <c r="L46" i="25"/>
  <c r="M43" i="19"/>
  <c r="M50" i="19"/>
  <c r="J57" i="19"/>
  <c r="H57" i="19"/>
  <c r="M51" i="19"/>
  <c r="M49" i="19"/>
  <c r="M45" i="19"/>
  <c r="L57" i="19"/>
  <c r="M47" i="19"/>
  <c r="C76" i="19"/>
  <c r="M55" i="19"/>
  <c r="K57" i="19"/>
  <c r="M46" i="19"/>
  <c r="M56" i="19"/>
  <c r="F66" i="22"/>
  <c r="F29" i="22"/>
  <c r="K42" i="22"/>
  <c r="K41" i="22"/>
  <c r="K46" i="22"/>
  <c r="E76" i="23"/>
  <c r="D36" i="23"/>
  <c r="B36" i="23"/>
  <c r="J57" i="23"/>
  <c r="C76" i="23"/>
  <c r="G57" i="23"/>
  <c r="J50" i="22"/>
  <c r="K40" i="22"/>
  <c r="K45" i="22"/>
  <c r="H50" i="22"/>
  <c r="G50" i="22"/>
  <c r="K39" i="22"/>
  <c r="K44" i="22"/>
  <c r="K49" i="22"/>
  <c r="B29" i="22"/>
  <c r="I50" i="22"/>
  <c r="E66" i="22"/>
  <c r="C66" i="22"/>
  <c r="K38" i="22"/>
  <c r="K43" i="22"/>
  <c r="K48" i="22"/>
  <c r="D66" i="22"/>
  <c r="D29" i="22"/>
  <c r="B66" i="22"/>
  <c r="M43" i="20"/>
  <c r="M42" i="20"/>
  <c r="M41" i="20"/>
  <c r="B76" i="23"/>
  <c r="C29" i="22"/>
  <c r="E76" i="19"/>
  <c r="G76" i="19"/>
  <c r="D76" i="19"/>
  <c r="B36" i="19"/>
  <c r="B61" i="20"/>
  <c r="D61" i="20"/>
  <c r="D29" i="20"/>
  <c r="B29" i="20"/>
  <c r="G29" i="20"/>
  <c r="G61" i="20"/>
  <c r="C61" i="20"/>
  <c r="F61" i="20"/>
  <c r="C29" i="20"/>
  <c r="E29" i="20"/>
  <c r="F29" i="20"/>
  <c r="E61" i="20"/>
  <c r="D76" i="23"/>
  <c r="E36" i="23"/>
  <c r="C36" i="23"/>
  <c r="F76" i="23"/>
  <c r="F36" i="23"/>
  <c r="E29" i="22"/>
  <c r="F76" i="19"/>
  <c r="D36" i="19"/>
  <c r="B76" i="19"/>
  <c r="C36" i="19"/>
  <c r="E36" i="19"/>
  <c r="G36" i="19"/>
  <c r="F36" i="19"/>
  <c r="H29" i="20" l="1"/>
  <c r="G33" i="22"/>
  <c r="G29" i="22"/>
  <c r="H36" i="19"/>
  <c r="G37" i="23"/>
  <c r="G36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Kim, Sungkeun</author>
  </authors>
  <commentList>
    <comment ref="B32" authorId="0" shapeId="0" xr:uid="{9C84954A-B119-664A-BDCB-F31B2896BF0D}">
      <text>
        <r>
          <rPr>
            <b/>
            <sz val="10"/>
            <color rgb="FF000000"/>
            <rFont val="Tahoma"/>
            <family val="2"/>
          </rPr>
          <t>Kim, Sungkeun: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Link Time error
</t>
        </r>
      </text>
    </comment>
    <comment ref="B91" authorId="0" shapeId="0" xr:uid="{9C4822DC-97FE-9544-A22A-4C922E78BDED}">
      <text>
        <r>
          <rPr>
            <b/>
            <sz val="10"/>
            <color rgb="FF000000"/>
            <rFont val="Tahoma"/>
            <family val="2"/>
          </rPr>
          <t>Kim, Sungkeun: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Link Time error
</t>
        </r>
      </text>
    </comment>
  </commentList>
</comments>
</file>

<file path=xl/sharedStrings.xml><?xml version="1.0" encoding="utf-8"?>
<sst xmlns="http://schemas.openxmlformats.org/spreadsheetml/2006/main" count="1220" uniqueCount="189">
  <si>
    <t>mcf_s</t>
  </si>
  <si>
    <t>lbm_s</t>
  </si>
  <si>
    <t>xalancbmk_s</t>
  </si>
  <si>
    <t>x264_s</t>
  </si>
  <si>
    <t>leela_s</t>
  </si>
  <si>
    <t>xz_s</t>
  </si>
  <si>
    <t>508.namd_r</t>
  </si>
  <si>
    <t>510.parest_r</t>
  </si>
  <si>
    <t>511.povray_r</t>
  </si>
  <si>
    <t>600.perlbench_s</t>
  </si>
  <si>
    <t>602.gcc_s</t>
  </si>
  <si>
    <t>605.mcf_s</t>
  </si>
  <si>
    <t>607.cactuBSSN_s</t>
  </si>
  <si>
    <t>619.lbm_s</t>
  </si>
  <si>
    <t>620.omnetpp_s</t>
  </si>
  <si>
    <t>623.xalancbmk_s</t>
  </si>
  <si>
    <t>625.x264_s</t>
  </si>
  <si>
    <t>631.deepsjeng_s</t>
  </si>
  <si>
    <t>638.imagick_s</t>
  </si>
  <si>
    <t>641.leela_s</t>
  </si>
  <si>
    <t>644.nab_s</t>
  </si>
  <si>
    <t>657.xz_s</t>
  </si>
  <si>
    <t>DCCE</t>
  </si>
  <si>
    <t>PCCE</t>
  </si>
  <si>
    <t>Valence</t>
  </si>
  <si>
    <t>Nodes</t>
  </si>
  <si>
    <t>Edges</t>
  </si>
  <si>
    <t>Language</t>
  </si>
  <si>
    <t>Reachable nodes</t>
  </si>
  <si>
    <t>Total</t>
  </si>
  <si>
    <t>Reachable Edge</t>
  </si>
  <si>
    <t>max_num_callees</t>
  </si>
  <si>
    <t>C++</t>
  </si>
  <si>
    <t>C</t>
  </si>
  <si>
    <t>total</t>
  </si>
  <si>
    <t>Indirect Call</t>
  </si>
  <si>
    <t>Back Edges</t>
  </si>
  <si>
    <t>500.perlbench_r</t>
  </si>
  <si>
    <t>502.gcc_r</t>
  </si>
  <si>
    <t>505.mcf_r</t>
  </si>
  <si>
    <t>520.omnetpp_r</t>
  </si>
  <si>
    <t>523.xalancbmk_r</t>
  </si>
  <si>
    <t>519.lbm_r</t>
  </si>
  <si>
    <t>525.x264_r</t>
  </si>
  <si>
    <t>531.deepsjeng_r</t>
  </si>
  <si>
    <t>541.leela_r</t>
  </si>
  <si>
    <t>538.imagick_r</t>
  </si>
  <si>
    <t>557.xz_r</t>
  </si>
  <si>
    <t>544.nab_r</t>
  </si>
  <si>
    <t>526.blender_r</t>
  </si>
  <si>
    <t>Benchmarks</t>
  </si>
  <si>
    <t>2. Callgraph Gen.</t>
  </si>
  <si>
    <t>3. Encoding CCW</t>
  </si>
  <si>
    <t>4. Embedding CCW to bc</t>
  </si>
  <si>
    <t>548.exchange2_r</t>
  </si>
  <si>
    <t>Fortran</t>
  </si>
  <si>
    <t>503.bwaves_r</t>
  </si>
  <si>
    <t>507.cactuBSSN_r</t>
  </si>
  <si>
    <t>C++, C, Fortran</t>
  </si>
  <si>
    <t>C++, C</t>
  </si>
  <si>
    <t>521.wrf_r</t>
  </si>
  <si>
    <t>Fortran, C</t>
  </si>
  <si>
    <t>527.cam4_r</t>
  </si>
  <si>
    <t>549.fotonik3d_r</t>
  </si>
  <si>
    <t>554.roms_r</t>
  </si>
  <si>
    <t>648.exchange2_s</t>
  </si>
  <si>
    <t>603.bwaves_s</t>
  </si>
  <si>
    <t>621.wrf_s</t>
  </si>
  <si>
    <t>627.cam4_s</t>
  </si>
  <si>
    <t>628.pop2_s</t>
  </si>
  <si>
    <t>649.fotonik3d_s</t>
  </si>
  <si>
    <t>654.roms_s</t>
  </si>
  <si>
    <t>O</t>
  </si>
  <si>
    <t>5. Rebuild exe with bc</t>
  </si>
  <si>
    <t>7. CCW Test (w/ CCID update)</t>
  </si>
  <si>
    <t>Assertion in Function::getArg</t>
  </si>
  <si>
    <t>Done</t>
  </si>
  <si>
    <t>OOM</t>
  </si>
  <si>
    <t>geomean</t>
  </si>
  <si>
    <t>wpa: /home/ksungkeun84/git/DCCE/SVF/include/Graphs/GenericGraph.h:394: SVF::GenericGraph&lt;NodeTy, EdgeTy&gt;::NodeType* SVF::GenericGraph&lt;NodeTy, EdgeTy&gt;::getGNode(SVF::NodeID) const [with NodeTy = SVF::PAGNode; EdgeTy = SVF::PAGEdge; SVF::GenericGraph&lt;NodeTy, EdgeTy&gt;::NodeType = SVF::PAGNode; SVF::NodeID = unsigned int]: Assertion `it != IDToNodeMap.end() &amp;&amp; "Node not found!"' failed.</t>
  </si>
  <si>
    <t>Overflow MAXID</t>
  </si>
  <si>
    <t>Never finish</t>
  </si>
  <si>
    <t>Max CCID</t>
  </si>
  <si>
    <t>Stack Depth</t>
  </si>
  <si>
    <t>Static</t>
  </si>
  <si>
    <t>Dynamic Max CCID</t>
  </si>
  <si>
    <t>Not 
Reachable nodes</t>
  </si>
  <si>
    <t>701.BARNES</t>
  </si>
  <si>
    <t>702.CHOLESKY</t>
  </si>
  <si>
    <t>703.FFT</t>
  </si>
  <si>
    <t>704.FMM</t>
  </si>
  <si>
    <t>705.LU-CB</t>
  </si>
  <si>
    <t>706.LU-NCB</t>
  </si>
  <si>
    <t>707.OCEAN-CP</t>
  </si>
  <si>
    <t>708.OCEAN-NCP</t>
  </si>
  <si>
    <t>709.RADIOSITY</t>
  </si>
  <si>
    <t>710.RADIX</t>
  </si>
  <si>
    <t>713.WATER-NSQUARED</t>
  </si>
  <si>
    <t>714.WATER-SPATIAL</t>
  </si>
  <si>
    <t>SPEC 2017</t>
  </si>
  <si>
    <t>Splash-3</t>
  </si>
  <si>
    <t>Static barriers</t>
  </si>
  <si>
    <t>Dynamic barriers</t>
  </si>
  <si>
    <t>8 threads</t>
  </si>
  <si>
    <t>16 threads</t>
  </si>
  <si>
    <t>goemean</t>
  </si>
  <si>
    <t>Native</t>
  </si>
  <si>
    <t>#total calls</t>
  </si>
  <si>
    <t>Runtime Overhead</t>
  </si>
  <si>
    <t>Memory Overhead (kbytes)</t>
  </si>
  <si>
    <t>Indrect Calls</t>
  </si>
  <si>
    <t>MAX CCID</t>
  </si>
  <si>
    <t xml:space="preserve">Runtime </t>
  </si>
  <si>
    <t>BARNES</t>
  </si>
  <si>
    <t>CHOLESKY</t>
  </si>
  <si>
    <t>FFT</t>
  </si>
  <si>
    <t>FMM</t>
  </si>
  <si>
    <t>LU-CB</t>
  </si>
  <si>
    <t>LU-NCB</t>
  </si>
  <si>
    <t>OCEAN-CP</t>
  </si>
  <si>
    <t>OCEAN-NCP</t>
  </si>
  <si>
    <t>RADIOSITY</t>
  </si>
  <si>
    <t>RADIX</t>
  </si>
  <si>
    <t>WATER-NSQUARED</t>
  </si>
  <si>
    <t>WATER-SPATIAL</t>
  </si>
  <si>
    <t>Runtime overhead (ms)</t>
  </si>
  <si>
    <t>Empty client</t>
  </si>
  <si>
    <t>CCW File Size
(bytes)</t>
  </si>
  <si>
    <t>segfault at push_back function???</t>
  </si>
  <si>
    <t>looks okay, so need to collect # of getCCID at runtime</t>
  </si>
  <si>
    <t>701.BARNES: malloc.c:2379: sysmalloc: Assertion `(old_top == initial_top (av) &amp;&amp; old_size == 0) || ((unsigned long) (old_size) &gt;= MINSIZE &amp;&amp; prev_inuse (old_top) &amp;&amp; ((unsigned long) old_end &amp; (pagesize - 1)) == 0)' failed.</t>
  </si>
  <si>
    <t>Command terminated by signal 11</t>
  </si>
  <si>
    <t>DCCE (CCID Update)</t>
  </si>
  <si>
    <t>DCCE (CCID Update + getCCID)</t>
  </si>
  <si>
    <t>PCCE (CCID Update)</t>
  </si>
  <si>
    <t>PCCE (CCID Update + getCCID)</t>
  </si>
  <si>
    <t>DrCCTProf (CCID Update)</t>
  </si>
  <si>
    <t>DrCCTProf (CCID Update + getCCID)</t>
  </si>
  <si>
    <t>mcf_r</t>
  </si>
  <si>
    <t>namd_r</t>
  </si>
  <si>
    <t>parest_r</t>
  </si>
  <si>
    <t>lbm_r</t>
  </si>
  <si>
    <t>xalancbmk_r</t>
  </si>
  <si>
    <t>x264_r</t>
  </si>
  <si>
    <t>leela_r</t>
  </si>
  <si>
    <t>xz_r</t>
  </si>
  <si>
    <t>DrCCTProf (CCID Update+getCCID)</t>
  </si>
  <si>
    <t>DCCE (CCID Update+getCCID)</t>
  </si>
  <si>
    <t xml:space="preserve">cd </t>
  </si>
  <si>
    <t>2.6K</t>
  </si>
  <si>
    <t>36K</t>
  </si>
  <si>
    <t>179K</t>
  </si>
  <si>
    <t>1.1K</t>
  </si>
  <si>
    <t>70K</t>
  </si>
  <si>
    <t>310K</t>
  </si>
  <si>
    <t>11K</t>
  </si>
  <si>
    <t>31K</t>
  </si>
  <si>
    <t>1.2K</t>
  </si>
  <si>
    <t>#function calls</t>
  </si>
  <si>
    <t>Stack Depts</t>
  </si>
  <si>
    <t>CCW File Size
(KB)</t>
  </si>
  <si>
    <t>MB</t>
  </si>
  <si>
    <t>Edges with non zero weight (PCCE)</t>
  </si>
  <si>
    <t xml:space="preserve">Edges </t>
  </si>
  <si>
    <t>Percentage of Non-zero edge weight (PCCE)</t>
  </si>
  <si>
    <t>CCW lookup (ms/call)</t>
  </si>
  <si>
    <t>CCW loading overhead (ms)</t>
  </si>
  <si>
    <t>memory size of indirect call (KB)</t>
  </si>
  <si>
    <t>memory size of direct call (KB)</t>
  </si>
  <si>
    <t>Portion of CCW Lookup in Execution Time</t>
  </si>
  <si>
    <t># of Calls (Dynamic)</t>
  </si>
  <si>
    <t>Overhead of CCW Load (ms)</t>
  </si>
  <si>
    <t>The more calls executed, the higher latency of lookup</t>
  </si>
  <si>
    <t>Execution Time (ms)</t>
  </si>
  <si>
    <t>Accumulated Latency of CCW Lookups (ms)</t>
  </si>
  <si>
    <t>Why do 707,708  have no overhead?</t>
  </si>
  <si>
    <t>713.WATER-NSQUARED.out</t>
  </si>
  <si>
    <t>714.WATER-SPATIAL.out</t>
  </si>
  <si>
    <t>Runtime (ms)</t>
  </si>
  <si>
    <t>% of CCW Loading in Runtime</t>
  </si>
  <si>
    <t>Direct Call (dynamic)</t>
  </si>
  <si>
    <t>Indirect Call (dynamic)</t>
  </si>
  <si>
    <t>% of CCW Lookup in Execution Time</t>
  </si>
  <si>
    <t>Selected?</t>
  </si>
  <si>
    <t>0. Optimized IR</t>
  </si>
  <si>
    <t>Not supportted language</t>
  </si>
  <si>
    <t>N/A</t>
  </si>
  <si>
    <t>711.RAYTRACE</t>
  </si>
  <si>
    <t>712.VOLREND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</si>
</sst>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_(* #,##0.000_);_(* \(#,##0.000\);_(* &quot;-&quot;??_);_(@_)"/>
    <numFmt numFmtId="166" formatCode="_(* #,##0.0_);_(* \(#,##0.0\);_(* &quot;-&quot;??_);_(@_)"/>
    <numFmt numFmtId="167" formatCode="0.0"/>
    <numFmt numFmtId="168" formatCode="_(* #,##0.000000_);_(* \(#,##0.000000\);_(* &quot;-&quot;??_);_(@_)"/>
    <numFmt numFmtId="169" formatCode="0.000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Tw Cen MT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4"/>
      <color rgb="FF000000"/>
      <name val="Tw Cen MT"/>
      <family val="2"/>
    </font>
    <font>
      <sz val="12"/>
      <color theme="1"/>
      <name val="Tw Cen MT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0" fontId="2" fillId="0" borderId="0" xfId="0" applyFont="1"/>
    <xf numFmtId="0" fontId="2" fillId="0" borderId="1" xfId="0" applyFont="1" applyBorder="1"/>
    <xf numFmtId="164" fontId="2" fillId="0" borderId="1" xfId="1" applyNumberFormat="1" applyFont="1" applyBorder="1"/>
    <xf numFmtId="0" fontId="2" fillId="2" borderId="1" xfId="0" applyFont="1" applyFill="1" applyBorder="1"/>
    <xf numFmtId="164" fontId="2" fillId="0" borderId="1" xfId="1" applyNumberFormat="1" applyFont="1" applyFill="1" applyBorder="1"/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/>
    <xf numFmtId="164" fontId="2" fillId="5" borderId="1" xfId="1" applyNumberFormat="1" applyFont="1" applyFill="1" applyBorder="1"/>
    <xf numFmtId="0" fontId="0" fillId="0" borderId="1" xfId="0" applyBorder="1"/>
    <xf numFmtId="0" fontId="5" fillId="0" borderId="5" xfId="0" applyFont="1" applyBorder="1"/>
    <xf numFmtId="0" fontId="5" fillId="0" borderId="9" xfId="0" applyFont="1" applyBorder="1"/>
    <xf numFmtId="0" fontId="5" fillId="0" borderId="8" xfId="0" applyFont="1" applyBorder="1"/>
    <xf numFmtId="0" fontId="5" fillId="0" borderId="1" xfId="0" applyFont="1" applyBorder="1"/>
    <xf numFmtId="0" fontId="5" fillId="6" borderId="9" xfId="0" applyFont="1" applyFill="1" applyBorder="1"/>
    <xf numFmtId="0" fontId="5" fillId="6" borderId="1" xfId="0" applyFont="1" applyFill="1" applyBorder="1"/>
    <xf numFmtId="0" fontId="5" fillId="6" borderId="5" xfId="0" applyFont="1" applyFill="1" applyBorder="1"/>
    <xf numFmtId="0" fontId="5" fillId="6" borderId="2" xfId="0" applyFont="1" applyFill="1" applyBorder="1"/>
    <xf numFmtId="0" fontId="5" fillId="6" borderId="4" xfId="0" applyFont="1" applyFill="1" applyBorder="1"/>
    <xf numFmtId="164" fontId="2" fillId="0" borderId="1" xfId="0" applyNumberFormat="1" applyFont="1" applyBorder="1" applyAlignment="1">
      <alignment horizontal="center" vertical="center"/>
    </xf>
    <xf numFmtId="0" fontId="6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2" fillId="3" borderId="5" xfId="0" applyFont="1" applyFill="1" applyBorder="1" applyAlignment="1">
      <alignment vertical="center"/>
    </xf>
    <xf numFmtId="43" fontId="2" fillId="0" borderId="1" xfId="1" applyFont="1" applyBorder="1"/>
    <xf numFmtId="43" fontId="2" fillId="0" borderId="0" xfId="1" applyFont="1" applyBorder="1"/>
    <xf numFmtId="164" fontId="2" fillId="0" borderId="0" xfId="1" applyNumberFormat="1" applyFont="1" applyBorder="1"/>
    <xf numFmtId="0" fontId="2" fillId="5" borderId="1" xfId="0" applyFont="1" applyFill="1" applyBorder="1"/>
    <xf numFmtId="0" fontId="2" fillId="0" borderId="11" xfId="0" applyFont="1" applyBorder="1" applyAlignment="1">
      <alignment vertical="center" wrapText="1"/>
    </xf>
    <xf numFmtId="164" fontId="2" fillId="7" borderId="1" xfId="1" applyNumberFormat="1" applyFont="1" applyFill="1" applyBorder="1"/>
    <xf numFmtId="164" fontId="2" fillId="0" borderId="0" xfId="0" applyNumberFormat="1" applyFont="1"/>
    <xf numFmtId="166" fontId="2" fillId="0" borderId="1" xfId="1" applyNumberFormat="1" applyFont="1" applyBorder="1"/>
    <xf numFmtId="167" fontId="2" fillId="0" borderId="1" xfId="0" applyNumberFormat="1" applyFont="1" applyBorder="1"/>
    <xf numFmtId="167" fontId="2" fillId="0" borderId="0" xfId="0" applyNumberFormat="1" applyFont="1"/>
    <xf numFmtId="164" fontId="5" fillId="0" borderId="5" xfId="0" applyNumberFormat="1" applyFont="1" applyBorder="1"/>
    <xf numFmtId="0" fontId="2" fillId="0" borderId="1" xfId="0" applyFont="1" applyBorder="1" applyAlignment="1">
      <alignment vertical="center" wrapText="1"/>
    </xf>
    <xf numFmtId="43" fontId="2" fillId="0" borderId="0" xfId="0" applyNumberFormat="1" applyFont="1"/>
    <xf numFmtId="165" fontId="2" fillId="0" borderId="1" xfId="1" applyNumberFormat="1" applyFont="1" applyBorder="1"/>
    <xf numFmtId="168" fontId="2" fillId="0" borderId="1" xfId="1" applyNumberFormat="1" applyFont="1" applyBorder="1"/>
    <xf numFmtId="43" fontId="0" fillId="0" borderId="0" xfId="1" applyFont="1"/>
    <xf numFmtId="164" fontId="0" fillId="0" borderId="1" xfId="1" applyNumberFormat="1" applyFont="1" applyBorder="1"/>
    <xf numFmtId="10" fontId="0" fillId="0" borderId="1" xfId="2" applyNumberFormat="1" applyFont="1" applyBorder="1"/>
    <xf numFmtId="0" fontId="0" fillId="3" borderId="1" xfId="0" applyFill="1" applyBorder="1"/>
    <xf numFmtId="164" fontId="0" fillId="3" borderId="1" xfId="1" applyNumberFormat="1" applyFont="1" applyFill="1" applyBorder="1"/>
    <xf numFmtId="10" fontId="0" fillId="3" borderId="1" xfId="2" applyNumberFormat="1" applyFont="1" applyFill="1" applyBorder="1"/>
    <xf numFmtId="0" fontId="0" fillId="5" borderId="1" xfId="0" applyFill="1" applyBorder="1"/>
    <xf numFmtId="164" fontId="0" fillId="5" borderId="1" xfId="1" applyNumberFormat="1" applyFont="1" applyFill="1" applyBorder="1"/>
    <xf numFmtId="10" fontId="0" fillId="5" borderId="1" xfId="2" applyNumberFormat="1" applyFont="1" applyFill="1" applyBorder="1"/>
    <xf numFmtId="0" fontId="0" fillId="0" borderId="6" xfId="0" applyBorder="1"/>
    <xf numFmtId="10" fontId="2" fillId="0" borderId="1" xfId="2" applyNumberFormat="1" applyFont="1" applyBorder="1"/>
    <xf numFmtId="0" fontId="5" fillId="5" borderId="1" xfId="0" applyFont="1" applyFill="1" applyBorder="1"/>
    <xf numFmtId="166" fontId="2" fillId="5" borderId="1" xfId="1" applyNumberFormat="1" applyFont="1" applyFill="1" applyBorder="1"/>
    <xf numFmtId="10" fontId="2" fillId="5" borderId="1" xfId="2" applyNumberFormat="1" applyFont="1" applyFill="1" applyBorder="1"/>
    <xf numFmtId="0" fontId="6" fillId="5" borderId="1" xfId="0" applyFont="1" applyFill="1" applyBorder="1"/>
    <xf numFmtId="0" fontId="2" fillId="8" borderId="1" xfId="0" applyFont="1" applyFill="1" applyBorder="1"/>
    <xf numFmtId="166" fontId="2" fillId="8" borderId="1" xfId="1" applyNumberFormat="1" applyFont="1" applyFill="1" applyBorder="1"/>
    <xf numFmtId="164" fontId="2" fillId="8" borderId="1" xfId="1" applyNumberFormat="1" applyFont="1" applyFill="1" applyBorder="1"/>
    <xf numFmtId="10" fontId="2" fillId="8" borderId="1" xfId="2" applyNumberFormat="1" applyFont="1" applyFill="1" applyBorder="1"/>
    <xf numFmtId="169" fontId="0" fillId="5" borderId="1" xfId="2" applyNumberFormat="1" applyFont="1" applyFill="1" applyBorder="1"/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textRotation="90"/>
    </xf>
    <xf numFmtId="0" fontId="2" fillId="3" borderId="10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0" borderId="5" xfId="0" applyFont="1" applyFill="1" applyBorder="1"/>
    <xf numFmtId="0" fontId="5" fillId="0" borderId="1" xfId="0" applyFont="1" applyFill="1" applyBorder="1"/>
    <xf numFmtId="0" fontId="5" fillId="0" borderId="9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24150614391195"/>
          <c:y val="0.21904053659959175"/>
          <c:w val="0.86015141814020657"/>
          <c:h val="0.499110649363274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Static_Overhead_SPEC2017!$B$21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Static_Overhead_SPEC2017!$B$22:$B$36</c:f>
              <c:numCache>
                <c:formatCode>_(* #,##0.00_);_(* \(#,##0.00\);_(* "-"??_);_(@_)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94-E64D-8E3A-629F42E216D8}"/>
            </c:ext>
          </c:extLst>
        </c:ser>
        <c:ser>
          <c:idx val="1"/>
          <c:order val="1"/>
          <c:tx>
            <c:strRef>
              <c:f>Static_Overhead_SPEC2017!$C$21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Static_Overhead_SPEC2017!$C$22:$C$36</c:f>
              <c:numCache>
                <c:formatCode>_(* #,##0.00_);_(* \(#,##0.00\);_(* "-"??_);_(@_)</c:formatCode>
                <c:ptCount val="15"/>
                <c:pt idx="0">
                  <c:v>1.7103958136846269</c:v>
                </c:pt>
                <c:pt idx="1">
                  <c:v>1.6373122834039275</c:v>
                </c:pt>
                <c:pt idx="2">
                  <c:v>2.5291974471078951</c:v>
                </c:pt>
                <c:pt idx="3">
                  <c:v>1.2255798758575629</c:v>
                </c:pt>
                <c:pt idx="4">
                  <c:v>1.7915722547262336</c:v>
                </c:pt>
                <c:pt idx="5">
                  <c:v>1.8157203658426153</c:v>
                </c:pt>
                <c:pt idx="6">
                  <c:v>1.687632842635598</c:v>
                </c:pt>
                <c:pt idx="7">
                  <c:v>1.6695261097693013</c:v>
                </c:pt>
                <c:pt idx="8">
                  <c:v>1.6856932175588026</c:v>
                </c:pt>
                <c:pt idx="9">
                  <c:v>0.96508848263882918</c:v>
                </c:pt>
                <c:pt idx="10">
                  <c:v>1.7081217409086262</c:v>
                </c:pt>
                <c:pt idx="11">
                  <c:v>1.6892061781609196</c:v>
                </c:pt>
                <c:pt idx="12">
                  <c:v>1.599460464629004</c:v>
                </c:pt>
                <c:pt idx="13">
                  <c:v>1.9476324365774171</c:v>
                </c:pt>
                <c:pt idx="14">
                  <c:v>1.6556977008480984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94-E64D-8E3A-629F42E216D8}"/>
            </c:ext>
          </c:extLst>
        </c:ser>
        <c:ser>
          <c:idx val="2"/>
          <c:order val="2"/>
          <c:tx>
            <c:strRef>
              <c:f>Static_Overhead_SPEC2017!$D$21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Static_Overhead_SPEC2017!$D$22:$D$36</c:f>
              <c:numCache>
                <c:formatCode>_(* #,##0.00_);_(* \(#,##0.00\);_(* "-"??_);_(@_)</c:formatCode>
                <c:ptCount val="15"/>
                <c:pt idx="0">
                  <c:v>1.7343393471051751</c:v>
                </c:pt>
                <c:pt idx="1">
                  <c:v>1.7070465922217943</c:v>
                </c:pt>
                <c:pt idx="2">
                  <c:v>2.5778682345846526</c:v>
                </c:pt>
                <c:pt idx="3">
                  <c:v>1.314970597843842</c:v>
                </c:pt>
                <c:pt idx="4">
                  <c:v>1.7757448679360142</c:v>
                </c:pt>
                <c:pt idx="5">
                  <c:v>1.89133387666395</c:v>
                </c:pt>
                <c:pt idx="6">
                  <c:v>1.6882363746096722</c:v>
                </c:pt>
                <c:pt idx="7">
                  <c:v>1.6823519613558757</c:v>
                </c:pt>
                <c:pt idx="8">
                  <c:v>1.7502370167491836</c:v>
                </c:pt>
                <c:pt idx="9">
                  <c:v>1.0087622749238998</c:v>
                </c:pt>
                <c:pt idx="10">
                  <c:v>1.7895095600013633</c:v>
                </c:pt>
                <c:pt idx="11">
                  <c:v>1.8683548850574712</c:v>
                </c:pt>
                <c:pt idx="12">
                  <c:v>1.6913386239228936</c:v>
                </c:pt>
                <c:pt idx="13">
                  <c:v>2.0097130807080323</c:v>
                </c:pt>
                <c:pt idx="14">
                  <c:v>1.716072489700305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94-E64D-8E3A-629F42E216D8}"/>
            </c:ext>
          </c:extLst>
        </c:ser>
        <c:ser>
          <c:idx val="3"/>
          <c:order val="3"/>
          <c:tx>
            <c:strRef>
              <c:f>Static_Overhead_SPEC2017!$E$21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197614730283263E-3"/>
                  <c:y val="0.2676032857003985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983-434A-9919-C20F186CFF8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83-434A-9919-C20F186CFF8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83-434A-9919-C20F186CFF8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983-434A-9919-C20F186CFF8B}"/>
                </c:ext>
              </c:extLst>
            </c:dLbl>
            <c:dLbl>
              <c:idx val="4"/>
              <c:layout>
                <c:manualLayout>
                  <c:x val="-2.1387512363533119E-3"/>
                  <c:y val="0.270689705453484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983-434A-9919-C20F186CFF8B}"/>
                </c:ext>
              </c:extLst>
            </c:dLbl>
            <c:dLbl>
              <c:idx val="5"/>
              <c:layout>
                <c:manualLayout>
                  <c:x val="7.2726138243466585E-3"/>
                  <c:y val="0.270689705453484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983-434A-9919-C20F186CFF8B}"/>
                </c:ext>
              </c:extLst>
            </c:dLbl>
            <c:dLbl>
              <c:idx val="6"/>
              <c:layout>
                <c:manualLayout>
                  <c:x val="1.3860569366836707E-2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983-434A-9919-C20F186CFF8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983-434A-9919-C20F186CFF8B}"/>
                </c:ext>
              </c:extLst>
            </c:dLbl>
            <c:dLbl>
              <c:idx val="8"/>
              <c:layout>
                <c:manualLayout>
                  <c:x val="-2.564782242132488E-4"/>
                  <c:y val="0.269146495576941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983-434A-9919-C20F186CFF8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983-434A-9919-C20F186CFF8B}"/>
                </c:ext>
              </c:extLst>
            </c:dLbl>
            <c:dLbl>
              <c:idx val="10"/>
              <c:layout>
                <c:manualLayout>
                  <c:x val="-3.0798877424232395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983-434A-9919-C20F186CFF8B}"/>
                </c:ext>
              </c:extLst>
            </c:dLbl>
            <c:dLbl>
              <c:idx val="11"/>
              <c:layout>
                <c:manualLayout>
                  <c:x val="2.566931293996742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983-434A-9919-C20F186CFF8B}"/>
                </c:ext>
              </c:extLst>
            </c:dLbl>
            <c:dLbl>
              <c:idx val="12"/>
              <c:layout>
                <c:manualLayout>
                  <c:x val="7.2726138243465891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983-434A-9919-C20F186CFF8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983-434A-9919-C20F186CFF8B}"/>
                </c:ext>
              </c:extLst>
            </c:dLbl>
            <c:dLbl>
              <c:idx val="14"/>
              <c:layout>
                <c:manualLayout>
                  <c:x val="-7.9840982018883049E-3"/>
                  <c:y val="0.21665001944201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983-434A-9919-C20F186CFF8B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Static_Overhead_SPEC2017!$A$22:$A$36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Static_Overhead_SPEC2017!$E$22:$E$36</c:f>
              <c:numCache>
                <c:formatCode>_(* #,##0.00_);_(* \(#,##0.00\);_(* "-"??_);_(@_)</c:formatCode>
                <c:ptCount val="15"/>
                <c:pt idx="0">
                  <c:v>21.375764398065048</c:v>
                </c:pt>
                <c:pt idx="1">
                  <c:v>2.6425490951097421</c:v>
                </c:pt>
                <c:pt idx="2">
                  <c:v>2.8280315593748431</c:v>
                </c:pt>
                <c:pt idx="3">
                  <c:v>1.310764456060111</c:v>
                </c:pt>
                <c:pt idx="4">
                  <c:v>12.316953566234908</c:v>
                </c:pt>
                <c:pt idx="5">
                  <c:v>12.43412116272752</c:v>
                </c:pt>
                <c:pt idx="6">
                  <c:v>12.902463984885459</c:v>
                </c:pt>
                <c:pt idx="7">
                  <c:v>2.4952944115932372</c:v>
                </c:pt>
                <c:pt idx="8">
                  <c:v>24.357797474831077</c:v>
                </c:pt>
                <c:pt idx="9">
                  <c:v>1.0063803807591105</c:v>
                </c:pt>
                <c:pt idx="10">
                  <c:v>12.368358269997614</c:v>
                </c:pt>
                <c:pt idx="11">
                  <c:v>12.338362068965518</c:v>
                </c:pt>
                <c:pt idx="12">
                  <c:v>12.940991592676985</c:v>
                </c:pt>
                <c:pt idx="13">
                  <c:v>3.087737235606109</c:v>
                </c:pt>
                <c:pt idx="14">
                  <c:v>6.2975928485938155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94-E64D-8E3A-629F42E216D8}"/>
            </c:ext>
          </c:extLst>
        </c:ser>
        <c:ser>
          <c:idx val="4"/>
          <c:order val="4"/>
          <c:tx>
            <c:strRef>
              <c:f>Static_Overhead_SPEC2017!$F$21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Static_Overhead_SPEC2017!$F$22:$F$36</c:f>
              <c:numCache>
                <c:formatCode>_(* #,##0.00_);_(* \(#,##0.00\);_(* "-"??_);_(@_)</c:formatCode>
                <c:ptCount val="15"/>
                <c:pt idx="0">
                  <c:v>1.936718488545438</c:v>
                </c:pt>
                <c:pt idx="1">
                  <c:v>1.7102425876010781</c:v>
                </c:pt>
                <c:pt idx="2">
                  <c:v>2.5839991959394943</c:v>
                </c:pt>
                <c:pt idx="3">
                  <c:v>1.3118670369160406</c:v>
                </c:pt>
                <c:pt idx="4">
                  <c:v>1.8433156346173358</c:v>
                </c:pt>
                <c:pt idx="5">
                  <c:v>1.9429502852485738</c:v>
                </c:pt>
                <c:pt idx="6">
                  <c:v>1.7269149019916554</c:v>
                </c:pt>
                <c:pt idx="7">
                  <c:v>1.6696093945198633</c:v>
                </c:pt>
                <c:pt idx="8">
                  <c:v>1.9552753156461151</c:v>
                </c:pt>
                <c:pt idx="9">
                  <c:v>1.009673757889487</c:v>
                </c:pt>
                <c:pt idx="10">
                  <c:v>1.8334753416720631</c:v>
                </c:pt>
                <c:pt idx="11">
                  <c:v>1.9264547413793103</c:v>
                </c:pt>
                <c:pt idx="12">
                  <c:v>1.7253869725779838</c:v>
                </c:pt>
                <c:pt idx="13">
                  <c:v>2.0301616716723112</c:v>
                </c:pt>
                <c:pt idx="14">
                  <c:v>1.7643230843716435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94-E64D-8E3A-629F42E21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0630071631671041"/>
          <c:y val="1.8259089141635074E-2"/>
          <c:w val="0.88536041393263332"/>
          <c:h val="0.1847027802080295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0641785323961"/>
          <c:y val="0.20936041517537585"/>
          <c:w val="0.86268657266986581"/>
          <c:h val="0.473296945836315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Static_Overhead_SPEC2017!$G$42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91F-2E4B-86D6-F3385D35D2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91F-2E4B-86D6-F3385D35D2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91F-2E4B-86D6-F3385D35D2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91F-2E4B-86D6-F3385D35D2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991F-2E4B-86D6-F3385D35D2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991F-2E4B-86D6-F3385D35D2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991F-2E4B-86D6-F3385D35D2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91F-2E4B-86D6-F3385D35D28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91F-2E4B-86D6-F3385D35D2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91F-2E4B-86D6-F3385D35D2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91F-2E4B-86D6-F3385D35D2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91F-2E4B-86D6-F3385D35D2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91F-2E4B-86D6-F3385D35D28D}"/>
                </c:ext>
              </c:extLst>
            </c:dLbl>
            <c:dLbl>
              <c:idx val="13"/>
              <c:layout>
                <c:manualLayout>
                  <c:x val="-2.8949863584257562E-2"/>
                  <c:y val="0.2155850831146106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991F-2E4B-86D6-F3385D35D28D}"/>
                </c:ext>
              </c:extLst>
            </c:dLbl>
            <c:spPr>
              <a:solidFill>
                <a:schemeClr val="accent5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Static_Overhead_SPEC2017!$G$43:$G$56</c:f>
              <c:numCache>
                <c:formatCode>_(* #,##0.00_);_(* \(#,##0.00\);_(* "-"??_);_(@_)</c:formatCode>
                <c:ptCount val="14"/>
                <c:pt idx="0">
                  <c:v>1.95703125</c:v>
                </c:pt>
                <c:pt idx="1">
                  <c:v>0.45703125</c:v>
                </c:pt>
                <c:pt idx="2">
                  <c:v>1.51953125</c:v>
                </c:pt>
                <c:pt idx="3">
                  <c:v>1.9609375</c:v>
                </c:pt>
                <c:pt idx="4">
                  <c:v>4.4453125</c:v>
                </c:pt>
                <c:pt idx="5">
                  <c:v>2.6171875</c:v>
                </c:pt>
                <c:pt idx="6">
                  <c:v>0.703125</c:v>
                </c:pt>
                <c:pt idx="7">
                  <c:v>2.40625</c:v>
                </c:pt>
                <c:pt idx="8">
                  <c:v>1.66796875</c:v>
                </c:pt>
                <c:pt idx="9">
                  <c:v>1.45703125</c:v>
                </c:pt>
                <c:pt idx="10">
                  <c:v>3.9921875</c:v>
                </c:pt>
                <c:pt idx="11">
                  <c:v>2.40234375</c:v>
                </c:pt>
                <c:pt idx="12">
                  <c:v>0.37109375</c:v>
                </c:pt>
                <c:pt idx="13" formatCode="_(* #,##0_);_(* \(#,##0\);_(* &quot;-&quot;??_);_(@_)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1F-2E4B-86D6-F3385D35D28D}"/>
            </c:ext>
          </c:extLst>
        </c:ser>
        <c:ser>
          <c:idx val="1"/>
          <c:order val="1"/>
          <c:tx>
            <c:strRef>
              <c:f>Static_Overhead_SPEC2017!$H$42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91F-2E4B-86D6-F3385D35D2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91F-2E4B-86D6-F3385D35D2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991F-2E4B-86D6-F3385D35D2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91F-2E4B-86D6-F3385D35D2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91F-2E4B-86D6-F3385D35D2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91F-2E4B-86D6-F3385D35D2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91F-2E4B-86D6-F3385D35D2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91F-2E4B-86D6-F3385D35D28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91F-2E4B-86D6-F3385D35D2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91F-2E4B-86D6-F3385D35D2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91F-2E4B-86D6-F3385D35D2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91F-2E4B-86D6-F3385D35D2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91F-2E4B-86D6-F3385D35D28D}"/>
                </c:ext>
              </c:extLst>
            </c:dLbl>
            <c:dLbl>
              <c:idx val="13"/>
              <c:layout>
                <c:manualLayout>
                  <c:x val="4.4113690605337381E-2"/>
                  <c:y val="0.215717410323709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991F-2E4B-86D6-F3385D35D28D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bg1"/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Static_Overhead_SPEC2017!$H$43:$H$56</c:f>
              <c:numCache>
                <c:formatCode>_(* #,##0.00_);_(* \(#,##0.00\);_(* "-"??_);_(@_)</c:formatCode>
                <c:ptCount val="14"/>
                <c:pt idx="0">
                  <c:v>1.796875</c:v>
                </c:pt>
                <c:pt idx="1">
                  <c:v>0.515625</c:v>
                </c:pt>
                <c:pt idx="2">
                  <c:v>1.15625</c:v>
                </c:pt>
                <c:pt idx="3">
                  <c:v>1.58984375</c:v>
                </c:pt>
                <c:pt idx="4">
                  <c:v>3.67578125</c:v>
                </c:pt>
                <c:pt idx="5">
                  <c:v>2.44140625</c:v>
                </c:pt>
                <c:pt idx="6">
                  <c:v>0.6484375</c:v>
                </c:pt>
                <c:pt idx="7">
                  <c:v>2.32421875</c:v>
                </c:pt>
                <c:pt idx="8">
                  <c:v>1.53515625</c:v>
                </c:pt>
                <c:pt idx="9">
                  <c:v>1.39453125</c:v>
                </c:pt>
                <c:pt idx="10">
                  <c:v>3.359375</c:v>
                </c:pt>
                <c:pt idx="11">
                  <c:v>2.34765625</c:v>
                </c:pt>
                <c:pt idx="12">
                  <c:v>0.19140625</c:v>
                </c:pt>
                <c:pt idx="13" formatCode="_(* #,##0_);_(* \(#,##0\);_(* &quot;-&quot;??_);_(@_)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91F-2E4B-86D6-F3385D35D28D}"/>
            </c:ext>
          </c:extLst>
        </c:ser>
        <c:ser>
          <c:idx val="2"/>
          <c:order val="2"/>
          <c:tx>
            <c:strRef>
              <c:f>Static_Overhead_SPEC2017!$I$42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991F-2E4B-86D6-F3385D35D2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991F-2E4B-86D6-F3385D35D2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91F-2E4B-86D6-F3385D35D2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991F-2E4B-86D6-F3385D35D2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991F-2E4B-86D6-F3385D35D2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991F-2E4B-86D6-F3385D35D2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991F-2E4B-86D6-F3385D35D2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991F-2E4B-86D6-F3385D35D28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991F-2E4B-86D6-F3385D35D2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991F-2E4B-86D6-F3385D35D2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991F-2E4B-86D6-F3385D35D2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991F-2E4B-86D6-F3385D35D2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991F-2E4B-86D6-F3385D35D28D}"/>
                </c:ext>
              </c:extLst>
            </c:dLbl>
            <c:dLbl>
              <c:idx val="13"/>
              <c:layout>
                <c:manualLayout>
                  <c:x val="-6.791026799671431E-3"/>
                  <c:y val="0.21513414989792942"/>
                </c:manualLayout>
              </c:layout>
              <c:spPr>
                <a:solidFill>
                  <a:schemeClr val="accent5">
                    <a:lumMod val="75000"/>
                  </a:schemeClr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200" b="0" i="0" u="none" strike="noStrike" kern="1200" baseline="0">
                      <a:solidFill>
                        <a:schemeClr val="bg1"/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469733130831E-2"/>
                      <c:h val="4.468370273160299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7-991F-2E4B-86D6-F3385D35D28D}"/>
                </c:ext>
              </c:extLst>
            </c:dLbl>
            <c:spPr>
              <a:solidFill>
                <a:schemeClr val="accent5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bg1"/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Static_Overhead_SPEC2017!$I$43:$I$56</c:f>
              <c:numCache>
                <c:formatCode>_(* #,##0.00_);_(* \(#,##0.00\);_(* "-"??_);_(@_)</c:formatCode>
                <c:ptCount val="14"/>
                <c:pt idx="0">
                  <c:v>1.93359375</c:v>
                </c:pt>
                <c:pt idx="1">
                  <c:v>1.21875</c:v>
                </c:pt>
                <c:pt idx="2">
                  <c:v>3.70703125</c:v>
                </c:pt>
                <c:pt idx="3">
                  <c:v>2.04296875</c:v>
                </c:pt>
                <c:pt idx="4">
                  <c:v>13.62890625</c:v>
                </c:pt>
                <c:pt idx="5">
                  <c:v>7.55859375</c:v>
                </c:pt>
                <c:pt idx="6">
                  <c:v>1.9453125</c:v>
                </c:pt>
                <c:pt idx="7">
                  <c:v>2.91796875</c:v>
                </c:pt>
                <c:pt idx="8">
                  <c:v>1.75390625</c:v>
                </c:pt>
                <c:pt idx="9">
                  <c:v>1.65625</c:v>
                </c:pt>
                <c:pt idx="10">
                  <c:v>13.20703125</c:v>
                </c:pt>
                <c:pt idx="11">
                  <c:v>7.21875</c:v>
                </c:pt>
                <c:pt idx="12">
                  <c:v>0.5390625</c:v>
                </c:pt>
                <c:pt idx="13" formatCode="_(* #,##0_);_(* \(#,##0\);_(* &quot;-&quot;??_);_(@_)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91F-2E4B-86D6-F3385D35D28D}"/>
            </c:ext>
          </c:extLst>
        </c:ser>
        <c:ser>
          <c:idx val="3"/>
          <c:order val="3"/>
          <c:tx>
            <c:strRef>
              <c:f>Static_Overhead_SPEC2017!$J$42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991F-2E4B-86D6-F3385D35D2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991F-2E4B-86D6-F3385D35D2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991F-2E4B-86D6-F3385D35D2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991F-2E4B-86D6-F3385D35D2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991F-2E4B-86D6-F3385D35D2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991F-2E4B-86D6-F3385D35D2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991F-2E4B-86D6-F3385D35D2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991F-2E4B-86D6-F3385D35D28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91F-2E4B-86D6-F3385D35D2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91F-2E4B-86D6-F3385D35D2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91F-2E4B-86D6-F3385D35D2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991F-2E4B-86D6-F3385D35D2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991F-2E4B-86D6-F3385D35D28D}"/>
                </c:ext>
              </c:extLst>
            </c:dLbl>
            <c:dLbl>
              <c:idx val="13"/>
              <c:layout>
                <c:manualLayout>
                  <c:x val="1.097749524637691E-3"/>
                  <c:y val="0.2159819432293185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991F-2E4B-86D6-F3385D35D28D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Static_Overhead_SPEC2017!$J$43:$J$56</c:f>
              <c:numCache>
                <c:formatCode>_(* #,##0.00_);_(* \(#,##0.00\);_(* "-"??_);_(@_)</c:formatCode>
                <c:ptCount val="14"/>
                <c:pt idx="0">
                  <c:v>1.7734375</c:v>
                </c:pt>
                <c:pt idx="1">
                  <c:v>0.4609375</c:v>
                </c:pt>
                <c:pt idx="2">
                  <c:v>1.1796875</c:v>
                </c:pt>
                <c:pt idx="3">
                  <c:v>1.6171875</c:v>
                </c:pt>
                <c:pt idx="4">
                  <c:v>3.921875</c:v>
                </c:pt>
                <c:pt idx="5">
                  <c:v>2.64453125</c:v>
                </c:pt>
                <c:pt idx="6">
                  <c:v>0.63671875</c:v>
                </c:pt>
                <c:pt idx="7">
                  <c:v>2.4609375</c:v>
                </c:pt>
                <c:pt idx="8">
                  <c:v>1.609375</c:v>
                </c:pt>
                <c:pt idx="9">
                  <c:v>1.3046875</c:v>
                </c:pt>
                <c:pt idx="10">
                  <c:v>3.56640625</c:v>
                </c:pt>
                <c:pt idx="11">
                  <c:v>2.3671875</c:v>
                </c:pt>
                <c:pt idx="12">
                  <c:v>0.2421875</c:v>
                </c:pt>
                <c:pt idx="13" formatCode="_(* #,##0_);_(* \(#,##0\);_(* &quot;-&quot;??_);_(@_)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91F-2E4B-86D6-F3385D35D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 </a:t>
                </a:r>
              </a:p>
              <a:p>
                <a:pPr>
                  <a:defRPr/>
                </a:pPr>
                <a:r>
                  <a:rPr lang="en-US"/>
                  <a:t>Difference from Native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063007130264931"/>
          <c:y val="3.1076115485564313E-3"/>
          <c:w val="0.8718926130007193"/>
          <c:h val="0.1850240992603197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744001976896502"/>
          <c:y val="0.20936041517537585"/>
          <c:w val="0.79495298796706482"/>
          <c:h val="0.473296945836315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Static_Overhead_SPEC2017!$B$61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Static_Overhead_SPEC2017!$A$62:$A$76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Static_Overhead_SPEC2017!$B$62:$B$76</c:f>
              <c:numCache>
                <c:formatCode>_(* #,##0.000_);_(* \(#,##0.000\);_(* "-"??_);_(@_)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508-114B-A6B2-74140125AD84}"/>
            </c:ext>
          </c:extLst>
        </c:ser>
        <c:ser>
          <c:idx val="1"/>
          <c:order val="1"/>
          <c:tx>
            <c:strRef>
              <c:f>Static_Overhead_SPEC2017!$C$61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Static_Overhead_SPEC2017!$A$62:$A$76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Static_Overhead_SPEC2017!$C$62:$C$76</c:f>
              <c:numCache>
                <c:formatCode>_(* #,##0.000_);_(* \(#,##0.000\);_(* "-"??_);_(@_)</c:formatCode>
                <c:ptCount val="15"/>
                <c:pt idx="0">
                  <c:v>1.0032116002230813</c:v>
                </c:pt>
                <c:pt idx="1">
                  <c:v>1.002810000720513</c:v>
                </c:pt>
                <c:pt idx="2">
                  <c:v>1.0036687729887768</c:v>
                </c:pt>
                <c:pt idx="3">
                  <c:v>1.0047764488720159</c:v>
                </c:pt>
                <c:pt idx="4">
                  <c:v>1.0092776781346813</c:v>
                </c:pt>
                <c:pt idx="5">
                  <c:v>1.0167550265079524</c:v>
                </c:pt>
                <c:pt idx="6">
                  <c:v>1.0260454348140646</c:v>
                </c:pt>
                <c:pt idx="7">
                  <c:v>1.0033162674763527</c:v>
                </c:pt>
                <c:pt idx="8">
                  <c:v>1.0004210368550224</c:v>
                </c:pt>
                <c:pt idx="9">
                  <c:v>1.0004518145258976</c:v>
                </c:pt>
                <c:pt idx="10">
                  <c:v>1.0083256621019445</c:v>
                </c:pt>
                <c:pt idx="11">
                  <c:v>1.0153558052434457</c:v>
                </c:pt>
                <c:pt idx="12">
                  <c:v>1.013550135501355</c:v>
                </c:pt>
                <c:pt idx="13">
                  <c:v>1.0294970989004282</c:v>
                </c:pt>
                <c:pt idx="14">
                  <c:v>1.0097793737615448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D508-114B-A6B2-74140125AD84}"/>
            </c:ext>
          </c:extLst>
        </c:ser>
        <c:ser>
          <c:idx val="2"/>
          <c:order val="2"/>
          <c:tx>
            <c:strRef>
              <c:f>Static_Overhead_SPEC2017!$D$61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Static_Overhead_SPEC2017!$A$62:$A$76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Static_Overhead_SPEC2017!$D$62:$D$76</c:f>
              <c:numCache>
                <c:formatCode>_(* #,##0.000_);_(* \(#,##0.000\);_(* "-"??_);_(@_)</c:formatCode>
                <c:ptCount val="15"/>
                <c:pt idx="0">
                  <c:v>1.0029487746559229</c:v>
                </c:pt>
                <c:pt idx="1">
                  <c:v>1.0031702572231429</c:v>
                </c:pt>
                <c:pt idx="2">
                  <c:v>1.0027916627369613</c:v>
                </c:pt>
                <c:pt idx="3">
                  <c:v>1.0038725392249213</c:v>
                </c:pt>
                <c:pt idx="4">
                  <c:v>1.0076716125876406</c:v>
                </c:pt>
                <c:pt idx="5">
                  <c:v>1.015629688906672</c:v>
                </c:pt>
                <c:pt idx="6">
                  <c:v>1.0240196787729707</c:v>
                </c:pt>
                <c:pt idx="7">
                  <c:v>1.0032032129032953</c:v>
                </c:pt>
                <c:pt idx="8">
                  <c:v>1.0003875116721868</c:v>
                </c:pt>
                <c:pt idx="9">
                  <c:v>1.0004324337419448</c:v>
                </c:pt>
                <c:pt idx="10">
                  <c:v>1.0070059387550609</c:v>
                </c:pt>
                <c:pt idx="11">
                  <c:v>1.0150062421972534</c:v>
                </c:pt>
                <c:pt idx="12">
                  <c:v>1.0069890172585936</c:v>
                </c:pt>
                <c:pt idx="13">
                  <c:v>1.0008193784718369</c:v>
                </c:pt>
                <c:pt idx="14">
                  <c:v>1.0066885036996243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D508-114B-A6B2-74140125AD84}"/>
            </c:ext>
          </c:extLst>
        </c:ser>
        <c:ser>
          <c:idx val="3"/>
          <c:order val="3"/>
          <c:tx>
            <c:strRef>
              <c:f>Static_Overhead_SPEC2017!$E$61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Static_Overhead_SPEC2017!$A$62:$A$76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Static_Overhead_SPEC2017!$E$62:$E$76</c:f>
              <c:numCache>
                <c:formatCode>_(* #,##0.000_);_(* \(#,##0.000\);_(* "-"??_);_(@_)</c:formatCode>
                <c:ptCount val="15"/>
                <c:pt idx="0">
                  <c:v>1.0031731379449604</c:v>
                </c:pt>
                <c:pt idx="1">
                  <c:v>1.0074933352547013</c:v>
                </c:pt>
                <c:pt idx="2">
                  <c:v>1.0089502970857305</c:v>
                </c:pt>
                <c:pt idx="3">
                  <c:v>1.0049762604782158</c:v>
                </c:pt>
                <c:pt idx="4">
                  <c:v>1.0284444806782977</c:v>
                </c:pt>
                <c:pt idx="5">
                  <c:v>1.0483895168550565</c:v>
                </c:pt>
                <c:pt idx="6">
                  <c:v>1.072059036318912</c:v>
                </c:pt>
                <c:pt idx="7">
                  <c:v>1.0040215126701875</c:v>
                </c:pt>
                <c:pt idx="8">
                  <c:v>1.0004427296203864</c:v>
                </c:pt>
                <c:pt idx="9">
                  <c:v>1.0005135907747469</c:v>
                </c:pt>
                <c:pt idx="10">
                  <c:v>1.0275431150358851</c:v>
                </c:pt>
                <c:pt idx="11">
                  <c:v>1.0461423220973782</c:v>
                </c:pt>
                <c:pt idx="12">
                  <c:v>1.0196833547282842</c:v>
                </c:pt>
                <c:pt idx="13">
                  <c:v>1.032522880782142</c:v>
                </c:pt>
                <c:pt idx="14">
                  <c:v>1.0215239857027005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B-D508-114B-A6B2-74140125AD84}"/>
            </c:ext>
          </c:extLst>
        </c:ser>
        <c:ser>
          <c:idx val="4"/>
          <c:order val="4"/>
          <c:tx>
            <c:strRef>
              <c:f>Static_Overhead_SPEC2017!$F$61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Static_Overhead_SPEC2017!$A$62:$A$76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Static_Overhead_SPEC2017!$F$62:$F$76</c:f>
              <c:numCache>
                <c:formatCode>_(* #,##0.000_);_(* \(#,##0.000\);_(* "-"??_);_(@_)</c:formatCode>
                <c:ptCount val="15"/>
                <c:pt idx="0">
                  <c:v>1.002910312377802</c:v>
                </c:pt>
                <c:pt idx="1">
                  <c:v>1.0028340178206883</c:v>
                </c:pt>
                <c:pt idx="2">
                  <c:v>1.0028482504951428</c:v>
                </c:pt>
                <c:pt idx="3">
                  <c:v>1.0039391430936546</c:v>
                </c:pt>
                <c:pt idx="4">
                  <c:v>1.0081852274580141</c:v>
                </c:pt>
                <c:pt idx="5">
                  <c:v>1.016930079023707</c:v>
                </c:pt>
                <c:pt idx="6">
                  <c:v>1.0235855881927363</c:v>
                </c:pt>
                <c:pt idx="7">
                  <c:v>1.0033916371917244</c:v>
                </c:pt>
                <c:pt idx="8">
                  <c:v>1.0004062463331831</c:v>
                </c:pt>
                <c:pt idx="9">
                  <c:v>1.0004045738650129</c:v>
                </c:pt>
                <c:pt idx="10">
                  <c:v>1.0074377000969426</c:v>
                </c:pt>
                <c:pt idx="11">
                  <c:v>1.0151310861423222</c:v>
                </c:pt>
                <c:pt idx="12">
                  <c:v>1.0088432463272001</c:v>
                </c:pt>
                <c:pt idx="13">
                  <c:v>1.0180805132071185</c:v>
                </c:pt>
                <c:pt idx="14">
                  <c:v>1.0081841357978394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C-D508-114B-A6B2-74140125AD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 </a:t>
                </a:r>
              </a:p>
              <a:p>
                <a:pPr>
                  <a:defRPr/>
                </a:pPr>
                <a:r>
                  <a:rPr lang="en-US"/>
                  <a:t>Difference from Native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_);_(* \(#,##0.00\);_(* &quot;-&quot;??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.0000000000000004E-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063007130264931"/>
          <c:y val="3.1076115485564313E-3"/>
          <c:w val="0.84039760745745096"/>
          <c:h val="0.18514617964421115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050274667013279"/>
          <c:y val="0.19776854282103626"/>
          <c:w val="0.85189024265103264"/>
          <c:h val="0.409576164090599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Static_Overhead_Splash3!$B$16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Static_Overhead_Splash3!$B$17:$B$29</c:f>
              <c:numCache>
                <c:formatCode>_(* #,##0.00_);_(* \(#,##0.00\);_(* "-"??_);_(@_)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5E-5847-AE4A-75628940829F}"/>
            </c:ext>
          </c:extLst>
        </c:ser>
        <c:ser>
          <c:idx val="1"/>
          <c:order val="1"/>
          <c:tx>
            <c:strRef>
              <c:f>Static_Overhead_Splash3!$C$16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Static_Overhead_Splash3!$C$17:$C$29</c:f>
              <c:numCache>
                <c:formatCode>_(* #,##0.00_);_(* \(#,##0.00\);_(* "-"??_);_(@_)</c:formatCode>
                <c:ptCount val="13"/>
                <c:pt idx="0">
                  <c:v>2.1923076923076925</c:v>
                </c:pt>
                <c:pt idx="1">
                  <c:v>1.0454545454545454</c:v>
                </c:pt>
                <c:pt idx="2">
                  <c:v>1.0241137304300882</c:v>
                </c:pt>
                <c:pt idx="3">
                  <c:v>0.93181818181818177</c:v>
                </c:pt>
                <c:pt idx="4">
                  <c:v>1.7817142857142858</c:v>
                </c:pt>
                <c:pt idx="5">
                  <c:v>1.5210866752910737</c:v>
                </c:pt>
                <c:pt idx="6">
                  <c:v>1.0066334991708126</c:v>
                </c:pt>
                <c:pt idx="7">
                  <c:v>0.97901168969181718</c:v>
                </c:pt>
                <c:pt idx="8">
                  <c:v>2.6774193548387095</c:v>
                </c:pt>
                <c:pt idx="9">
                  <c:v>1.3530031612223392</c:v>
                </c:pt>
                <c:pt idx="10">
                  <c:v>1.3771186440677967</c:v>
                </c:pt>
                <c:pt idx="11">
                  <c:v>1.5</c:v>
                </c:pt>
                <c:pt idx="12">
                  <c:v>1.3699916755751029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5E-5847-AE4A-75628940829F}"/>
            </c:ext>
          </c:extLst>
        </c:ser>
        <c:ser>
          <c:idx val="2"/>
          <c:order val="2"/>
          <c:tx>
            <c:strRef>
              <c:f>Static_Overhead_Splash3!$D$16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Static_Overhead_Splash3!$D$17:$D$29</c:f>
              <c:numCache>
                <c:formatCode>_(* #,##0.00_);_(* \(#,##0.00\);_(* "-"??_);_(@_)</c:formatCode>
                <c:ptCount val="13"/>
                <c:pt idx="0">
                  <c:v>2.7307692307692308</c:v>
                </c:pt>
                <c:pt idx="1">
                  <c:v>1.0909090909090908</c:v>
                </c:pt>
                <c:pt idx="2">
                  <c:v>1.1693359726471118</c:v>
                </c:pt>
                <c:pt idx="3">
                  <c:v>0.95454545454545459</c:v>
                </c:pt>
                <c:pt idx="4">
                  <c:v>1.8213333333333332</c:v>
                </c:pt>
                <c:pt idx="5">
                  <c:v>1.4271668822768435</c:v>
                </c:pt>
                <c:pt idx="6">
                  <c:v>1.0071862907683804</c:v>
                </c:pt>
                <c:pt idx="7">
                  <c:v>0.98591923485653565</c:v>
                </c:pt>
                <c:pt idx="8">
                  <c:v>3.161290322580645</c:v>
                </c:pt>
                <c:pt idx="9">
                  <c:v>1.3582718651211803</c:v>
                </c:pt>
                <c:pt idx="10">
                  <c:v>1.4682203389830508</c:v>
                </c:pt>
                <c:pt idx="11">
                  <c:v>1.537037037037037</c:v>
                </c:pt>
                <c:pt idx="12">
                  <c:v>1.4454263140532051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5E-5847-AE4A-75628940829F}"/>
            </c:ext>
          </c:extLst>
        </c:ser>
        <c:ser>
          <c:idx val="3"/>
          <c:order val="3"/>
          <c:tx>
            <c:strRef>
              <c:f>Static_Overhead_Splash3!$E$16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1037839020122485E-3"/>
                  <c:y val="0.2339650772820064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38B-CB49-94B8-E2C4B1109F1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38B-CB49-94B8-E2C4B1109F1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338B-CB49-94B8-E2C4B1109F1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38B-CB49-94B8-E2C4B1109F11}"/>
                </c:ext>
              </c:extLst>
            </c:dLbl>
            <c:dLbl>
              <c:idx val="4"/>
              <c:layout>
                <c:manualLayout>
                  <c:x val="2.3676727909011375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338B-CB49-94B8-E2C4B1109F11}"/>
                </c:ext>
              </c:extLst>
            </c:dLbl>
            <c:dLbl>
              <c:idx val="5"/>
              <c:layout>
                <c:manualLayout>
                  <c:x val="1.4387849956255469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38B-CB49-94B8-E2C4B1109F1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338B-CB49-94B8-E2C4B1109F1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38B-CB49-94B8-E2C4B1109F11}"/>
                </c:ext>
              </c:extLst>
            </c:dLbl>
            <c:dLbl>
              <c:idx val="8"/>
              <c:layout>
                <c:manualLayout>
                  <c:x val="6.3156167979002624E-4"/>
                  <c:y val="0.238594706911636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338B-CB49-94B8-E2C4B1109F11}"/>
                </c:ext>
              </c:extLst>
            </c:dLbl>
            <c:dLbl>
              <c:idx val="9"/>
              <c:layout>
                <c:manualLayout>
                  <c:x val="7.5152422353455817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38B-CB49-94B8-E2C4B1109F11}"/>
                </c:ext>
              </c:extLst>
            </c:dLbl>
            <c:dLbl>
              <c:idx val="10"/>
              <c:layout>
                <c:manualLayout>
                  <c:x val="7.5152422353455817E-3"/>
                  <c:y val="0.235508287158549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338B-CB49-94B8-E2C4B1109F11}"/>
                </c:ext>
              </c:extLst>
            </c:dLbl>
            <c:dLbl>
              <c:idx val="11"/>
              <c:layout>
                <c:manualLayout>
                  <c:x val="1.1855485837707659E-2"/>
                  <c:y val="0.1901715757752502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38B-CB49-94B8-E2C4B1109F1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338B-CB49-94B8-E2C4B1109F11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Static_Overhead_Splash3!$A$17:$A$29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Static_Overhead_Splash3!$E$17:$E$29</c:f>
              <c:numCache>
                <c:formatCode>_(* #,##0.00_);_(* \(#,##0.00\);_(* "-"??_);_(@_)</c:formatCode>
                <c:ptCount val="13"/>
                <c:pt idx="0">
                  <c:v>15.76923076923077</c:v>
                </c:pt>
                <c:pt idx="1">
                  <c:v>2.6363636363636362</c:v>
                </c:pt>
                <c:pt idx="2">
                  <c:v>2.5805290624437647</c:v>
                </c:pt>
                <c:pt idx="3">
                  <c:v>1.7045454545454546</c:v>
                </c:pt>
                <c:pt idx="4">
                  <c:v>11.063619047619047</c:v>
                </c:pt>
                <c:pt idx="5">
                  <c:v>7.9055627425614485</c:v>
                </c:pt>
                <c:pt idx="6">
                  <c:v>1.0182421227197347</c:v>
                </c:pt>
                <c:pt idx="7">
                  <c:v>0.98618490967056327</c:v>
                </c:pt>
                <c:pt idx="8">
                  <c:v>28.838709677419356</c:v>
                </c:pt>
                <c:pt idx="9">
                  <c:v>8.1707060063224439</c:v>
                </c:pt>
                <c:pt idx="10">
                  <c:v>6.8919491525423728</c:v>
                </c:pt>
                <c:pt idx="11">
                  <c:v>6.2777777777777777</c:v>
                </c:pt>
                <c:pt idx="12">
                  <c:v>4.8362973995012819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5E-5847-AE4A-75628940829F}"/>
            </c:ext>
          </c:extLst>
        </c:ser>
        <c:ser>
          <c:idx val="4"/>
          <c:order val="4"/>
          <c:tx>
            <c:strRef>
              <c:f>Static_Overhead_Splash3!$F$16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Static_Overhead_Splash3!$A$17:$A$29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Static_Overhead_Splash3!$F$17:$F$29</c:f>
              <c:numCache>
                <c:formatCode>_(* #,##0.00_);_(* \(#,##0.00\);_(* "-"??_);_(@_)</c:formatCode>
                <c:ptCount val="13"/>
                <c:pt idx="0">
                  <c:v>2.8461538461538463</c:v>
                </c:pt>
                <c:pt idx="1">
                  <c:v>1.1363636363636365</c:v>
                </c:pt>
                <c:pt idx="2">
                  <c:v>1.1182292603922981</c:v>
                </c:pt>
                <c:pt idx="3">
                  <c:v>0.97727272727272729</c:v>
                </c:pt>
                <c:pt idx="4">
                  <c:v>1.7344761904761905</c:v>
                </c:pt>
                <c:pt idx="5">
                  <c:v>1.5060802069857697</c:v>
                </c:pt>
                <c:pt idx="6">
                  <c:v>1.007739082365948</c:v>
                </c:pt>
                <c:pt idx="7">
                  <c:v>1.0092986184909671</c:v>
                </c:pt>
                <c:pt idx="8">
                  <c:v>3.4193548387096775</c:v>
                </c:pt>
                <c:pt idx="9">
                  <c:v>1.3909378292939938</c:v>
                </c:pt>
                <c:pt idx="10">
                  <c:v>1.6271186440677967</c:v>
                </c:pt>
                <c:pt idx="11">
                  <c:v>1.6851851851851851</c:v>
                </c:pt>
                <c:pt idx="12">
                  <c:v>1.4928016562932125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5E-5847-AE4A-756289408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3842239203157816"/>
          <c:y val="1.596431775142031E-2"/>
          <c:w val="0.85387701211544909"/>
          <c:h val="0.1582680810731991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42679625984251"/>
          <c:y val="0.19776854282103626"/>
          <c:w val="0.84496616633858268"/>
          <c:h val="0.40803295421405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Static_Overhead_Splash3!$G$37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Static_Overhead_Splash3!$G$38:$G$50</c:f>
              <c:numCache>
                <c:formatCode>_(* #,##0.0_);_(* \(#,##0.0\);_(* "-"??_);_(@_)</c:formatCode>
                <c:ptCount val="13"/>
                <c:pt idx="0">
                  <c:v>1.8203125</c:v>
                </c:pt>
                <c:pt idx="1">
                  <c:v>2.48046875</c:v>
                </c:pt>
                <c:pt idx="2">
                  <c:v>1.95703125</c:v>
                </c:pt>
                <c:pt idx="3">
                  <c:v>1.703125</c:v>
                </c:pt>
                <c:pt idx="4">
                  <c:v>1.91015625</c:v>
                </c:pt>
                <c:pt idx="5">
                  <c:v>1.91796875</c:v>
                </c:pt>
                <c:pt idx="6">
                  <c:v>1.9921875</c:v>
                </c:pt>
                <c:pt idx="7">
                  <c:v>1.890625</c:v>
                </c:pt>
                <c:pt idx="8">
                  <c:v>1.80078125</c:v>
                </c:pt>
                <c:pt idx="9">
                  <c:v>2.140625</c:v>
                </c:pt>
                <c:pt idx="10">
                  <c:v>1.9453125</c:v>
                </c:pt>
                <c:pt idx="11">
                  <c:v>2.0234375</c:v>
                </c:pt>
                <c:pt idx="12" formatCode="0.0">
                  <c:v>1.956760001985304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8C-0148-BAC7-ACA04A6F8565}"/>
            </c:ext>
          </c:extLst>
        </c:ser>
        <c:ser>
          <c:idx val="1"/>
          <c:order val="1"/>
          <c:tx>
            <c:strRef>
              <c:f>Static_Overhead_Splash3!$H$37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Static_Overhead_Splash3!$H$38:$H$50</c:f>
              <c:numCache>
                <c:formatCode>_(* #,##0.0_);_(* \(#,##0.0\);_(* "-"??_);_(@_)</c:formatCode>
                <c:ptCount val="13"/>
                <c:pt idx="0">
                  <c:v>1.4921875</c:v>
                </c:pt>
                <c:pt idx="1">
                  <c:v>2.4140625</c:v>
                </c:pt>
                <c:pt idx="2">
                  <c:v>1.8828125</c:v>
                </c:pt>
                <c:pt idx="3">
                  <c:v>1.4140625</c:v>
                </c:pt>
                <c:pt idx="4">
                  <c:v>1.76953125</c:v>
                </c:pt>
                <c:pt idx="5">
                  <c:v>1.7734375</c:v>
                </c:pt>
                <c:pt idx="6">
                  <c:v>2.00390625</c:v>
                </c:pt>
                <c:pt idx="7">
                  <c:v>1.8828125</c:v>
                </c:pt>
                <c:pt idx="8">
                  <c:v>1.5234375</c:v>
                </c:pt>
                <c:pt idx="9">
                  <c:v>1.95703125</c:v>
                </c:pt>
                <c:pt idx="10">
                  <c:v>1.78125</c:v>
                </c:pt>
                <c:pt idx="11">
                  <c:v>1.890625</c:v>
                </c:pt>
                <c:pt idx="12" formatCode="0.0">
                  <c:v>1.7978215071329293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F8C-0148-BAC7-ACA04A6F8565}"/>
            </c:ext>
          </c:extLst>
        </c:ser>
        <c:ser>
          <c:idx val="2"/>
          <c:order val="2"/>
          <c:tx>
            <c:strRef>
              <c:f>Static_Overhead_Splash3!$I$37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Static_Overhead_Splash3!$I$38:$I$50</c:f>
              <c:numCache>
                <c:formatCode>_(* #,##0.0_);_(* \(#,##0.0\);_(* "-"??_);_(@_)</c:formatCode>
                <c:ptCount val="13"/>
                <c:pt idx="0">
                  <c:v>1.75390625</c:v>
                </c:pt>
                <c:pt idx="1">
                  <c:v>2.2421875</c:v>
                </c:pt>
                <c:pt idx="2">
                  <c:v>1.9765625</c:v>
                </c:pt>
                <c:pt idx="3">
                  <c:v>1.67578125</c:v>
                </c:pt>
                <c:pt idx="4">
                  <c:v>1.890625</c:v>
                </c:pt>
                <c:pt idx="5">
                  <c:v>2.05078125</c:v>
                </c:pt>
                <c:pt idx="6">
                  <c:v>2.07421875</c:v>
                </c:pt>
                <c:pt idx="7">
                  <c:v>1.94140625</c:v>
                </c:pt>
                <c:pt idx="8">
                  <c:v>2</c:v>
                </c:pt>
                <c:pt idx="9">
                  <c:v>1.9765625</c:v>
                </c:pt>
                <c:pt idx="10">
                  <c:v>1.98046875</c:v>
                </c:pt>
                <c:pt idx="11">
                  <c:v>2.03515625</c:v>
                </c:pt>
                <c:pt idx="12" formatCode="0.0">
                  <c:v>1.9613300523503259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F8C-0148-BAC7-ACA04A6F8565}"/>
            </c:ext>
          </c:extLst>
        </c:ser>
        <c:ser>
          <c:idx val="3"/>
          <c:order val="3"/>
          <c:tx>
            <c:strRef>
              <c:f>Static_Overhead_Splash3!$J$37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Static_Overhead_Splash3!$J$38:$J$50</c:f>
              <c:numCache>
                <c:formatCode>_(* #,##0.0_);_(* \(#,##0.0\);_(* "-"??_);_(@_)</c:formatCode>
                <c:ptCount val="13"/>
                <c:pt idx="0">
                  <c:v>1.48828125</c:v>
                </c:pt>
                <c:pt idx="1">
                  <c:v>2.3515625</c:v>
                </c:pt>
                <c:pt idx="2">
                  <c:v>1.6796875</c:v>
                </c:pt>
                <c:pt idx="3">
                  <c:v>1.50390625</c:v>
                </c:pt>
                <c:pt idx="4">
                  <c:v>1.796875</c:v>
                </c:pt>
                <c:pt idx="5">
                  <c:v>1.859375</c:v>
                </c:pt>
                <c:pt idx="6">
                  <c:v>1.90625</c:v>
                </c:pt>
                <c:pt idx="7">
                  <c:v>1.66796875</c:v>
                </c:pt>
                <c:pt idx="8">
                  <c:v>1.73046875</c:v>
                </c:pt>
                <c:pt idx="9">
                  <c:v>1.78125</c:v>
                </c:pt>
                <c:pt idx="10">
                  <c:v>1.73828125</c:v>
                </c:pt>
                <c:pt idx="11">
                  <c:v>1.76953125</c:v>
                </c:pt>
                <c:pt idx="12" formatCode="0.0">
                  <c:v>1.7611683046832285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F8C-0148-BAC7-ACA04A6F85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 </a:t>
                </a:r>
              </a:p>
              <a:p>
                <a:pPr>
                  <a:defRPr/>
                </a:pPr>
                <a:r>
                  <a:rPr lang="en-US"/>
                  <a:t>Difference from Native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4534722222222221"/>
          <c:y val="1.596431775142031E-2"/>
          <c:w val="0.84592136920384953"/>
          <c:h val="0.160223812932474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67212106299212"/>
          <c:y val="0.2491331291921843"/>
          <c:w val="0.85272077318460193"/>
          <c:h val="0.465086759988334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Dyn_Overhead_SPEC2017!$B$21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Dyn_Overhead_SPEC2017!$B$22:$B$36</c:f>
              <c:numCache>
                <c:formatCode>_(* #,##0.00_);_(* \(#,##0.00\);_(* "-"??_);_(@_)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C-084A-8FE5-233D7BA91360}"/>
            </c:ext>
          </c:extLst>
        </c:ser>
        <c:ser>
          <c:idx val="2"/>
          <c:order val="1"/>
          <c:tx>
            <c:strRef>
              <c:f>Dyn_Overhead_SPEC2017!$C$21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Dyn_Overhead_SPEC2017!$C$22:$C$36</c:f>
              <c:numCache>
                <c:formatCode>_(* #,##0.00_);_(* \(#,##0.00\);_(* "-"??_);_(@_)</c:formatCode>
                <c:ptCount val="15"/>
                <c:pt idx="0">
                  <c:v>1.8634275457117648</c:v>
                </c:pt>
                <c:pt idx="1">
                  <c:v>1.7180978051597997</c:v>
                </c:pt>
                <c:pt idx="2">
                  <c:v>2.6148801447308911</c:v>
                </c:pt>
                <c:pt idx="3">
                  <c:v>1.7126347598823914</c:v>
                </c:pt>
                <c:pt idx="4">
                  <c:v>1.871047380702763</c:v>
                </c:pt>
                <c:pt idx="5">
                  <c:v>2.0961695191524043</c:v>
                </c:pt>
                <c:pt idx="6">
                  <c:v>1.8667506363326249</c:v>
                </c:pt>
                <c:pt idx="7">
                  <c:v>1.745898226034813</c:v>
                </c:pt>
                <c:pt idx="8">
                  <c:v>1.872116296218266</c:v>
                </c:pt>
                <c:pt idx="9">
                  <c:v>1.051567578722892</c:v>
                </c:pt>
                <c:pt idx="10">
                  <c:v>1.8700453290617225</c:v>
                </c:pt>
                <c:pt idx="11">
                  <c:v>2.078753591954023</c:v>
                </c:pt>
                <c:pt idx="12">
                  <c:v>1.8705377019983762</c:v>
                </c:pt>
                <c:pt idx="13">
                  <c:v>2.0591411591795001</c:v>
                </c:pt>
                <c:pt idx="14">
                  <c:v>1.8476181560103755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CC-084A-8FE5-233D7BA91360}"/>
            </c:ext>
          </c:extLst>
        </c:ser>
        <c:ser>
          <c:idx val="3"/>
          <c:order val="2"/>
          <c:tx>
            <c:strRef>
              <c:f>Dyn_Overhead_SPEC2017!$D$21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Dyn_Overhead_SPEC2017!$D$22:$D$36</c:f>
              <c:numCache>
                <c:formatCode>_(* #,##0.00_);_(* \(#,##0.00\);_(* "-"??_);_(@_)</c:formatCode>
                <c:ptCount val="15"/>
                <c:pt idx="0">
                  <c:v>11.977851470990903</c:v>
                </c:pt>
                <c:pt idx="1">
                  <c:v>2.1906815556411243</c:v>
                </c:pt>
                <c:pt idx="2">
                  <c:v>4.5557816975727423</c:v>
                </c:pt>
                <c:pt idx="3">
                  <c:v>1.6963819013394315</c:v>
                </c:pt>
                <c:pt idx="4">
                  <c:v>7.6688761878994898</c:v>
                </c:pt>
                <c:pt idx="5">
                  <c:v>7.2963868513990766</c:v>
                </c:pt>
                <c:pt idx="6">
                  <c:v>7.2846571675982048</c:v>
                </c:pt>
                <c:pt idx="7">
                  <c:v>2.2697593070708755</c:v>
                </c:pt>
                <c:pt idx="8">
                  <c:v>11.527290785691713</c:v>
                </c:pt>
                <c:pt idx="9">
                  <c:v>1.0193905102584828</c:v>
                </c:pt>
                <c:pt idx="10">
                  <c:v>7.7165059132272251</c:v>
                </c:pt>
                <c:pt idx="11">
                  <c:v>7.2301544540229887</c:v>
                </c:pt>
                <c:pt idx="12">
                  <c:v>7.2107330871375819</c:v>
                </c:pt>
                <c:pt idx="13">
                  <c:v>2.6106140967473959</c:v>
                </c:pt>
                <c:pt idx="14">
                  <c:v>4.6655435097550528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CC-084A-8FE5-233D7BA91360}"/>
            </c:ext>
          </c:extLst>
        </c:ser>
        <c:ser>
          <c:idx val="4"/>
          <c:order val="3"/>
          <c:tx>
            <c:strRef>
              <c:f>Dyn_Overhead_SPEC2017!$E$21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Dyn_Overhead_SPEC2017!$E$22:$E$36</c:f>
              <c:numCache>
                <c:formatCode>_(* #,##0.00_);_(* \(#,##0.00\);_(* "-"??_);_(@_)</c:formatCode>
                <c:ptCount val="15"/>
                <c:pt idx="0">
                  <c:v>9.8078128327603515</c:v>
                </c:pt>
                <c:pt idx="1">
                  <c:v>1.9727762803234501</c:v>
                </c:pt>
                <c:pt idx="2">
                  <c:v>3.6053319262274486</c:v>
                </c:pt>
                <c:pt idx="3">
                  <c:v>1.7067134923227703</c:v>
                </c:pt>
                <c:pt idx="4">
                  <c:v>4.8612059927626907</c:v>
                </c:pt>
                <c:pt idx="5">
                  <c:v>5.6994476138730414</c:v>
                </c:pt>
                <c:pt idx="6">
                  <c:v>4.3248051641344567</c:v>
                </c:pt>
                <c:pt idx="7">
                  <c:v>2.0695427667194135</c:v>
                </c:pt>
                <c:pt idx="8">
                  <c:v>9.4144557643978271</c:v>
                </c:pt>
                <c:pt idx="9">
                  <c:v>1.0154694137272775</c:v>
                </c:pt>
                <c:pt idx="10">
                  <c:v>4.8336457516785387</c:v>
                </c:pt>
                <c:pt idx="11">
                  <c:v>5.6506824712643677</c:v>
                </c:pt>
                <c:pt idx="12">
                  <c:v>4.3492574840889446</c:v>
                </c:pt>
                <c:pt idx="13">
                  <c:v>2.4405393315866828</c:v>
                </c:pt>
                <c:pt idx="14">
                  <c:v>3.6745826883437345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CC-084A-8FE5-233D7BA91360}"/>
            </c:ext>
          </c:extLst>
        </c:ser>
        <c:ser>
          <c:idx val="5"/>
          <c:order val="4"/>
          <c:tx>
            <c:strRef>
              <c:f>Dyn_Overhead_SPEC2017!$F$21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Dyn_Overhead_SPEC2017!$F$22:$F$36</c:f>
              <c:numCache>
                <c:formatCode>_(* #,##0.00_);_(* \(#,##0.00\);_(* "-"??_);_(@_)</c:formatCode>
                <c:ptCount val="15"/>
                <c:pt idx="0">
                  <c:v>13.95844108430436</c:v>
                </c:pt>
                <c:pt idx="1">
                  <c:v>2.2666923373122834</c:v>
                </c:pt>
                <c:pt idx="2">
                  <c:v>4.9206241519674352</c:v>
                </c:pt>
                <c:pt idx="3">
                  <c:v>1.7083061091146685</c:v>
                </c:pt>
                <c:pt idx="4">
                  <c:v>8.8169704758361807</c:v>
                </c:pt>
                <c:pt idx="5">
                  <c:v>8.3346011047722541</c:v>
                </c:pt>
                <c:pt idx="6">
                  <c:v>8.2738723136267023</c:v>
                </c:pt>
                <c:pt idx="7">
                  <c:v>2.36886816023986</c:v>
                </c:pt>
                <c:pt idx="8">
                  <c:v>13.259394140043039</c:v>
                </c:pt>
                <c:pt idx="9">
                  <c:v>1.0154436170395722</c:v>
                </c:pt>
                <c:pt idx="10">
                  <c:v>8.8725673971575603</c:v>
                </c:pt>
                <c:pt idx="11">
                  <c:v>8.2584410919540225</c:v>
                </c:pt>
                <c:pt idx="12">
                  <c:v>8.301458840784683</c:v>
                </c:pt>
                <c:pt idx="13">
                  <c:v>2.7455108952648732</c:v>
                </c:pt>
                <c:pt idx="14">
                  <c:v>5.1245444978469061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CC-084A-8FE5-233D7BA91360}"/>
            </c:ext>
          </c:extLst>
        </c:ser>
        <c:ser>
          <c:idx val="1"/>
          <c:order val="5"/>
          <c:tx>
            <c:strRef>
              <c:f>Dyn_Overhead_SPEC2017!$G$21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Dyn_Overhead_SPEC2017!$G$22:$G$36</c:f>
              <c:numCache>
                <c:formatCode>_(* #,##0.00_);_(* \(#,##0.00\);_(* "-"??_);_(@_)</c:formatCode>
                <c:ptCount val="15"/>
                <c:pt idx="0">
                  <c:v>11.831817213788067</c:v>
                </c:pt>
                <c:pt idx="1">
                  <c:v>2.0347708894878704</c:v>
                </c:pt>
                <c:pt idx="2">
                  <c:v>3.9598723553947432</c:v>
                </c:pt>
                <c:pt idx="3">
                  <c:v>1.7029157138190134</c:v>
                </c:pt>
                <c:pt idx="4">
                  <c:v>5.9611079170753154</c:v>
                </c:pt>
                <c:pt idx="5">
                  <c:v>6.6386851399076336</c:v>
                </c:pt>
                <c:pt idx="6">
                  <c:v>5.1537432102652918</c:v>
                </c:pt>
                <c:pt idx="7">
                  <c:v>2.1584075955692512</c:v>
                </c:pt>
                <c:pt idx="8">
                  <c:v>11.355735805330243</c:v>
                </c:pt>
                <c:pt idx="9">
                  <c:v>1.0191669389650369</c:v>
                </c:pt>
                <c:pt idx="10">
                  <c:v>5.9641798166388327</c:v>
                </c:pt>
                <c:pt idx="11">
                  <c:v>6.5884518678160919</c:v>
                </c:pt>
                <c:pt idx="12">
                  <c:v>5.1725989366438805</c:v>
                </c:pt>
                <c:pt idx="13">
                  <c:v>2.5617611348967984</c:v>
                </c:pt>
                <c:pt idx="14">
                  <c:v>4.13737523717624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84-924A-9BF4-082FE7807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Relative</a:t>
                </a:r>
                <a:r>
                  <a:rPr lang="en-US" baseline="0"/>
                  <a:t> to Native </a:t>
                </a:r>
                <a:r>
                  <a:rPr lang="en-US"/>
                  <a:t>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909879429133858"/>
          <c:y val="2.9372752017108969E-2"/>
          <c:w val="0.86169694608486447"/>
          <c:h val="0.2119717847769029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530415848574877"/>
          <c:y val="0.2491331291921843"/>
          <c:w val="0.83708870776524558"/>
          <c:h val="0.4450250315932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Dyn_Overhead_SPEC2017!$H$42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Dyn_Overhead_SPEC2017!$H$43:$H$56</c:f>
              <c:numCache>
                <c:formatCode>_(* #,##0_);_(* \(#,##0\);_(* "-"??_);_(@_)</c:formatCode>
                <c:ptCount val="14"/>
                <c:pt idx="0">
                  <c:v>7.48828125</c:v>
                </c:pt>
                <c:pt idx="1">
                  <c:v>8.20703125</c:v>
                </c:pt>
                <c:pt idx="2">
                  <c:v>105.4453125</c:v>
                </c:pt>
                <c:pt idx="3">
                  <c:v>7.1171875</c:v>
                </c:pt>
                <c:pt idx="4">
                  <c:v>17.78125</c:v>
                </c:pt>
                <c:pt idx="5">
                  <c:v>11.984375</c:v>
                </c:pt>
                <c:pt idx="6">
                  <c:v>57.11328125</c:v>
                </c:pt>
                <c:pt idx="7">
                  <c:v>8.19921875</c:v>
                </c:pt>
                <c:pt idx="8">
                  <c:v>7.21875</c:v>
                </c:pt>
                <c:pt idx="9">
                  <c:v>8.03515625</c:v>
                </c:pt>
                <c:pt idx="10">
                  <c:v>17.32421875</c:v>
                </c:pt>
                <c:pt idx="11">
                  <c:v>11.71484375</c:v>
                </c:pt>
                <c:pt idx="12">
                  <c:v>56.8203125</c:v>
                </c:pt>
                <c:pt idx="1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F1-3C4E-A9FD-4221930020F9}"/>
            </c:ext>
          </c:extLst>
        </c:ser>
        <c:ser>
          <c:idx val="1"/>
          <c:order val="1"/>
          <c:tx>
            <c:strRef>
              <c:f>Dyn_Overhead_SPEC2017!$I$42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8F1-3C4E-A9FD-4221930020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F1-3C4E-A9FD-4221930020F9}"/>
                </c:ext>
              </c:extLst>
            </c:dLbl>
            <c:dLbl>
              <c:idx val="2"/>
              <c:layout>
                <c:manualLayout>
                  <c:x val="-3.8902722369197014E-2"/>
                  <c:y val="0.274637397273800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8F1-3C4E-A9FD-4221930020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F1-3C4E-A9FD-4221930020F9}"/>
                </c:ext>
              </c:extLst>
            </c:dLbl>
            <c:dLbl>
              <c:idx val="4"/>
              <c:layout>
                <c:manualLayout>
                  <c:x val="-2.8899120246276604E-2"/>
                  <c:y val="0.3484980512121981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F1-3C4E-A9FD-4221930020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F1-3C4E-A9FD-4221930020F9}"/>
                </c:ext>
              </c:extLst>
            </c:dLbl>
            <c:dLbl>
              <c:idx val="6"/>
              <c:layout>
                <c:manualLayout>
                  <c:x val="-3.3241911312273144E-2"/>
                  <c:y val="0.296638443127791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8F1-3C4E-A9FD-4221930020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F1-3C4E-A9FD-4221930020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F1-3C4E-A9FD-4221930020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F1-3C4E-A9FD-4221930020F9}"/>
                </c:ext>
              </c:extLst>
            </c:dLbl>
            <c:dLbl>
              <c:idx val="10"/>
              <c:layout>
                <c:manualLayout>
                  <c:x val="-3.1504794885874529E-2"/>
                  <c:y val="0.2604938677962351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8F1-3C4E-A9FD-4221930020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F1-3C4E-A9FD-4221930020F9}"/>
                </c:ext>
              </c:extLst>
            </c:dLbl>
            <c:dLbl>
              <c:idx val="12"/>
              <c:layout>
                <c:manualLayout>
                  <c:x val="-2.8899120246276732E-2"/>
                  <c:y val="0.313924979155926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8F1-3C4E-A9FD-4221930020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F1-3C4E-A9FD-4221930020F9}"/>
                </c:ext>
              </c:extLst>
            </c:dLbl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Dyn_Overhead_SPEC2017!$I$43:$I$56</c:f>
              <c:numCache>
                <c:formatCode>_(* #,##0_);_(* \(#,##0\);_(* "-"??_);_(@_)</c:formatCode>
                <c:ptCount val="14"/>
                <c:pt idx="0">
                  <c:v>54.671875</c:v>
                </c:pt>
                <c:pt idx="1">
                  <c:v>67.1953125</c:v>
                </c:pt>
                <c:pt idx="2">
                  <c:v>1380.61328125</c:v>
                </c:pt>
                <c:pt idx="3">
                  <c:v>51.30078125</c:v>
                </c:pt>
                <c:pt idx="4">
                  <c:v>242.8515625</c:v>
                </c:pt>
                <c:pt idx="5">
                  <c:v>113.21484375</c:v>
                </c:pt>
                <c:pt idx="6">
                  <c:v>298.70703125</c:v>
                </c:pt>
                <c:pt idx="7">
                  <c:v>52.9296875</c:v>
                </c:pt>
                <c:pt idx="8">
                  <c:v>54.03515625</c:v>
                </c:pt>
                <c:pt idx="9">
                  <c:v>66.70703125</c:v>
                </c:pt>
                <c:pt idx="10">
                  <c:v>241.95703125</c:v>
                </c:pt>
                <c:pt idx="11">
                  <c:v>112.9296875</c:v>
                </c:pt>
                <c:pt idx="12">
                  <c:v>298.203125</c:v>
                </c:pt>
                <c:pt idx="13">
                  <c:v>37.1875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8F1-3C4E-A9FD-4221930020F9}"/>
            </c:ext>
          </c:extLst>
        </c:ser>
        <c:ser>
          <c:idx val="2"/>
          <c:order val="2"/>
          <c:tx>
            <c:strRef>
              <c:f>Dyn_Overhead_SPEC2017!$J$42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Dyn_Overhead_SPEC2017!$J$43:$J$56</c:f>
              <c:numCache>
                <c:formatCode>_(* #,##0_);_(* \(#,##0\);_(* "-"??_);_(@_)</c:formatCode>
                <c:ptCount val="14"/>
                <c:pt idx="0">
                  <c:v>8.3359375</c:v>
                </c:pt>
                <c:pt idx="1">
                  <c:v>9.34765625</c:v>
                </c:pt>
                <c:pt idx="2">
                  <c:v>109.13671875</c:v>
                </c:pt>
                <c:pt idx="3">
                  <c:v>8.21484375</c:v>
                </c:pt>
                <c:pt idx="4">
                  <c:v>20.62890625</c:v>
                </c:pt>
                <c:pt idx="5">
                  <c:v>16.43359375</c:v>
                </c:pt>
                <c:pt idx="6">
                  <c:v>58.2109375</c:v>
                </c:pt>
                <c:pt idx="7">
                  <c:v>9.5390625</c:v>
                </c:pt>
                <c:pt idx="8">
                  <c:v>8.1171875</c:v>
                </c:pt>
                <c:pt idx="9">
                  <c:v>10.0859375</c:v>
                </c:pt>
                <c:pt idx="10">
                  <c:v>20.171875</c:v>
                </c:pt>
                <c:pt idx="11">
                  <c:v>16.20703125</c:v>
                </c:pt>
                <c:pt idx="12">
                  <c:v>57.7734375</c:v>
                </c:pt>
                <c:pt idx="1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8F1-3C4E-A9FD-4221930020F9}"/>
            </c:ext>
          </c:extLst>
        </c:ser>
        <c:ser>
          <c:idx val="3"/>
          <c:order val="3"/>
          <c:tx>
            <c:strRef>
              <c:f>Dyn_Overhead_SPEC2017!$K$42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AA-F747-80D7-B98211AA089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AA-F747-80D7-B98211AA089C}"/>
                </c:ext>
              </c:extLst>
            </c:dLbl>
            <c:dLbl>
              <c:idx val="2"/>
              <c:layout>
                <c:manualLayout>
                  <c:x val="3.4056167539544872E-2"/>
                  <c:y val="0.2762089005490856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4AA-F747-80D7-B98211AA089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4AA-F747-80D7-B98211AA089C}"/>
                </c:ext>
              </c:extLst>
            </c:dLbl>
            <c:dLbl>
              <c:idx val="4"/>
              <c:layout>
                <c:manualLayout>
                  <c:x val="1.9740139692884656E-2"/>
                  <c:y val="0.4019291625718900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4AA-F747-80D7-B98211AA089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4AA-F747-80D7-B98211AA089C}"/>
                </c:ext>
              </c:extLst>
            </c:dLbl>
            <c:dLbl>
              <c:idx val="6"/>
              <c:layout>
                <c:manualLayout>
                  <c:x val="3.1899954677674904E-2"/>
                  <c:y val="0.2997814496783614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4AA-F747-80D7-B98211AA089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4AA-F747-80D7-B98211AA089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4AA-F747-80D7-B98211AA089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4AA-F747-80D7-B98211AA089C}"/>
                </c:ext>
              </c:extLst>
            </c:dLbl>
            <c:dLbl>
              <c:idx val="10"/>
              <c:layout>
                <c:manualLayout>
                  <c:x val="2.9294280038077044E-2"/>
                  <c:y val="0.262065371071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4AA-F747-80D7-B98211AA089C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4AA-F747-80D7-B98211AA089C}"/>
                </c:ext>
              </c:extLst>
            </c:dLbl>
            <c:dLbl>
              <c:idx val="12"/>
              <c:layout>
                <c:manualLayout>
                  <c:x val="2.9294280038077044E-2"/>
                  <c:y val="0.313924979155926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4AA-F747-80D7-B98211AA089C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4AA-F747-80D7-B98211AA089C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Dyn_Overhead_SPEC2017!$K$43:$K$56</c:f>
              <c:numCache>
                <c:formatCode>_(* #,##0_);_(* \(#,##0\);_(* "-"??_);_(@_)</c:formatCode>
                <c:ptCount val="14"/>
                <c:pt idx="0">
                  <c:v>54.78125</c:v>
                </c:pt>
                <c:pt idx="1">
                  <c:v>67.359375</c:v>
                </c:pt>
                <c:pt idx="2">
                  <c:v>1382.62890625</c:v>
                </c:pt>
                <c:pt idx="3">
                  <c:v>51.62890625</c:v>
                </c:pt>
                <c:pt idx="4">
                  <c:v>244.703125</c:v>
                </c:pt>
                <c:pt idx="5">
                  <c:v>110.625</c:v>
                </c:pt>
                <c:pt idx="6">
                  <c:v>299.15234375</c:v>
                </c:pt>
                <c:pt idx="7">
                  <c:v>53.09375</c:v>
                </c:pt>
                <c:pt idx="8">
                  <c:v>54.34375</c:v>
                </c:pt>
                <c:pt idx="9">
                  <c:v>66.59765625</c:v>
                </c:pt>
                <c:pt idx="10">
                  <c:v>243.75</c:v>
                </c:pt>
                <c:pt idx="11">
                  <c:v>110.4140625</c:v>
                </c:pt>
                <c:pt idx="12">
                  <c:v>298.734375</c:v>
                </c:pt>
                <c:pt idx="13">
                  <c:v>52.69140625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8F1-3C4E-A9FD-4221930020F9}"/>
            </c:ext>
          </c:extLst>
        </c:ser>
        <c:ser>
          <c:idx val="4"/>
          <c:order val="4"/>
          <c:tx>
            <c:strRef>
              <c:f>Dyn_Overhead_SPEC2017!$L$42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Dyn_Overhead_SPEC2017!$L$43:$L$56</c:f>
              <c:numCache>
                <c:formatCode>_(* #,##0_);_(* \(#,##0\);_(* "-"??_);_(@_)</c:formatCode>
                <c:ptCount val="14"/>
                <c:pt idx="0">
                  <c:v>8.4296875</c:v>
                </c:pt>
                <c:pt idx="1">
                  <c:v>9.41796875</c:v>
                </c:pt>
                <c:pt idx="2">
                  <c:v>110.66796875</c:v>
                </c:pt>
                <c:pt idx="3">
                  <c:v>8.08984375</c:v>
                </c:pt>
                <c:pt idx="4">
                  <c:v>22.17578125</c:v>
                </c:pt>
                <c:pt idx="5">
                  <c:v>16.78125</c:v>
                </c:pt>
                <c:pt idx="6">
                  <c:v>58.375</c:v>
                </c:pt>
                <c:pt idx="7">
                  <c:v>9.62890625</c:v>
                </c:pt>
                <c:pt idx="8">
                  <c:v>8.171875</c:v>
                </c:pt>
                <c:pt idx="9">
                  <c:v>10.296875</c:v>
                </c:pt>
                <c:pt idx="10">
                  <c:v>21.703125</c:v>
                </c:pt>
                <c:pt idx="11">
                  <c:v>16.5546875</c:v>
                </c:pt>
                <c:pt idx="12">
                  <c:v>58.02734375</c:v>
                </c:pt>
                <c:pt idx="13">
                  <c:v>21.30859375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8F1-3C4E-A9FD-422193002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 Difference</a:t>
                </a:r>
                <a:r>
                  <a:rPr lang="en-US" baseline="0"/>
                  <a:t> </a:t>
                </a:r>
              </a:p>
              <a:p>
                <a:pPr>
                  <a:defRPr/>
                </a:pPr>
                <a:r>
                  <a:rPr lang="en-US" baseline="0"/>
                  <a:t>from Native </a:t>
                </a:r>
                <a:r>
                  <a:rPr lang="en-US"/>
                  <a:t>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5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47585165135608"/>
          <c:y val="3.0915961893652182E-2"/>
          <c:w val="0.86482481681977252"/>
          <c:h val="0.202144089627685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20376275882181397"/>
          <c:w val="0.84468068982763012"/>
          <c:h val="0.402020997375328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Dyn_Overhead_Splash3!$B$16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Dyn_Overhead_Splash3!$B$17:$B$29</c:f>
              <c:numCache>
                <c:formatCode>_(* #,##0.00_);_(* \(#,##0.00\);_(* "-"??_);_(@_)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E-5147-9617-421561E354A5}"/>
            </c:ext>
          </c:extLst>
        </c:ser>
        <c:ser>
          <c:idx val="1"/>
          <c:order val="1"/>
          <c:tx>
            <c:strRef>
              <c:f>Dyn_Overhead_Splash3!$C$16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Dyn_Overhead_Splash3!$C$17:$C$29</c:f>
              <c:numCache>
                <c:formatCode>_(* #,##0.00_);_(* \(#,##0.00\);_(* "-"??_);_(@_)</c:formatCode>
                <c:ptCount val="13"/>
                <c:pt idx="0">
                  <c:v>1.1153846153846154</c:v>
                </c:pt>
                <c:pt idx="1">
                  <c:v>1.4090909090909092</c:v>
                </c:pt>
                <c:pt idx="2">
                  <c:v>1.5463379521324456</c:v>
                </c:pt>
                <c:pt idx="3">
                  <c:v>1.2727272727272727</c:v>
                </c:pt>
                <c:pt idx="4">
                  <c:v>1.0331428571428571</c:v>
                </c:pt>
                <c:pt idx="5">
                  <c:v>1.0388098318240622</c:v>
                </c:pt>
                <c:pt idx="6">
                  <c:v>1.0334821428571428</c:v>
                </c:pt>
                <c:pt idx="7">
                  <c:v>1.0154091392136027</c:v>
                </c:pt>
                <c:pt idx="8">
                  <c:v>1.3225806451612903</c:v>
                </c:pt>
                <c:pt idx="9">
                  <c:v>1.0147523709167545</c:v>
                </c:pt>
                <c:pt idx="10">
                  <c:v>1.097457627118644</c:v>
                </c:pt>
                <c:pt idx="11">
                  <c:v>1.4259259259259258</c:v>
                </c:pt>
                <c:pt idx="12">
                  <c:v>1.1803910434964764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E-5147-9617-421561E354A5}"/>
            </c:ext>
          </c:extLst>
        </c:ser>
        <c:ser>
          <c:idx val="2"/>
          <c:order val="2"/>
          <c:tx>
            <c:strRef>
              <c:f>Dyn_Overhead_Splash3!$D$16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Dyn_Overhead_Splash3!$D$17:$D$29</c:f>
              <c:numCache>
                <c:formatCode>_(* #,##0.00_);_(* \(#,##0.00\);_(* "-"??_);_(@_)</c:formatCode>
                <c:ptCount val="13"/>
                <c:pt idx="0">
                  <c:v>14.76923076923077</c:v>
                </c:pt>
                <c:pt idx="1">
                  <c:v>3.3636363636363638</c:v>
                </c:pt>
                <c:pt idx="2">
                  <c:v>7.2513946373942773</c:v>
                </c:pt>
                <c:pt idx="3">
                  <c:v>2.3409090909090908</c:v>
                </c:pt>
                <c:pt idx="4">
                  <c:v>6.5039999999999996</c:v>
                </c:pt>
                <c:pt idx="5">
                  <c:v>5.0623544631306601</c:v>
                </c:pt>
                <c:pt idx="6">
                  <c:v>1.0758928571428572</c:v>
                </c:pt>
                <c:pt idx="7">
                  <c:v>1.0162061636556854</c:v>
                </c:pt>
                <c:pt idx="8">
                  <c:v>14</c:v>
                </c:pt>
                <c:pt idx="9">
                  <c:v>4.7692307692307692</c:v>
                </c:pt>
                <c:pt idx="10">
                  <c:v>4.6207627118644066</c:v>
                </c:pt>
                <c:pt idx="11">
                  <c:v>6.4814814814814818</c:v>
                </c:pt>
                <c:pt idx="12">
                  <c:v>4.4524778925966091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E-5147-9617-421561E354A5}"/>
            </c:ext>
          </c:extLst>
        </c:ser>
        <c:ser>
          <c:idx val="3"/>
          <c:order val="3"/>
          <c:tx>
            <c:strRef>
              <c:f>Dyn_Overhead_Splash3!$E$16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Dyn_Overhead_Splash3!$E$17:$E$29</c:f>
              <c:numCache>
                <c:formatCode>_(* #,##0.00_);_(* \(#,##0.00\);_(* "-"??_);_(@_)</c:formatCode>
                <c:ptCount val="13"/>
                <c:pt idx="0">
                  <c:v>14.23076923076923</c:v>
                </c:pt>
                <c:pt idx="1">
                  <c:v>3.0909090909090908</c:v>
                </c:pt>
                <c:pt idx="2">
                  <c:v>6.1943494691380243</c:v>
                </c:pt>
                <c:pt idx="3">
                  <c:v>2.1363636363636362</c:v>
                </c:pt>
                <c:pt idx="4">
                  <c:v>5.7344761904761903</c:v>
                </c:pt>
                <c:pt idx="5">
                  <c:v>4.5068564036222512</c:v>
                </c:pt>
                <c:pt idx="6">
                  <c:v>1.0714285714285714</c:v>
                </c:pt>
                <c:pt idx="7">
                  <c:v>1.0185972369819341</c:v>
                </c:pt>
                <c:pt idx="8">
                  <c:v>12.096774193548388</c:v>
                </c:pt>
                <c:pt idx="9">
                  <c:v>4.3076923076923075</c:v>
                </c:pt>
                <c:pt idx="10">
                  <c:v>4.1716101694915251</c:v>
                </c:pt>
                <c:pt idx="11">
                  <c:v>5.7777777777777777</c:v>
                </c:pt>
                <c:pt idx="12">
                  <c:v>4.0693476148817931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EE-5147-9617-421561E354A5}"/>
            </c:ext>
          </c:extLst>
        </c:ser>
        <c:ser>
          <c:idx val="4"/>
          <c:order val="4"/>
          <c:tx>
            <c:strRef>
              <c:f>Dyn_Overhead_Splash3!$F$16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8860728346456693E-2"/>
                  <c:y val="0.139971080003888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46-D648-86BC-6D3F98F1401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46-D648-86BC-6D3F98F1401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E46-D648-86BC-6D3F98F1401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46-D648-86BC-6D3F98F1401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E46-D648-86BC-6D3F98F1401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46-D648-86BC-6D3F98F1401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E46-D648-86BC-6D3F98F1401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46-D648-86BC-6D3F98F14014}"/>
                </c:ext>
              </c:extLst>
            </c:dLbl>
            <c:dLbl>
              <c:idx val="8"/>
              <c:layout>
                <c:manualLayout>
                  <c:x val="-3.6694827209098863E-2"/>
                  <c:y val="0.142589068727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E46-D648-86BC-6D3F98F1401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E46-D648-86BC-6D3F98F1401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46-D648-86BC-6D3F98F1401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E46-D648-86BC-6D3F98F1401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46-D648-86BC-6D3F98F1401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Dyn_Overhead_Splash3!$F$17:$F$29</c:f>
              <c:numCache>
                <c:formatCode>_(* #,##0.00_);_(* \(#,##0.00\);_(* "-"??_);_(@_)</c:formatCode>
                <c:ptCount val="13"/>
                <c:pt idx="0">
                  <c:v>20.846153846153847</c:v>
                </c:pt>
                <c:pt idx="1">
                  <c:v>4.5</c:v>
                </c:pt>
                <c:pt idx="2">
                  <c:v>10.853158178873493</c:v>
                </c:pt>
                <c:pt idx="3">
                  <c:v>3.1363636363636362</c:v>
                </c:pt>
                <c:pt idx="4">
                  <c:v>9.0712380952380958</c:v>
                </c:pt>
                <c:pt idx="5">
                  <c:v>6.6631306597671411</c:v>
                </c:pt>
                <c:pt idx="6">
                  <c:v>1.1551339285714286</c:v>
                </c:pt>
                <c:pt idx="7">
                  <c:v>1.0209883103081827</c:v>
                </c:pt>
                <c:pt idx="8">
                  <c:v>21.516129032258064</c:v>
                </c:pt>
                <c:pt idx="9">
                  <c:v>6.3308746048472075</c:v>
                </c:pt>
                <c:pt idx="10">
                  <c:v>6.1652542372881358</c:v>
                </c:pt>
                <c:pt idx="11">
                  <c:v>9.3148148148148149</c:v>
                </c:pt>
                <c:pt idx="12">
                  <c:v>5.9003939039676796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EE-5147-9617-421561E354A5}"/>
            </c:ext>
          </c:extLst>
        </c:ser>
        <c:ser>
          <c:idx val="5"/>
          <c:order val="5"/>
          <c:tx>
            <c:strRef>
              <c:f>Dyn_Overhead_Splash3!$G$16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Dyn_Overhead_Splash3!$G$17:$G$29</c:f>
              <c:numCache>
                <c:formatCode>_(* #,##0.00_);_(* \(#,##0.00\);_(* "-"??_);_(@_)</c:formatCode>
                <c:ptCount val="13"/>
                <c:pt idx="0">
                  <c:v>17.73076923076923</c:v>
                </c:pt>
                <c:pt idx="1">
                  <c:v>3.9545454545454546</c:v>
                </c:pt>
                <c:pt idx="2">
                  <c:v>9.534640993341732</c:v>
                </c:pt>
                <c:pt idx="3">
                  <c:v>2.7954545454545454</c:v>
                </c:pt>
                <c:pt idx="4">
                  <c:v>6.8994285714285715</c:v>
                </c:pt>
                <c:pt idx="5">
                  <c:v>5.0401034928848638</c:v>
                </c:pt>
                <c:pt idx="6">
                  <c:v>1.1238839285714286</c:v>
                </c:pt>
                <c:pt idx="7">
                  <c:v>0.99123273113708821</c:v>
                </c:pt>
                <c:pt idx="8">
                  <c:v>16.903225806451612</c:v>
                </c:pt>
                <c:pt idx="9">
                  <c:v>5.8177028451001052</c:v>
                </c:pt>
                <c:pt idx="10">
                  <c:v>4.9110169491525424</c:v>
                </c:pt>
                <c:pt idx="11">
                  <c:v>7.5185185185185182</c:v>
                </c:pt>
                <c:pt idx="12">
                  <c:v>5.0309069677068088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EE-5147-9617-421561E35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6661595034995631"/>
          <c:h val="0.1672187226596675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9317555731646"/>
          <c:y val="0.22470287745983708"/>
          <c:w val="0.84549974214608736"/>
          <c:h val="0.381080849671593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Dyn_Overhead_Splash3!$H$33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Dyn_Overhead_Splash3!$H$34:$H$46</c:f>
              <c:numCache>
                <c:formatCode>_(* #,##0.0_);_(* \(#,##0.0\);_(* "-"??_);_(@_)</c:formatCode>
                <c:ptCount val="13"/>
                <c:pt idx="0">
                  <c:v>7.6015625</c:v>
                </c:pt>
                <c:pt idx="1">
                  <c:v>8.31640625</c:v>
                </c:pt>
                <c:pt idx="2">
                  <c:v>7.421875</c:v>
                </c:pt>
                <c:pt idx="3">
                  <c:v>7.9140625</c:v>
                </c:pt>
                <c:pt idx="4">
                  <c:v>7.453125</c:v>
                </c:pt>
                <c:pt idx="5">
                  <c:v>7.45703125</c:v>
                </c:pt>
                <c:pt idx="6">
                  <c:v>8.07421875</c:v>
                </c:pt>
                <c:pt idx="7">
                  <c:v>7.734375</c:v>
                </c:pt>
                <c:pt idx="8">
                  <c:v>7.8515625</c:v>
                </c:pt>
                <c:pt idx="9">
                  <c:v>7.53125</c:v>
                </c:pt>
                <c:pt idx="10">
                  <c:v>7.7578125</c:v>
                </c:pt>
                <c:pt idx="11">
                  <c:v>8.0390625</c:v>
                </c:pt>
                <c:pt idx="12" formatCode="0.0">
                  <c:v>7.7579290223578559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8-2945-8492-6F664603998D}"/>
            </c:ext>
          </c:extLst>
        </c:ser>
        <c:ser>
          <c:idx val="1"/>
          <c:order val="1"/>
          <c:tx>
            <c:strRef>
              <c:f>Dyn_Overhead_Splash3!$I$33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98-2945-8492-6F66460399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98-2945-8492-6F66460399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98-2945-8492-6F66460399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98-2945-8492-6F66460399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98-2945-8492-6F66460399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98-2945-8492-6F66460399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98-2945-8492-6F66460399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98-2945-8492-6F664603998D}"/>
                </c:ext>
              </c:extLst>
            </c:dLbl>
            <c:dLbl>
              <c:idx val="8"/>
              <c:layout>
                <c:manualLayout>
                  <c:x val="-3.1170177422225109E-2"/>
                  <c:y val="0.23491079875682749"/>
                </c:manualLayout>
              </c:layout>
              <c:spPr>
                <a:solidFill>
                  <a:schemeClr val="accent4">
                    <a:lumMod val="60000"/>
                    <a:lumOff val="40000"/>
                  </a:schemeClr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98-2945-8492-6F66460399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98-2945-8492-6F66460399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98-2945-8492-6F66460399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098-2945-8492-6F66460399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98-2945-8492-6F664603998D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Dyn_Overhead_Splash3!$I$34:$I$46</c:f>
              <c:numCache>
                <c:formatCode>_(* #,##0.0_);_(* \(#,##0.0\);_(* "-"??_);_(@_)</c:formatCode>
                <c:ptCount val="13"/>
                <c:pt idx="0">
                  <c:v>56.1171875</c:v>
                </c:pt>
                <c:pt idx="1">
                  <c:v>64.94140625</c:v>
                </c:pt>
                <c:pt idx="2">
                  <c:v>53.46484375</c:v>
                </c:pt>
                <c:pt idx="3">
                  <c:v>62.7890625</c:v>
                </c:pt>
                <c:pt idx="4">
                  <c:v>54.55078125</c:v>
                </c:pt>
                <c:pt idx="5">
                  <c:v>54.65234375</c:v>
                </c:pt>
                <c:pt idx="6">
                  <c:v>58.08203125</c:v>
                </c:pt>
                <c:pt idx="7">
                  <c:v>56.39453125</c:v>
                </c:pt>
                <c:pt idx="8">
                  <c:v>303.7109375</c:v>
                </c:pt>
                <c:pt idx="9">
                  <c:v>52.95703125</c:v>
                </c:pt>
                <c:pt idx="10">
                  <c:v>57.65234375</c:v>
                </c:pt>
                <c:pt idx="11">
                  <c:v>58.46875</c:v>
                </c:pt>
                <c:pt idx="12" formatCode="0.0">
                  <c:v>65.707549857590024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98-2945-8492-6F664603998D}"/>
            </c:ext>
          </c:extLst>
        </c:ser>
        <c:ser>
          <c:idx val="2"/>
          <c:order val="2"/>
          <c:tx>
            <c:strRef>
              <c:f>Dyn_Overhead_Splash3!$J$33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98-2945-8492-6F66460399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98-2945-8492-6F66460399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98-2945-8492-6F66460399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98-2945-8492-6F66460399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98-2945-8492-6F66460399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98-2945-8492-6F66460399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98-2945-8492-6F66460399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98-2945-8492-6F664603998D}"/>
                </c:ext>
              </c:extLst>
            </c:dLbl>
            <c:dLbl>
              <c:idx val="8"/>
              <c:layout>
                <c:manualLayout>
                  <c:x val="3.1561276335741503E-2"/>
                  <c:y val="0.233415072235935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98-2945-8492-6F66460399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98-2945-8492-6F66460399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98-2945-8492-6F66460399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98-2945-8492-6F66460399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98-2945-8492-6F664603998D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Dyn_Overhead_Splash3!$J$34:$J$46</c:f>
              <c:numCache>
                <c:formatCode>_(* #,##0.0_);_(* \(#,##0.0\);_(* "-"??_);_(@_)</c:formatCode>
                <c:ptCount val="13"/>
                <c:pt idx="0">
                  <c:v>56.359375</c:v>
                </c:pt>
                <c:pt idx="1">
                  <c:v>65.10546875</c:v>
                </c:pt>
                <c:pt idx="2">
                  <c:v>53.5234375</c:v>
                </c:pt>
                <c:pt idx="3">
                  <c:v>63.0625</c:v>
                </c:pt>
                <c:pt idx="4">
                  <c:v>54.87890625</c:v>
                </c:pt>
                <c:pt idx="5">
                  <c:v>54.54296875</c:v>
                </c:pt>
                <c:pt idx="6">
                  <c:v>58.0703125</c:v>
                </c:pt>
                <c:pt idx="7">
                  <c:v>56.484375</c:v>
                </c:pt>
                <c:pt idx="8">
                  <c:v>304.41796875</c:v>
                </c:pt>
                <c:pt idx="9">
                  <c:v>53.1328125</c:v>
                </c:pt>
                <c:pt idx="10">
                  <c:v>57.76953125</c:v>
                </c:pt>
                <c:pt idx="11">
                  <c:v>58.69921875</c:v>
                </c:pt>
                <c:pt idx="12" formatCode="0.0">
                  <c:v>65.867950232364592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098-2945-8492-6F664603998D}"/>
            </c:ext>
          </c:extLst>
        </c:ser>
        <c:ser>
          <c:idx val="3"/>
          <c:order val="3"/>
          <c:tx>
            <c:strRef>
              <c:f>Dyn_Overhead_Splash3!$K$33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Dyn_Overhead_Splash3!$K$34:$K$46</c:f>
              <c:numCache>
                <c:formatCode>_(* #,##0.0_);_(* \(#,##0.0\);_(* "-"??_);_(@_)</c:formatCode>
                <c:ptCount val="13"/>
                <c:pt idx="0">
                  <c:v>8.34375</c:v>
                </c:pt>
                <c:pt idx="1">
                  <c:v>9.44140625</c:v>
                </c:pt>
                <c:pt idx="2">
                  <c:v>8.23828125</c:v>
                </c:pt>
                <c:pt idx="3">
                  <c:v>8.74609375</c:v>
                </c:pt>
                <c:pt idx="4">
                  <c:v>8.14453125</c:v>
                </c:pt>
                <c:pt idx="5">
                  <c:v>8.171875</c:v>
                </c:pt>
                <c:pt idx="6">
                  <c:v>9.09765625</c:v>
                </c:pt>
                <c:pt idx="7">
                  <c:v>8.8359375</c:v>
                </c:pt>
                <c:pt idx="8">
                  <c:v>9.13671875</c:v>
                </c:pt>
                <c:pt idx="9">
                  <c:v>8.16796875</c:v>
                </c:pt>
                <c:pt idx="10">
                  <c:v>8.4296875</c:v>
                </c:pt>
                <c:pt idx="11">
                  <c:v>8.828125</c:v>
                </c:pt>
                <c:pt idx="12" formatCode="0.0">
                  <c:v>8.6215148237372947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098-2945-8492-6F664603998D}"/>
            </c:ext>
          </c:extLst>
        </c:ser>
        <c:ser>
          <c:idx val="4"/>
          <c:order val="4"/>
          <c:tx>
            <c:strRef>
              <c:f>Dyn_Overhead_Splash3!$L$33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Dyn_Overhead_Splash3!$L$34:$L$46</c:f>
              <c:numCache>
                <c:formatCode>_(* #,##0.0_);_(* \(#,##0.0\);_(* "-"??_);_(@_)</c:formatCode>
                <c:ptCount val="13"/>
                <c:pt idx="0">
                  <c:v>8.35546875</c:v>
                </c:pt>
                <c:pt idx="1">
                  <c:v>9.45703125</c:v>
                </c:pt>
                <c:pt idx="2">
                  <c:v>8.22265625</c:v>
                </c:pt>
                <c:pt idx="3">
                  <c:v>8.7890625</c:v>
                </c:pt>
                <c:pt idx="4">
                  <c:v>8.19921875</c:v>
                </c:pt>
                <c:pt idx="5">
                  <c:v>8.3046875</c:v>
                </c:pt>
                <c:pt idx="6">
                  <c:v>9.11328125</c:v>
                </c:pt>
                <c:pt idx="7">
                  <c:v>8.8671875</c:v>
                </c:pt>
                <c:pt idx="8">
                  <c:v>9.1875</c:v>
                </c:pt>
                <c:pt idx="9">
                  <c:v>8.265625</c:v>
                </c:pt>
                <c:pt idx="10">
                  <c:v>8.60546875</c:v>
                </c:pt>
                <c:pt idx="11">
                  <c:v>8.82421875</c:v>
                </c:pt>
                <c:pt idx="12" formatCode="0.0">
                  <c:v>8.6732137773689146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098-2945-8492-6F6646039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</a:t>
                </a:r>
              </a:p>
              <a:p>
                <a:pPr>
                  <a:defRPr/>
                </a:pPr>
                <a:r>
                  <a:rPr lang="en-US"/>
                  <a:t>Difference from</a:t>
                </a:r>
                <a:r>
                  <a:rPr lang="en-US" baseline="0"/>
                  <a:t> Native</a:t>
                </a:r>
                <a:r>
                  <a:rPr lang="en-US"/>
                  <a:t>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7842429919715992"/>
          <c:h val="0.1794712830518756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20376275882181397"/>
          <c:w val="0.84468068982763012"/>
          <c:h val="0.402020997375328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'Dyn_Overhead_Splash3-analysis'!$B$16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'Dyn_Overhead_Splash3-analysis'!$B$17:$B$29</c:f>
              <c:numCache>
                <c:formatCode>_(* #,##0.00_);_(* \(#,##0.00\);_(* "-"??_);_(@_)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AB-1F40-84E0-6D5C081B5B94}"/>
            </c:ext>
          </c:extLst>
        </c:ser>
        <c:ser>
          <c:idx val="1"/>
          <c:order val="1"/>
          <c:tx>
            <c:strRef>
              <c:f>'Dyn_Overhead_Splash3-analysis'!$C$16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'Dyn_Overhead_Splash3-analysis'!$C$17:$C$29</c:f>
              <c:numCache>
                <c:formatCode>_(* #,##0.00_);_(* \(#,##0.00\);_(* "-"??_);_(@_)</c:formatCode>
                <c:ptCount val="13"/>
                <c:pt idx="0">
                  <c:v>1.1153846153846154</c:v>
                </c:pt>
                <c:pt idx="1">
                  <c:v>1.4090909090909092</c:v>
                </c:pt>
                <c:pt idx="2">
                  <c:v>1.5463379521324456</c:v>
                </c:pt>
                <c:pt idx="3">
                  <c:v>1.2727272727272727</c:v>
                </c:pt>
                <c:pt idx="4">
                  <c:v>1.0331428571428571</c:v>
                </c:pt>
                <c:pt idx="5">
                  <c:v>1.0388098318240622</c:v>
                </c:pt>
                <c:pt idx="6">
                  <c:v>1.0334821428571428</c:v>
                </c:pt>
                <c:pt idx="7">
                  <c:v>1.0154091392136027</c:v>
                </c:pt>
                <c:pt idx="8">
                  <c:v>1.3225806451612903</c:v>
                </c:pt>
                <c:pt idx="9">
                  <c:v>1.0147523709167545</c:v>
                </c:pt>
                <c:pt idx="10">
                  <c:v>1.097457627118644</c:v>
                </c:pt>
                <c:pt idx="11">
                  <c:v>1.4259259259259258</c:v>
                </c:pt>
                <c:pt idx="12">
                  <c:v>1.1803910434964764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AB-1F40-84E0-6D5C081B5B94}"/>
            </c:ext>
          </c:extLst>
        </c:ser>
        <c:ser>
          <c:idx val="2"/>
          <c:order val="2"/>
          <c:tx>
            <c:strRef>
              <c:f>'Dyn_Overhead_Splash3-analysis'!$D$16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'Dyn_Overhead_Splash3-analysis'!$D$17:$D$29</c:f>
              <c:numCache>
                <c:formatCode>_(* #,##0.00_);_(* \(#,##0.00\);_(* "-"??_);_(@_)</c:formatCode>
                <c:ptCount val="13"/>
                <c:pt idx="0">
                  <c:v>14.76923076923077</c:v>
                </c:pt>
                <c:pt idx="1">
                  <c:v>3.3636363636363638</c:v>
                </c:pt>
                <c:pt idx="2">
                  <c:v>7.2513946373942773</c:v>
                </c:pt>
                <c:pt idx="3">
                  <c:v>2.3409090909090908</c:v>
                </c:pt>
                <c:pt idx="4">
                  <c:v>6.5039999999999996</c:v>
                </c:pt>
                <c:pt idx="5">
                  <c:v>5.0623544631306601</c:v>
                </c:pt>
                <c:pt idx="6">
                  <c:v>1.0758928571428572</c:v>
                </c:pt>
                <c:pt idx="7">
                  <c:v>1.0162061636556854</c:v>
                </c:pt>
                <c:pt idx="8">
                  <c:v>14</c:v>
                </c:pt>
                <c:pt idx="9">
                  <c:v>4.7692307692307692</c:v>
                </c:pt>
                <c:pt idx="10">
                  <c:v>4.6207627118644066</c:v>
                </c:pt>
                <c:pt idx="11">
                  <c:v>6.4814814814814818</c:v>
                </c:pt>
                <c:pt idx="12">
                  <c:v>4.4524778925966091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AB-1F40-84E0-6D5C081B5B94}"/>
            </c:ext>
          </c:extLst>
        </c:ser>
        <c:ser>
          <c:idx val="3"/>
          <c:order val="3"/>
          <c:tx>
            <c:strRef>
              <c:f>'Dyn_Overhead_Splash3-analysis'!$E$16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'Dyn_Overhead_Splash3-analysis'!$E$17:$E$29</c:f>
              <c:numCache>
                <c:formatCode>_(* #,##0.00_);_(* \(#,##0.00\);_(* "-"??_);_(@_)</c:formatCode>
                <c:ptCount val="13"/>
                <c:pt idx="0">
                  <c:v>14.23076923076923</c:v>
                </c:pt>
                <c:pt idx="1">
                  <c:v>3.0909090909090908</c:v>
                </c:pt>
                <c:pt idx="2">
                  <c:v>6.1943494691380243</c:v>
                </c:pt>
                <c:pt idx="3">
                  <c:v>2.1363636363636362</c:v>
                </c:pt>
                <c:pt idx="4">
                  <c:v>5.7344761904761903</c:v>
                </c:pt>
                <c:pt idx="5">
                  <c:v>4.5068564036222512</c:v>
                </c:pt>
                <c:pt idx="6">
                  <c:v>1.0714285714285714</c:v>
                </c:pt>
                <c:pt idx="7">
                  <c:v>1.0185972369819341</c:v>
                </c:pt>
                <c:pt idx="8">
                  <c:v>12.096774193548388</c:v>
                </c:pt>
                <c:pt idx="9">
                  <c:v>4.3076923076923075</c:v>
                </c:pt>
                <c:pt idx="10">
                  <c:v>4.1716101694915251</c:v>
                </c:pt>
                <c:pt idx="11">
                  <c:v>5.7777777777777777</c:v>
                </c:pt>
                <c:pt idx="12">
                  <c:v>4.0693476148817931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3AB-1F40-84E0-6D5C081B5B94}"/>
            </c:ext>
          </c:extLst>
        </c:ser>
        <c:ser>
          <c:idx val="4"/>
          <c:order val="4"/>
          <c:tx>
            <c:strRef>
              <c:f>'Dyn_Overhead_Splash3-analysis'!$F$16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8860728346456693E-2"/>
                  <c:y val="0.139971080003888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AB-1F40-84E0-6D5C081B5B9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AB-1F40-84E0-6D5C081B5B9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AB-1F40-84E0-6D5C081B5B9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AB-1F40-84E0-6D5C081B5B9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3AB-1F40-84E0-6D5C081B5B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3AB-1F40-84E0-6D5C081B5B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3AB-1F40-84E0-6D5C081B5B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3AB-1F40-84E0-6D5C081B5B94}"/>
                </c:ext>
              </c:extLst>
            </c:dLbl>
            <c:dLbl>
              <c:idx val="8"/>
              <c:layout>
                <c:manualLayout>
                  <c:x val="-3.6694827209098863E-2"/>
                  <c:y val="0.142589068727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3AB-1F40-84E0-6D5C081B5B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3AB-1F40-84E0-6D5C081B5B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3AB-1F40-84E0-6D5C081B5B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3AB-1F40-84E0-6D5C081B5B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3AB-1F40-84E0-6D5C081B5B9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'Dyn_Overhead_Splash3-analysis'!$F$17:$F$29</c:f>
              <c:numCache>
                <c:formatCode>_(* #,##0.00_);_(* \(#,##0.00\);_(* "-"??_);_(@_)</c:formatCode>
                <c:ptCount val="13"/>
                <c:pt idx="0">
                  <c:v>20.846153846153847</c:v>
                </c:pt>
                <c:pt idx="1">
                  <c:v>4.5</c:v>
                </c:pt>
                <c:pt idx="2">
                  <c:v>10.853158178873493</c:v>
                </c:pt>
                <c:pt idx="3">
                  <c:v>3.1363636363636362</c:v>
                </c:pt>
                <c:pt idx="4">
                  <c:v>9.0712380952380958</c:v>
                </c:pt>
                <c:pt idx="5">
                  <c:v>6.6631306597671411</c:v>
                </c:pt>
                <c:pt idx="6">
                  <c:v>1.1551339285714286</c:v>
                </c:pt>
                <c:pt idx="7">
                  <c:v>1.0209883103081827</c:v>
                </c:pt>
                <c:pt idx="8">
                  <c:v>21.516129032258064</c:v>
                </c:pt>
                <c:pt idx="9">
                  <c:v>6.3308746048472075</c:v>
                </c:pt>
                <c:pt idx="10">
                  <c:v>6.1652542372881358</c:v>
                </c:pt>
                <c:pt idx="11">
                  <c:v>9.3148148148148149</c:v>
                </c:pt>
                <c:pt idx="12">
                  <c:v>5.9003939039676796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3AB-1F40-84E0-6D5C081B5B94}"/>
            </c:ext>
          </c:extLst>
        </c:ser>
        <c:ser>
          <c:idx val="5"/>
          <c:order val="5"/>
          <c:tx>
            <c:strRef>
              <c:f>'Dyn_Overhead_Splash3-analysis'!$G$16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'Dyn_Overhead_Splash3-analysis'!$G$17:$G$29</c:f>
              <c:numCache>
                <c:formatCode>_(* #,##0.00_);_(* \(#,##0.00\);_(* "-"??_);_(@_)</c:formatCode>
                <c:ptCount val="13"/>
                <c:pt idx="0">
                  <c:v>17.73076923076923</c:v>
                </c:pt>
                <c:pt idx="1">
                  <c:v>3.9545454545454546</c:v>
                </c:pt>
                <c:pt idx="2">
                  <c:v>9.534640993341732</c:v>
                </c:pt>
                <c:pt idx="3">
                  <c:v>2.7954545454545454</c:v>
                </c:pt>
                <c:pt idx="4">
                  <c:v>6.8994285714285715</c:v>
                </c:pt>
                <c:pt idx="5">
                  <c:v>5.0401034928848638</c:v>
                </c:pt>
                <c:pt idx="6">
                  <c:v>1.1238839285714286</c:v>
                </c:pt>
                <c:pt idx="7">
                  <c:v>0.99123273113708821</c:v>
                </c:pt>
                <c:pt idx="8">
                  <c:v>16.903225806451612</c:v>
                </c:pt>
                <c:pt idx="9">
                  <c:v>5.8177028451001052</c:v>
                </c:pt>
                <c:pt idx="10">
                  <c:v>4.9110169491525424</c:v>
                </c:pt>
                <c:pt idx="11">
                  <c:v>7.5185185185185182</c:v>
                </c:pt>
                <c:pt idx="12">
                  <c:v>5.0309069677068088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3AB-1F40-84E0-6D5C081B5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6661595034995631"/>
          <c:h val="0.1672187226596675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9317555731646"/>
          <c:y val="0.22470287745983708"/>
          <c:w val="0.84549974214608736"/>
          <c:h val="0.381080849671593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'Dyn_Overhead_Splash3-analysis'!$H$33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'Dyn_Overhead_Splash3-analysis'!$H$34:$H$46</c:f>
              <c:numCache>
                <c:formatCode>_(* #,##0.0_);_(* \(#,##0.0\);_(* "-"??_);_(@_)</c:formatCode>
                <c:ptCount val="13"/>
                <c:pt idx="0">
                  <c:v>7.6015625</c:v>
                </c:pt>
                <c:pt idx="1">
                  <c:v>8.31640625</c:v>
                </c:pt>
                <c:pt idx="2">
                  <c:v>7.421875</c:v>
                </c:pt>
                <c:pt idx="3">
                  <c:v>7.9140625</c:v>
                </c:pt>
                <c:pt idx="4">
                  <c:v>7.453125</c:v>
                </c:pt>
                <c:pt idx="5">
                  <c:v>7.45703125</c:v>
                </c:pt>
                <c:pt idx="6">
                  <c:v>8.07421875</c:v>
                </c:pt>
                <c:pt idx="7">
                  <c:v>7.734375</c:v>
                </c:pt>
                <c:pt idx="8">
                  <c:v>7.8515625</c:v>
                </c:pt>
                <c:pt idx="9">
                  <c:v>7.53125</c:v>
                </c:pt>
                <c:pt idx="10">
                  <c:v>7.7578125</c:v>
                </c:pt>
                <c:pt idx="11">
                  <c:v>8.0390625</c:v>
                </c:pt>
                <c:pt idx="12" formatCode="0.0">
                  <c:v>7.7579290223578559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9D-4C4D-889D-468F6484D7A0}"/>
            </c:ext>
          </c:extLst>
        </c:ser>
        <c:ser>
          <c:idx val="1"/>
          <c:order val="1"/>
          <c:tx>
            <c:strRef>
              <c:f>'Dyn_Overhead_Splash3-analysis'!$I$33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B9D-4C4D-889D-468F6484D7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B9D-4C4D-889D-468F6484D7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B9D-4C4D-889D-468F6484D7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B9D-4C4D-889D-468F6484D7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B9D-4C4D-889D-468F6484D7A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B9D-4C4D-889D-468F6484D7A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B9D-4C4D-889D-468F6484D7A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B9D-4C4D-889D-468F6484D7A0}"/>
                </c:ext>
              </c:extLst>
            </c:dLbl>
            <c:dLbl>
              <c:idx val="8"/>
              <c:layout>
                <c:manualLayout>
                  <c:x val="-3.1170177422225109E-2"/>
                  <c:y val="0.23491079875682749"/>
                </c:manualLayout>
              </c:layout>
              <c:spPr>
                <a:solidFill>
                  <a:schemeClr val="accent4">
                    <a:lumMod val="60000"/>
                    <a:lumOff val="40000"/>
                  </a:schemeClr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B9D-4C4D-889D-468F6484D7A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B9D-4C4D-889D-468F6484D7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B9D-4C4D-889D-468F6484D7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B9D-4C4D-889D-468F6484D7A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B9D-4C4D-889D-468F6484D7A0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'Dyn_Overhead_Splash3-analysis'!$I$34:$I$46</c:f>
              <c:numCache>
                <c:formatCode>_(* #,##0.0_);_(* \(#,##0.0\);_(* "-"??_);_(@_)</c:formatCode>
                <c:ptCount val="13"/>
                <c:pt idx="0">
                  <c:v>56.1171875</c:v>
                </c:pt>
                <c:pt idx="1">
                  <c:v>64.94140625</c:v>
                </c:pt>
                <c:pt idx="2">
                  <c:v>53.46484375</c:v>
                </c:pt>
                <c:pt idx="3">
                  <c:v>62.7890625</c:v>
                </c:pt>
                <c:pt idx="4">
                  <c:v>54.55078125</c:v>
                </c:pt>
                <c:pt idx="5">
                  <c:v>54.65234375</c:v>
                </c:pt>
                <c:pt idx="6">
                  <c:v>58.08203125</c:v>
                </c:pt>
                <c:pt idx="7">
                  <c:v>56.39453125</c:v>
                </c:pt>
                <c:pt idx="8">
                  <c:v>303.7109375</c:v>
                </c:pt>
                <c:pt idx="9">
                  <c:v>52.95703125</c:v>
                </c:pt>
                <c:pt idx="10">
                  <c:v>57.65234375</c:v>
                </c:pt>
                <c:pt idx="11">
                  <c:v>58.46875</c:v>
                </c:pt>
                <c:pt idx="12" formatCode="0.0">
                  <c:v>65.707549857590024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B9D-4C4D-889D-468F6484D7A0}"/>
            </c:ext>
          </c:extLst>
        </c:ser>
        <c:ser>
          <c:idx val="2"/>
          <c:order val="2"/>
          <c:tx>
            <c:strRef>
              <c:f>'Dyn_Overhead_Splash3-analysis'!$J$33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B9D-4C4D-889D-468F6484D7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B9D-4C4D-889D-468F6484D7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B9D-4C4D-889D-468F6484D7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B9D-4C4D-889D-468F6484D7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B9D-4C4D-889D-468F6484D7A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B9D-4C4D-889D-468F6484D7A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B9D-4C4D-889D-468F6484D7A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B9D-4C4D-889D-468F6484D7A0}"/>
                </c:ext>
              </c:extLst>
            </c:dLbl>
            <c:dLbl>
              <c:idx val="8"/>
              <c:layout>
                <c:manualLayout>
                  <c:x val="3.1561276335741503E-2"/>
                  <c:y val="0.233415072235935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B9D-4C4D-889D-468F6484D7A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B9D-4C4D-889D-468F6484D7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B9D-4C4D-889D-468F6484D7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B9D-4C4D-889D-468F6484D7A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B9D-4C4D-889D-468F6484D7A0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'Dyn_Overhead_Splash3-analysis'!$J$34:$J$46</c:f>
              <c:numCache>
                <c:formatCode>_(* #,##0.0_);_(* \(#,##0.0\);_(* "-"??_);_(@_)</c:formatCode>
                <c:ptCount val="13"/>
                <c:pt idx="0">
                  <c:v>56.359375</c:v>
                </c:pt>
                <c:pt idx="1">
                  <c:v>65.10546875</c:v>
                </c:pt>
                <c:pt idx="2">
                  <c:v>53.5234375</c:v>
                </c:pt>
                <c:pt idx="3">
                  <c:v>63.0625</c:v>
                </c:pt>
                <c:pt idx="4">
                  <c:v>54.87890625</c:v>
                </c:pt>
                <c:pt idx="5">
                  <c:v>54.54296875</c:v>
                </c:pt>
                <c:pt idx="6">
                  <c:v>58.0703125</c:v>
                </c:pt>
                <c:pt idx="7">
                  <c:v>56.484375</c:v>
                </c:pt>
                <c:pt idx="8">
                  <c:v>304.41796875</c:v>
                </c:pt>
                <c:pt idx="9">
                  <c:v>53.1328125</c:v>
                </c:pt>
                <c:pt idx="10">
                  <c:v>57.76953125</c:v>
                </c:pt>
                <c:pt idx="11">
                  <c:v>58.69921875</c:v>
                </c:pt>
                <c:pt idx="12" formatCode="0.0">
                  <c:v>65.867950232364592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BB9D-4C4D-889D-468F6484D7A0}"/>
            </c:ext>
          </c:extLst>
        </c:ser>
        <c:ser>
          <c:idx val="3"/>
          <c:order val="3"/>
          <c:tx>
            <c:strRef>
              <c:f>'Dyn_Overhead_Splash3-analysis'!$K$33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'Dyn_Overhead_Splash3-analysis'!$K$34:$K$46</c:f>
              <c:numCache>
                <c:formatCode>_(* #,##0.0_);_(* \(#,##0.0\);_(* "-"??_);_(@_)</c:formatCode>
                <c:ptCount val="13"/>
                <c:pt idx="0">
                  <c:v>8.34375</c:v>
                </c:pt>
                <c:pt idx="1">
                  <c:v>9.44140625</c:v>
                </c:pt>
                <c:pt idx="2">
                  <c:v>8.23828125</c:v>
                </c:pt>
                <c:pt idx="3">
                  <c:v>8.74609375</c:v>
                </c:pt>
                <c:pt idx="4">
                  <c:v>8.14453125</c:v>
                </c:pt>
                <c:pt idx="5">
                  <c:v>8.171875</c:v>
                </c:pt>
                <c:pt idx="6">
                  <c:v>9.09765625</c:v>
                </c:pt>
                <c:pt idx="7">
                  <c:v>8.8359375</c:v>
                </c:pt>
                <c:pt idx="8">
                  <c:v>9.13671875</c:v>
                </c:pt>
                <c:pt idx="9">
                  <c:v>8.16796875</c:v>
                </c:pt>
                <c:pt idx="10">
                  <c:v>8.4296875</c:v>
                </c:pt>
                <c:pt idx="11">
                  <c:v>8.828125</c:v>
                </c:pt>
                <c:pt idx="12" formatCode="0.0">
                  <c:v>8.6215148237372947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BB9D-4C4D-889D-468F6484D7A0}"/>
            </c:ext>
          </c:extLst>
        </c:ser>
        <c:ser>
          <c:idx val="4"/>
          <c:order val="4"/>
          <c:tx>
            <c:strRef>
              <c:f>'Dyn_Overhead_Splash3-analysis'!$L$33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'Dyn_Overhead_Splash3-analysis'!$L$34:$L$46</c:f>
              <c:numCache>
                <c:formatCode>_(* #,##0.0_);_(* \(#,##0.0\);_(* "-"??_);_(@_)</c:formatCode>
                <c:ptCount val="13"/>
                <c:pt idx="0">
                  <c:v>8.35546875</c:v>
                </c:pt>
                <c:pt idx="1">
                  <c:v>9.45703125</c:v>
                </c:pt>
                <c:pt idx="2">
                  <c:v>8.22265625</c:v>
                </c:pt>
                <c:pt idx="3">
                  <c:v>8.7890625</c:v>
                </c:pt>
                <c:pt idx="4">
                  <c:v>8.19921875</c:v>
                </c:pt>
                <c:pt idx="5">
                  <c:v>8.3046875</c:v>
                </c:pt>
                <c:pt idx="6">
                  <c:v>9.11328125</c:v>
                </c:pt>
                <c:pt idx="7">
                  <c:v>8.8671875</c:v>
                </c:pt>
                <c:pt idx="8">
                  <c:v>9.1875</c:v>
                </c:pt>
                <c:pt idx="9">
                  <c:v>8.265625</c:v>
                </c:pt>
                <c:pt idx="10">
                  <c:v>8.60546875</c:v>
                </c:pt>
                <c:pt idx="11">
                  <c:v>8.82421875</c:v>
                </c:pt>
                <c:pt idx="12" formatCode="0.0">
                  <c:v>8.6732137773689146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BB9D-4C4D-889D-468F6484D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</a:t>
                </a:r>
              </a:p>
              <a:p>
                <a:pPr>
                  <a:defRPr/>
                </a:pPr>
                <a:r>
                  <a:rPr lang="en-US"/>
                  <a:t>Difference from</a:t>
                </a:r>
                <a:r>
                  <a:rPr lang="en-US" baseline="0"/>
                  <a:t> Native</a:t>
                </a:r>
                <a:r>
                  <a:rPr lang="en-US"/>
                  <a:t>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7842429919715992"/>
          <c:h val="0.1794712830518756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742376</xdr:colOff>
      <xdr:row>0</xdr:row>
      <xdr:rowOff>219530</xdr:rowOff>
    </xdr:from>
    <xdr:to>
      <xdr:col>10</xdr:col>
      <xdr:colOff>310576</xdr:colOff>
      <xdr:row>36</xdr:row>
      <xdr:rowOff>219530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88899D-EFB8-8E4A-995C-DB77286D8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1257452</xdr:colOff>
      <xdr:row>30</xdr:row>
      <xdr:rowOff>81493</xdr:rowOff>
    </xdr:from>
    <xdr:to>
      <xdr:col>7</xdr:col>
      <xdr:colOff>1092200</xdr:colOff>
      <xdr:row>66</xdr:row>
      <xdr:rowOff>81493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1F3EAF-B2DF-C74D-BC5A-A4201BE9AC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1409700</xdr:colOff>
      <xdr:row>79</xdr:row>
      <xdr:rowOff>88900</xdr:rowOff>
    </xdr:from>
    <xdr:to>
      <xdr:col>9</xdr:col>
      <xdr:colOff>2146148</xdr:colOff>
      <xdr:row>115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1BDA52D-B690-0441-811C-4EF232C7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2191808</xdr:colOff>
      <xdr:row>4</xdr:row>
      <xdr:rowOff>95250</xdr:rowOff>
    </xdr:from>
    <xdr:to>
      <xdr:col>14</xdr:col>
      <xdr:colOff>26458</xdr:colOff>
      <xdr:row>41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6BADE6-0732-C440-8F98-257F40AD2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347133</xdr:colOff>
      <xdr:row>45</xdr:row>
      <xdr:rowOff>125942</xdr:rowOff>
    </xdr:from>
    <xdr:to>
      <xdr:col>31</xdr:col>
      <xdr:colOff>121708</xdr:colOff>
      <xdr:row>81</xdr:row>
      <xdr:rowOff>125942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1BB322-E4D7-6544-BEBE-F6C3957F3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700164</xdr:colOff>
      <xdr:row>6</xdr:row>
      <xdr:rowOff>49589</xdr:rowOff>
    </xdr:from>
    <xdr:to>
      <xdr:col>18</xdr:col>
      <xdr:colOff>789064</xdr:colOff>
      <xdr:row>43</xdr:row>
      <xdr:rowOff>55939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292F8-67D8-FC4C-824B-269FEEBC1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182940</xdr:colOff>
      <xdr:row>41</xdr:row>
      <xdr:rowOff>99482</xdr:rowOff>
    </xdr:from>
    <xdr:to>
      <xdr:col>21</xdr:col>
      <xdr:colOff>775002</xdr:colOff>
      <xdr:row>76</xdr:row>
      <xdr:rowOff>187173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F97879-95E8-5044-8317-25244218ED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646791</xdr:colOff>
      <xdr:row>4</xdr:row>
      <xdr:rowOff>42332</xdr:rowOff>
    </xdr:from>
    <xdr:to>
      <xdr:col>19</xdr:col>
      <xdr:colOff>708476</xdr:colOff>
      <xdr:row>39</xdr:row>
      <xdr:rowOff>16932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7DA99E-0F1C-AB4E-92B6-D789A21860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1708453</xdr:colOff>
      <xdr:row>42</xdr:row>
      <xdr:rowOff>181426</xdr:rowOff>
    </xdr:from>
    <xdr:to>
      <xdr:col>23</xdr:col>
      <xdr:colOff>539752</xdr:colOff>
      <xdr:row>78</xdr:row>
      <xdr:rowOff>181426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D859AF-F730-324A-ACC6-5E0B5AF5FC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48076</xdr:colOff>
      <xdr:row>0</xdr:row>
      <xdr:rowOff>78619</xdr:rowOff>
    </xdr:from>
    <xdr:to>
      <xdr:col>26</xdr:col>
      <xdr:colOff>490761</xdr:colOff>
      <xdr:row>35</xdr:row>
      <xdr:rowOff>53219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D989EA-74B3-2241-B799-518AD541B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565454</xdr:colOff>
      <xdr:row>46</xdr:row>
      <xdr:rowOff>18140</xdr:rowOff>
    </xdr:from>
    <xdr:to>
      <xdr:col>15</xdr:col>
      <xdr:colOff>721181</xdr:colOff>
      <xdr:row>82</xdr:row>
      <xdr:rowOff>18140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29CB1B-EF80-FA47-90F5-3611032F43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884F1-82A7-984A-B124-F6A2F6399F0A}">
  <dimension ref="A1:I88"/>
  <sheetViews>
    <sheetView tabSelected="1" zoomScale="90" zoomScaleNormal="90" workbookViewId="0">
      <selection activeCell="C4" sqref="C4"/>
    </sheetView>
  </sheetViews>
  <sheetFormatPr baseColWidth="10" defaultColWidth="21" defaultRowHeight="16" x14ac:dyDescent="0.2"/>
  <cols>
    <col min="1" max="1" width="25.83203125" bestFit="1" customWidth="1"/>
    <col min="5" max="5" width="25.5" bestFit="1" customWidth="1"/>
    <col min="8" max="8" width="33.1640625" bestFit="1" customWidth="1"/>
  </cols>
  <sheetData>
    <row r="1" spans="1:9" ht="18" x14ac:dyDescent="0.2">
      <c r="A1" s="10" t="s">
        <v>50</v>
      </c>
      <c r="B1" s="10" t="s">
        <v>27</v>
      </c>
      <c r="C1" s="10" t="s">
        <v>184</v>
      </c>
      <c r="D1" s="10" t="s">
        <v>51</v>
      </c>
      <c r="E1" s="10" t="s">
        <v>52</v>
      </c>
      <c r="F1" s="10" t="s">
        <v>53</v>
      </c>
      <c r="G1" s="10" t="s">
        <v>73</v>
      </c>
      <c r="H1" s="13" t="s">
        <v>74</v>
      </c>
      <c r="I1" s="13" t="s">
        <v>183</v>
      </c>
    </row>
    <row r="2" spans="1:9" ht="18" x14ac:dyDescent="0.2">
      <c r="A2" s="16" t="s">
        <v>37</v>
      </c>
      <c r="B2" s="10" t="s">
        <v>33</v>
      </c>
      <c r="C2" s="10" t="s">
        <v>72</v>
      </c>
      <c r="D2" s="10" t="s">
        <v>76</v>
      </c>
      <c r="E2" s="16" t="s">
        <v>80</v>
      </c>
      <c r="F2" s="16"/>
      <c r="G2" s="18"/>
      <c r="H2" s="15"/>
      <c r="I2" s="15"/>
    </row>
    <row r="3" spans="1:9" ht="18" x14ac:dyDescent="0.2">
      <c r="A3" s="14" t="s">
        <v>38</v>
      </c>
      <c r="B3" s="11" t="s">
        <v>33</v>
      </c>
      <c r="C3" s="10" t="s">
        <v>72</v>
      </c>
      <c r="D3" s="16" t="s">
        <v>77</v>
      </c>
      <c r="E3" s="16"/>
      <c r="F3" s="16"/>
      <c r="G3" s="18"/>
      <c r="H3" s="15"/>
      <c r="I3" s="15"/>
    </row>
    <row r="4" spans="1:9" ht="18" x14ac:dyDescent="0.2">
      <c r="A4" s="11" t="s">
        <v>39</v>
      </c>
      <c r="B4" s="11" t="s">
        <v>33</v>
      </c>
      <c r="C4" s="10" t="s">
        <v>72</v>
      </c>
      <c r="D4" s="10" t="s">
        <v>76</v>
      </c>
      <c r="E4" s="10" t="s">
        <v>76</v>
      </c>
      <c r="F4" s="10" t="s">
        <v>76</v>
      </c>
      <c r="G4" s="10" t="s">
        <v>76</v>
      </c>
      <c r="H4" s="13"/>
      <c r="I4" s="13" t="s">
        <v>72</v>
      </c>
    </row>
    <row r="5" spans="1:9" ht="18" x14ac:dyDescent="0.2">
      <c r="A5" s="14" t="s">
        <v>40</v>
      </c>
      <c r="B5" s="11" t="s">
        <v>32</v>
      </c>
      <c r="C5" s="10" t="s">
        <v>72</v>
      </c>
      <c r="D5" s="16" t="s">
        <v>75</v>
      </c>
      <c r="E5" s="14"/>
      <c r="F5" s="14"/>
      <c r="G5" s="17"/>
      <c r="H5" s="15"/>
      <c r="I5" s="15"/>
    </row>
    <row r="6" spans="1:9" ht="18" x14ac:dyDescent="0.2">
      <c r="A6" s="11" t="s">
        <v>41</v>
      </c>
      <c r="B6" s="11" t="s">
        <v>32</v>
      </c>
      <c r="C6" s="10" t="s">
        <v>72</v>
      </c>
      <c r="D6" s="10" t="s">
        <v>76</v>
      </c>
      <c r="E6" s="10" t="s">
        <v>76</v>
      </c>
      <c r="F6" s="10" t="s">
        <v>76</v>
      </c>
      <c r="G6" s="10" t="s">
        <v>76</v>
      </c>
      <c r="H6" s="13"/>
      <c r="I6" s="13" t="s">
        <v>72</v>
      </c>
    </row>
    <row r="7" spans="1:9" ht="18" x14ac:dyDescent="0.2">
      <c r="A7" s="11" t="s">
        <v>43</v>
      </c>
      <c r="B7" s="11" t="s">
        <v>33</v>
      </c>
      <c r="C7" s="10" t="s">
        <v>72</v>
      </c>
      <c r="D7" s="10" t="s">
        <v>76</v>
      </c>
      <c r="E7" s="10" t="s">
        <v>76</v>
      </c>
      <c r="F7" s="10" t="s">
        <v>76</v>
      </c>
      <c r="G7" s="10" t="s">
        <v>76</v>
      </c>
      <c r="H7" s="13"/>
      <c r="I7" s="13" t="s">
        <v>72</v>
      </c>
    </row>
    <row r="8" spans="1:9" ht="18" x14ac:dyDescent="0.2">
      <c r="A8" s="11" t="s">
        <v>44</v>
      </c>
      <c r="B8" s="11" t="s">
        <v>32</v>
      </c>
      <c r="C8" s="10" t="s">
        <v>72</v>
      </c>
      <c r="D8" s="10" t="s">
        <v>76</v>
      </c>
      <c r="E8" s="10" t="s">
        <v>76</v>
      </c>
      <c r="F8" s="10" t="s">
        <v>76</v>
      </c>
      <c r="G8" s="10" t="s">
        <v>76</v>
      </c>
      <c r="H8" s="13"/>
      <c r="I8" s="13" t="s">
        <v>72</v>
      </c>
    </row>
    <row r="9" spans="1:9" ht="18" x14ac:dyDescent="0.2">
      <c r="A9" s="11" t="s">
        <v>45</v>
      </c>
      <c r="B9" s="11" t="s">
        <v>32</v>
      </c>
      <c r="C9" s="10" t="s">
        <v>72</v>
      </c>
      <c r="D9" s="10" t="s">
        <v>76</v>
      </c>
      <c r="E9" s="10" t="s">
        <v>76</v>
      </c>
      <c r="F9" s="10" t="s">
        <v>76</v>
      </c>
      <c r="G9" s="10" t="s">
        <v>76</v>
      </c>
      <c r="H9" s="13"/>
      <c r="I9" s="13" t="s">
        <v>72</v>
      </c>
    </row>
    <row r="10" spans="1:9" ht="18" x14ac:dyDescent="0.2">
      <c r="A10" s="79" t="s">
        <v>54</v>
      </c>
      <c r="B10" s="79" t="s">
        <v>55</v>
      </c>
      <c r="C10" s="77" t="s">
        <v>186</v>
      </c>
      <c r="D10" s="77" t="s">
        <v>186</v>
      </c>
      <c r="E10" s="77" t="s">
        <v>186</v>
      </c>
      <c r="F10" s="77" t="s">
        <v>186</v>
      </c>
      <c r="G10" s="77" t="s">
        <v>186</v>
      </c>
      <c r="H10" s="77" t="s">
        <v>186</v>
      </c>
      <c r="I10" s="78" t="s">
        <v>185</v>
      </c>
    </row>
    <row r="11" spans="1:9" ht="18" x14ac:dyDescent="0.2">
      <c r="A11" s="11" t="s">
        <v>47</v>
      </c>
      <c r="B11" s="11" t="s">
        <v>33</v>
      </c>
      <c r="C11" s="10" t="s">
        <v>72</v>
      </c>
      <c r="D11" s="10" t="s">
        <v>76</v>
      </c>
      <c r="E11" s="10" t="s">
        <v>76</v>
      </c>
      <c r="F11" s="10" t="s">
        <v>76</v>
      </c>
      <c r="G11" s="10" t="s">
        <v>76</v>
      </c>
      <c r="H11" s="13"/>
      <c r="I11" s="13" t="s">
        <v>72</v>
      </c>
    </row>
    <row r="12" spans="1:9" ht="18" x14ac:dyDescent="0.2">
      <c r="A12" s="79" t="s">
        <v>56</v>
      </c>
      <c r="B12" s="79" t="s">
        <v>55</v>
      </c>
      <c r="C12" s="77" t="s">
        <v>186</v>
      </c>
      <c r="D12" s="77" t="s">
        <v>186</v>
      </c>
      <c r="E12" s="77" t="s">
        <v>186</v>
      </c>
      <c r="F12" s="77" t="s">
        <v>186</v>
      </c>
      <c r="G12" s="77" t="s">
        <v>186</v>
      </c>
      <c r="H12" s="77" t="s">
        <v>186</v>
      </c>
      <c r="I12" s="78" t="s">
        <v>185</v>
      </c>
    </row>
    <row r="13" spans="1:9" ht="18" x14ac:dyDescent="0.2">
      <c r="A13" s="79" t="s">
        <v>57</v>
      </c>
      <c r="B13" s="79" t="s">
        <v>58</v>
      </c>
      <c r="C13" s="77" t="s">
        <v>186</v>
      </c>
      <c r="D13" s="77" t="s">
        <v>186</v>
      </c>
      <c r="E13" s="77" t="s">
        <v>186</v>
      </c>
      <c r="F13" s="77" t="s">
        <v>186</v>
      </c>
      <c r="G13" s="77" t="s">
        <v>186</v>
      </c>
      <c r="H13" s="77" t="s">
        <v>186</v>
      </c>
      <c r="I13" s="78" t="s">
        <v>185</v>
      </c>
    </row>
    <row r="14" spans="1:9" ht="18" x14ac:dyDescent="0.2">
      <c r="A14" s="11" t="s">
        <v>6</v>
      </c>
      <c r="B14" s="11" t="s">
        <v>32</v>
      </c>
      <c r="C14" s="10" t="s">
        <v>72</v>
      </c>
      <c r="D14" s="10" t="s">
        <v>76</v>
      </c>
      <c r="E14" s="10" t="s">
        <v>76</v>
      </c>
      <c r="F14" s="10" t="s">
        <v>76</v>
      </c>
      <c r="G14" s="10" t="s">
        <v>76</v>
      </c>
      <c r="H14" s="13"/>
      <c r="I14" s="13" t="s">
        <v>72</v>
      </c>
    </row>
    <row r="15" spans="1:9" ht="18" x14ac:dyDescent="0.2">
      <c r="A15" s="11" t="s">
        <v>7</v>
      </c>
      <c r="B15" s="11" t="s">
        <v>32</v>
      </c>
      <c r="C15" s="10" t="s">
        <v>72</v>
      </c>
      <c r="D15" s="10" t="s">
        <v>76</v>
      </c>
      <c r="E15" s="10" t="s">
        <v>76</v>
      </c>
      <c r="F15" s="10" t="s">
        <v>76</v>
      </c>
      <c r="G15" s="10" t="s">
        <v>76</v>
      </c>
      <c r="H15" s="13"/>
      <c r="I15" s="13" t="s">
        <v>72</v>
      </c>
    </row>
    <row r="16" spans="1:9" ht="18" x14ac:dyDescent="0.2">
      <c r="A16" s="14" t="s">
        <v>8</v>
      </c>
      <c r="B16" s="11" t="s">
        <v>59</v>
      </c>
      <c r="C16" s="10" t="s">
        <v>72</v>
      </c>
      <c r="D16" s="16" t="s">
        <v>75</v>
      </c>
      <c r="E16" s="14"/>
      <c r="F16" s="14"/>
      <c r="G16" s="17"/>
      <c r="H16" s="15"/>
      <c r="I16" s="15"/>
    </row>
    <row r="17" spans="1:9" ht="18" x14ac:dyDescent="0.2">
      <c r="A17" s="11" t="s">
        <v>42</v>
      </c>
      <c r="B17" s="11" t="s">
        <v>33</v>
      </c>
      <c r="C17" s="10" t="s">
        <v>72</v>
      </c>
      <c r="D17" s="10" t="s">
        <v>76</v>
      </c>
      <c r="E17" s="10" t="s">
        <v>76</v>
      </c>
      <c r="F17" s="10" t="s">
        <v>76</v>
      </c>
      <c r="G17" s="10" t="s">
        <v>76</v>
      </c>
      <c r="H17" s="13"/>
      <c r="I17" s="13" t="s">
        <v>72</v>
      </c>
    </row>
    <row r="18" spans="1:9" ht="18" x14ac:dyDescent="0.2">
      <c r="A18" s="79" t="s">
        <v>60</v>
      </c>
      <c r="B18" s="79" t="s">
        <v>61</v>
      </c>
      <c r="C18" s="77" t="s">
        <v>186</v>
      </c>
      <c r="D18" s="77" t="s">
        <v>186</v>
      </c>
      <c r="E18" s="77" t="s">
        <v>186</v>
      </c>
      <c r="F18" s="77" t="s">
        <v>186</v>
      </c>
      <c r="G18" s="77" t="s">
        <v>186</v>
      </c>
      <c r="H18" s="77" t="s">
        <v>186</v>
      </c>
      <c r="I18" s="78" t="s">
        <v>185</v>
      </c>
    </row>
    <row r="19" spans="1:9" ht="18" x14ac:dyDescent="0.2">
      <c r="A19" s="14" t="s">
        <v>49</v>
      </c>
      <c r="B19" s="11" t="s">
        <v>59</v>
      </c>
      <c r="C19" s="10" t="s">
        <v>72</v>
      </c>
      <c r="D19" s="16" t="s">
        <v>77</v>
      </c>
      <c r="E19" s="16"/>
      <c r="F19" s="16"/>
      <c r="G19" s="18"/>
      <c r="H19" s="15"/>
      <c r="I19" s="15"/>
    </row>
    <row r="20" spans="1:9" ht="18" x14ac:dyDescent="0.2">
      <c r="A20" s="79" t="s">
        <v>62</v>
      </c>
      <c r="B20" s="79" t="s">
        <v>61</v>
      </c>
      <c r="C20" s="77" t="s">
        <v>186</v>
      </c>
      <c r="D20" s="77" t="s">
        <v>186</v>
      </c>
      <c r="E20" s="77" t="s">
        <v>186</v>
      </c>
      <c r="F20" s="77" t="s">
        <v>186</v>
      </c>
      <c r="G20" s="77" t="s">
        <v>186</v>
      </c>
      <c r="H20" s="77" t="s">
        <v>186</v>
      </c>
      <c r="I20" s="78" t="s">
        <v>185</v>
      </c>
    </row>
    <row r="21" spans="1:9" ht="18" x14ac:dyDescent="0.2">
      <c r="A21" s="14" t="s">
        <v>46</v>
      </c>
      <c r="B21" s="11" t="s">
        <v>33</v>
      </c>
      <c r="C21" s="10" t="s">
        <v>72</v>
      </c>
      <c r="D21" s="16" t="s">
        <v>79</v>
      </c>
      <c r="E21" s="16"/>
      <c r="F21" s="16"/>
      <c r="G21" s="18"/>
      <c r="H21" s="15"/>
      <c r="I21" s="15"/>
    </row>
    <row r="22" spans="1:9" ht="18" x14ac:dyDescent="0.2">
      <c r="A22" s="14" t="s">
        <v>48</v>
      </c>
      <c r="B22" s="11" t="s">
        <v>33</v>
      </c>
      <c r="C22" s="10" t="s">
        <v>72</v>
      </c>
      <c r="D22" s="10" t="s">
        <v>76</v>
      </c>
      <c r="E22" s="10" t="s">
        <v>76</v>
      </c>
      <c r="F22" s="10" t="s">
        <v>76</v>
      </c>
      <c r="G22" s="10" t="s">
        <v>76</v>
      </c>
      <c r="H22" s="15" t="s">
        <v>81</v>
      </c>
      <c r="I22" s="15"/>
    </row>
    <row r="23" spans="1:9" ht="18" x14ac:dyDescent="0.2">
      <c r="A23" s="79" t="s">
        <v>63</v>
      </c>
      <c r="B23" s="79" t="s">
        <v>55</v>
      </c>
      <c r="C23" s="77" t="s">
        <v>186</v>
      </c>
      <c r="D23" s="77" t="s">
        <v>186</v>
      </c>
      <c r="E23" s="77" t="s">
        <v>186</v>
      </c>
      <c r="F23" s="77" t="s">
        <v>186</v>
      </c>
      <c r="G23" s="77" t="s">
        <v>186</v>
      </c>
      <c r="H23" s="77" t="s">
        <v>186</v>
      </c>
      <c r="I23" s="78" t="s">
        <v>185</v>
      </c>
    </row>
    <row r="24" spans="1:9" ht="18" x14ac:dyDescent="0.2">
      <c r="A24" s="79" t="s">
        <v>64</v>
      </c>
      <c r="B24" s="79" t="s">
        <v>55</v>
      </c>
      <c r="C24" s="77" t="s">
        <v>186</v>
      </c>
      <c r="D24" s="77" t="s">
        <v>186</v>
      </c>
      <c r="E24" s="77" t="s">
        <v>186</v>
      </c>
      <c r="F24" s="77" t="s">
        <v>186</v>
      </c>
      <c r="G24" s="77" t="s">
        <v>186</v>
      </c>
      <c r="H24" s="77" t="s">
        <v>186</v>
      </c>
      <c r="I24" s="78" t="s">
        <v>185</v>
      </c>
    </row>
    <row r="25" spans="1:9" ht="18" x14ac:dyDescent="0.2">
      <c r="A25" s="14" t="s">
        <v>9</v>
      </c>
      <c r="B25" s="11" t="s">
        <v>33</v>
      </c>
      <c r="C25" s="10" t="s">
        <v>72</v>
      </c>
      <c r="D25" s="10" t="s">
        <v>76</v>
      </c>
      <c r="E25" s="16" t="s">
        <v>80</v>
      </c>
      <c r="F25" s="16"/>
      <c r="G25" s="18"/>
      <c r="H25" s="15"/>
      <c r="I25" s="15"/>
    </row>
    <row r="26" spans="1:9" ht="18" x14ac:dyDescent="0.2">
      <c r="A26" s="14" t="s">
        <v>10</v>
      </c>
      <c r="B26" s="11" t="s">
        <v>33</v>
      </c>
      <c r="C26" s="10" t="s">
        <v>72</v>
      </c>
      <c r="D26" s="16" t="s">
        <v>77</v>
      </c>
      <c r="E26" s="16"/>
      <c r="F26" s="16"/>
      <c r="G26" s="18"/>
      <c r="H26" s="15"/>
      <c r="I26" s="15"/>
    </row>
    <row r="27" spans="1:9" ht="18" x14ac:dyDescent="0.2">
      <c r="A27" s="11" t="s">
        <v>11</v>
      </c>
      <c r="B27" s="11" t="s">
        <v>33</v>
      </c>
      <c r="C27" s="10" t="s">
        <v>72</v>
      </c>
      <c r="D27" s="10" t="s">
        <v>76</v>
      </c>
      <c r="E27" s="10" t="s">
        <v>76</v>
      </c>
      <c r="F27" s="10" t="s">
        <v>76</v>
      </c>
      <c r="G27" s="10" t="s">
        <v>76</v>
      </c>
      <c r="H27" s="13"/>
      <c r="I27" s="13" t="s">
        <v>72</v>
      </c>
    </row>
    <row r="28" spans="1:9" ht="18" x14ac:dyDescent="0.2">
      <c r="A28" s="14" t="s">
        <v>14</v>
      </c>
      <c r="B28" s="11" t="s">
        <v>32</v>
      </c>
      <c r="C28" s="10" t="s">
        <v>72</v>
      </c>
      <c r="D28" s="16" t="s">
        <v>75</v>
      </c>
      <c r="E28" s="14"/>
      <c r="F28" s="14"/>
      <c r="G28" s="17"/>
      <c r="H28" s="15"/>
      <c r="I28" s="15"/>
    </row>
    <row r="29" spans="1:9" ht="18" x14ac:dyDescent="0.2">
      <c r="A29" s="11" t="s">
        <v>15</v>
      </c>
      <c r="B29" s="11" t="s">
        <v>32</v>
      </c>
      <c r="C29" s="10" t="s">
        <v>72</v>
      </c>
      <c r="D29" s="10" t="s">
        <v>76</v>
      </c>
      <c r="E29" s="10" t="s">
        <v>76</v>
      </c>
      <c r="F29" s="10" t="s">
        <v>76</v>
      </c>
      <c r="G29" s="10" t="s">
        <v>76</v>
      </c>
      <c r="H29" s="13"/>
      <c r="I29" s="13" t="s">
        <v>72</v>
      </c>
    </row>
    <row r="30" spans="1:9" ht="18" x14ac:dyDescent="0.2">
      <c r="A30" s="11" t="s">
        <v>16</v>
      </c>
      <c r="B30" s="11" t="s">
        <v>33</v>
      </c>
      <c r="C30" s="10" t="s">
        <v>72</v>
      </c>
      <c r="D30" s="10" t="s">
        <v>76</v>
      </c>
      <c r="E30" s="10" t="s">
        <v>76</v>
      </c>
      <c r="F30" s="10" t="s">
        <v>76</v>
      </c>
      <c r="G30" s="10" t="s">
        <v>76</v>
      </c>
      <c r="H30" s="13"/>
      <c r="I30" s="13" t="s">
        <v>72</v>
      </c>
    </row>
    <row r="31" spans="1:9" ht="18" x14ac:dyDescent="0.2">
      <c r="A31" s="11" t="s">
        <v>17</v>
      </c>
      <c r="B31" s="11" t="s">
        <v>32</v>
      </c>
      <c r="C31" s="10" t="s">
        <v>72</v>
      </c>
      <c r="D31" s="10" t="s">
        <v>76</v>
      </c>
      <c r="E31" s="10" t="s">
        <v>76</v>
      </c>
      <c r="F31" s="10" t="s">
        <v>76</v>
      </c>
      <c r="G31" s="10" t="s">
        <v>76</v>
      </c>
      <c r="H31" s="13"/>
      <c r="I31" s="13" t="s">
        <v>72</v>
      </c>
    </row>
    <row r="32" spans="1:9" ht="18" x14ac:dyDescent="0.2">
      <c r="A32" s="11" t="s">
        <v>19</v>
      </c>
      <c r="B32" s="11" t="s">
        <v>32</v>
      </c>
      <c r="C32" s="10" t="s">
        <v>72</v>
      </c>
      <c r="D32" s="10" t="s">
        <v>76</v>
      </c>
      <c r="E32" s="10" t="s">
        <v>76</v>
      </c>
      <c r="F32" s="10" t="s">
        <v>76</v>
      </c>
      <c r="G32" s="10" t="s">
        <v>76</v>
      </c>
      <c r="H32" s="13"/>
      <c r="I32" s="13" t="s">
        <v>72</v>
      </c>
    </row>
    <row r="33" spans="1:9" ht="18" x14ac:dyDescent="0.2">
      <c r="A33" s="79" t="s">
        <v>65</v>
      </c>
      <c r="B33" s="79" t="s">
        <v>55</v>
      </c>
      <c r="C33" s="77" t="s">
        <v>186</v>
      </c>
      <c r="D33" s="77" t="s">
        <v>186</v>
      </c>
      <c r="E33" s="77" t="s">
        <v>186</v>
      </c>
      <c r="F33" s="77" t="s">
        <v>186</v>
      </c>
      <c r="G33" s="77" t="s">
        <v>186</v>
      </c>
      <c r="H33" s="77" t="s">
        <v>186</v>
      </c>
      <c r="I33" s="78" t="s">
        <v>185</v>
      </c>
    </row>
    <row r="34" spans="1:9" ht="18" x14ac:dyDescent="0.2">
      <c r="A34" s="12" t="s">
        <v>21</v>
      </c>
      <c r="B34" s="12" t="s">
        <v>33</v>
      </c>
      <c r="C34" s="10" t="s">
        <v>72</v>
      </c>
      <c r="D34" s="10" t="s">
        <v>76</v>
      </c>
      <c r="E34" s="10" t="s">
        <v>76</v>
      </c>
      <c r="F34" s="10" t="s">
        <v>76</v>
      </c>
      <c r="G34" s="10" t="s">
        <v>76</v>
      </c>
      <c r="H34" s="13"/>
      <c r="I34" s="13" t="s">
        <v>72</v>
      </c>
    </row>
    <row r="35" spans="1:9" ht="18" x14ac:dyDescent="0.2">
      <c r="A35" s="78" t="s">
        <v>66</v>
      </c>
      <c r="B35" s="78" t="s">
        <v>55</v>
      </c>
      <c r="C35" s="77" t="s">
        <v>186</v>
      </c>
      <c r="D35" s="77" t="s">
        <v>186</v>
      </c>
      <c r="E35" s="77" t="s">
        <v>186</v>
      </c>
      <c r="F35" s="77" t="s">
        <v>186</v>
      </c>
      <c r="G35" s="77" t="s">
        <v>186</v>
      </c>
      <c r="H35" s="77" t="s">
        <v>186</v>
      </c>
      <c r="I35" s="78" t="s">
        <v>185</v>
      </c>
    </row>
    <row r="36" spans="1:9" ht="18" x14ac:dyDescent="0.2">
      <c r="A36" s="78" t="s">
        <v>12</v>
      </c>
      <c r="B36" s="78" t="s">
        <v>58</v>
      </c>
      <c r="C36" s="77" t="s">
        <v>186</v>
      </c>
      <c r="D36" s="77" t="s">
        <v>186</v>
      </c>
      <c r="E36" s="77" t="s">
        <v>186</v>
      </c>
      <c r="F36" s="77" t="s">
        <v>186</v>
      </c>
      <c r="G36" s="77" t="s">
        <v>186</v>
      </c>
      <c r="H36" s="77" t="s">
        <v>186</v>
      </c>
      <c r="I36" s="78" t="s">
        <v>185</v>
      </c>
    </row>
    <row r="37" spans="1:9" ht="18" x14ac:dyDescent="0.2">
      <c r="A37" s="13" t="s">
        <v>13</v>
      </c>
      <c r="B37" s="13" t="s">
        <v>33</v>
      </c>
      <c r="C37" s="10" t="s">
        <v>72</v>
      </c>
      <c r="D37" s="10" t="s">
        <v>76</v>
      </c>
      <c r="E37" s="10" t="s">
        <v>76</v>
      </c>
      <c r="F37" s="10" t="s">
        <v>76</v>
      </c>
      <c r="G37" s="10" t="s">
        <v>76</v>
      </c>
      <c r="H37" s="13"/>
      <c r="I37" s="13" t="s">
        <v>72</v>
      </c>
    </row>
    <row r="38" spans="1:9" ht="18" x14ac:dyDescent="0.2">
      <c r="A38" s="78" t="s">
        <v>67</v>
      </c>
      <c r="B38" s="78" t="s">
        <v>61</v>
      </c>
      <c r="C38" s="77" t="s">
        <v>186</v>
      </c>
      <c r="D38" s="77" t="s">
        <v>186</v>
      </c>
      <c r="E38" s="77" t="s">
        <v>186</v>
      </c>
      <c r="F38" s="77" t="s">
        <v>186</v>
      </c>
      <c r="G38" s="77" t="s">
        <v>186</v>
      </c>
      <c r="H38" s="77" t="s">
        <v>186</v>
      </c>
      <c r="I38" s="78" t="s">
        <v>185</v>
      </c>
    </row>
    <row r="39" spans="1:9" ht="18" x14ac:dyDescent="0.2">
      <c r="A39" s="78" t="s">
        <v>68</v>
      </c>
      <c r="B39" s="78" t="s">
        <v>61</v>
      </c>
      <c r="C39" s="77" t="s">
        <v>186</v>
      </c>
      <c r="D39" s="77" t="s">
        <v>186</v>
      </c>
      <c r="E39" s="77" t="s">
        <v>186</v>
      </c>
      <c r="F39" s="77" t="s">
        <v>186</v>
      </c>
      <c r="G39" s="77" t="s">
        <v>186</v>
      </c>
      <c r="H39" s="77" t="s">
        <v>186</v>
      </c>
      <c r="I39" s="78" t="s">
        <v>185</v>
      </c>
    </row>
    <row r="40" spans="1:9" ht="18" x14ac:dyDescent="0.2">
      <c r="A40" s="78" t="s">
        <v>69</v>
      </c>
      <c r="B40" s="78" t="s">
        <v>61</v>
      </c>
      <c r="C40" s="77" t="s">
        <v>186</v>
      </c>
      <c r="D40" s="77" t="s">
        <v>186</v>
      </c>
      <c r="E40" s="77" t="s">
        <v>186</v>
      </c>
      <c r="F40" s="77" t="s">
        <v>186</v>
      </c>
      <c r="G40" s="77" t="s">
        <v>186</v>
      </c>
      <c r="H40" s="77" t="s">
        <v>186</v>
      </c>
      <c r="I40" s="78" t="s">
        <v>185</v>
      </c>
    </row>
    <row r="41" spans="1:9" ht="18" x14ac:dyDescent="0.2">
      <c r="A41" s="15" t="s">
        <v>18</v>
      </c>
      <c r="B41" s="13" t="s">
        <v>33</v>
      </c>
      <c r="C41" s="10" t="s">
        <v>72</v>
      </c>
      <c r="D41" s="10" t="s">
        <v>76</v>
      </c>
      <c r="E41" s="16" t="s">
        <v>80</v>
      </c>
      <c r="F41" s="16"/>
      <c r="G41" s="18"/>
      <c r="H41" s="15"/>
      <c r="I41" s="15"/>
    </row>
    <row r="42" spans="1:9" ht="18" x14ac:dyDescent="0.2">
      <c r="A42" s="15" t="s">
        <v>20</v>
      </c>
      <c r="B42" s="13" t="s">
        <v>33</v>
      </c>
      <c r="C42" s="10" t="s">
        <v>72</v>
      </c>
      <c r="D42" s="10" t="s">
        <v>76</v>
      </c>
      <c r="E42" s="10" t="s">
        <v>76</v>
      </c>
      <c r="F42" s="10" t="s">
        <v>76</v>
      </c>
      <c r="G42" s="10" t="s">
        <v>76</v>
      </c>
      <c r="H42" s="15" t="s">
        <v>81</v>
      </c>
      <c r="I42" s="15"/>
    </row>
    <row r="43" spans="1:9" ht="18" x14ac:dyDescent="0.2">
      <c r="A43" s="78" t="s">
        <v>70</v>
      </c>
      <c r="B43" s="78" t="s">
        <v>55</v>
      </c>
      <c r="C43" s="77" t="s">
        <v>186</v>
      </c>
      <c r="D43" s="77" t="s">
        <v>186</v>
      </c>
      <c r="E43" s="77" t="s">
        <v>186</v>
      </c>
      <c r="F43" s="77" t="s">
        <v>186</v>
      </c>
      <c r="G43" s="77" t="s">
        <v>186</v>
      </c>
      <c r="H43" s="77" t="s">
        <v>186</v>
      </c>
      <c r="I43" s="78" t="s">
        <v>185</v>
      </c>
    </row>
    <row r="44" spans="1:9" ht="18" x14ac:dyDescent="0.2">
      <c r="A44" s="78" t="s">
        <v>71</v>
      </c>
      <c r="B44" s="78" t="s">
        <v>55</v>
      </c>
      <c r="C44" s="77" t="s">
        <v>186</v>
      </c>
      <c r="D44" s="77" t="s">
        <v>186</v>
      </c>
      <c r="E44" s="77" t="s">
        <v>186</v>
      </c>
      <c r="F44" s="77" t="s">
        <v>186</v>
      </c>
      <c r="G44" s="77" t="s">
        <v>186</v>
      </c>
      <c r="H44" s="77" t="s">
        <v>186</v>
      </c>
      <c r="I44" s="78" t="s">
        <v>185</v>
      </c>
    </row>
    <row r="45" spans="1:9" ht="18" x14ac:dyDescent="0.2">
      <c r="A45" s="78" t="s">
        <v>87</v>
      </c>
      <c r="B45" s="78"/>
      <c r="C45" s="10" t="s">
        <v>72</v>
      </c>
      <c r="D45" s="78"/>
      <c r="E45" s="78"/>
      <c r="F45" s="78"/>
      <c r="G45" s="78"/>
      <c r="H45" s="78"/>
      <c r="I45" s="13" t="s">
        <v>72</v>
      </c>
    </row>
    <row r="46" spans="1:9" ht="18" x14ac:dyDescent="0.2">
      <c r="A46" s="78" t="s">
        <v>88</v>
      </c>
      <c r="B46" s="78"/>
      <c r="C46" s="10" t="s">
        <v>72</v>
      </c>
      <c r="D46" s="78"/>
      <c r="E46" s="78"/>
      <c r="F46" s="78"/>
      <c r="G46" s="78"/>
      <c r="H46" s="78"/>
      <c r="I46" s="13" t="s">
        <v>72</v>
      </c>
    </row>
    <row r="47" spans="1:9" ht="18" x14ac:dyDescent="0.2">
      <c r="A47" s="78" t="s">
        <v>89</v>
      </c>
      <c r="B47" s="78"/>
      <c r="C47" s="10" t="s">
        <v>72</v>
      </c>
      <c r="D47" s="78"/>
      <c r="E47" s="78"/>
      <c r="F47" s="78"/>
      <c r="G47" s="78"/>
      <c r="H47" s="78"/>
      <c r="I47" s="13" t="s">
        <v>72</v>
      </c>
    </row>
    <row r="48" spans="1:9" ht="18" x14ac:dyDescent="0.2">
      <c r="A48" s="78" t="s">
        <v>90</v>
      </c>
      <c r="B48" s="78"/>
      <c r="C48" s="10" t="s">
        <v>72</v>
      </c>
      <c r="D48" s="78"/>
      <c r="E48" s="78"/>
      <c r="F48" s="78"/>
      <c r="G48" s="78"/>
      <c r="H48" s="78"/>
      <c r="I48" s="13" t="s">
        <v>72</v>
      </c>
    </row>
    <row r="49" spans="1:9" ht="18" x14ac:dyDescent="0.2">
      <c r="A49" s="78" t="s">
        <v>91</v>
      </c>
      <c r="B49" s="78"/>
      <c r="C49" s="10" t="s">
        <v>72</v>
      </c>
      <c r="D49" s="78"/>
      <c r="E49" s="78"/>
      <c r="F49" s="78"/>
      <c r="G49" s="78"/>
      <c r="H49" s="78"/>
      <c r="I49" s="13" t="s">
        <v>72</v>
      </c>
    </row>
    <row r="50" spans="1:9" ht="18" x14ac:dyDescent="0.2">
      <c r="A50" s="78" t="s">
        <v>92</v>
      </c>
      <c r="B50" s="78"/>
      <c r="C50" s="10" t="s">
        <v>72</v>
      </c>
      <c r="D50" s="78"/>
      <c r="E50" s="78"/>
      <c r="F50" s="78"/>
      <c r="G50" s="78"/>
      <c r="H50" s="78"/>
      <c r="I50" s="13" t="s">
        <v>72</v>
      </c>
    </row>
    <row r="51" spans="1:9" ht="18" x14ac:dyDescent="0.2">
      <c r="A51" s="78" t="s">
        <v>93</v>
      </c>
      <c r="B51" s="78"/>
      <c r="C51" s="10" t="s">
        <v>72</v>
      </c>
      <c r="D51" s="78"/>
      <c r="E51" s="78"/>
      <c r="F51" s="78"/>
      <c r="G51" s="78"/>
      <c r="H51" s="78"/>
      <c r="I51" s="13" t="s">
        <v>72</v>
      </c>
    </row>
    <row r="52" spans="1:9" ht="18" x14ac:dyDescent="0.2">
      <c r="A52" s="78" t="s">
        <v>94</v>
      </c>
      <c r="B52" s="78"/>
      <c r="C52" s="10" t="s">
        <v>72</v>
      </c>
      <c r="D52" s="78"/>
      <c r="E52" s="78"/>
      <c r="F52" s="78"/>
      <c r="G52" s="78"/>
      <c r="H52" s="78"/>
      <c r="I52" s="13" t="s">
        <v>72</v>
      </c>
    </row>
    <row r="53" spans="1:9" ht="18" x14ac:dyDescent="0.2">
      <c r="A53" s="78" t="s">
        <v>95</v>
      </c>
      <c r="B53" s="78"/>
      <c r="C53" s="10" t="s">
        <v>72</v>
      </c>
      <c r="D53" s="78"/>
      <c r="E53" s="78"/>
      <c r="F53" s="78"/>
      <c r="G53" s="78"/>
      <c r="H53" s="78"/>
      <c r="I53" s="13" t="s">
        <v>72</v>
      </c>
    </row>
    <row r="54" spans="1:9" ht="18" x14ac:dyDescent="0.2">
      <c r="A54" s="78" t="s">
        <v>96</v>
      </c>
      <c r="B54" s="78"/>
      <c r="C54" s="10" t="s">
        <v>72</v>
      </c>
      <c r="D54" s="78"/>
      <c r="E54" s="78"/>
      <c r="F54" s="78"/>
      <c r="G54" s="78"/>
      <c r="H54" s="78"/>
      <c r="I54" s="13" t="s">
        <v>72</v>
      </c>
    </row>
    <row r="55" spans="1:9" ht="18" x14ac:dyDescent="0.2">
      <c r="A55" s="78" t="s">
        <v>187</v>
      </c>
      <c r="B55" s="78"/>
      <c r="C55" s="10" t="s">
        <v>72</v>
      </c>
      <c r="D55" s="78"/>
      <c r="E55" s="78"/>
      <c r="F55" s="78"/>
      <c r="G55" s="78"/>
      <c r="H55" s="78"/>
      <c r="I55" s="13"/>
    </row>
    <row r="56" spans="1:9" ht="18" x14ac:dyDescent="0.2">
      <c r="A56" s="78" t="s">
        <v>188</v>
      </c>
      <c r="B56" s="78"/>
      <c r="C56" s="10" t="s">
        <v>72</v>
      </c>
      <c r="D56" s="78"/>
      <c r="E56" s="78"/>
      <c r="F56" s="78"/>
      <c r="G56" s="78"/>
      <c r="H56" s="78"/>
      <c r="I56" s="13"/>
    </row>
    <row r="57" spans="1:9" ht="18" x14ac:dyDescent="0.2">
      <c r="A57" s="78" t="s">
        <v>97</v>
      </c>
      <c r="B57" s="78"/>
      <c r="C57" s="10" t="s">
        <v>72</v>
      </c>
      <c r="D57" s="78"/>
      <c r="E57" s="78"/>
      <c r="F57" s="78"/>
      <c r="G57" s="78"/>
      <c r="H57" s="78"/>
      <c r="I57" s="13" t="s">
        <v>72</v>
      </c>
    </row>
    <row r="58" spans="1:9" ht="18" x14ac:dyDescent="0.2">
      <c r="A58" s="78" t="s">
        <v>98</v>
      </c>
      <c r="B58" s="78"/>
      <c r="C58" s="10" t="s">
        <v>72</v>
      </c>
      <c r="D58" s="78"/>
      <c r="E58" s="78"/>
      <c r="F58" s="78"/>
      <c r="G58" s="78"/>
      <c r="H58" s="78"/>
      <c r="I58" s="13" t="s">
        <v>72</v>
      </c>
    </row>
    <row r="75" spans="1:4" ht="18" x14ac:dyDescent="0.2">
      <c r="A75" s="13" t="s">
        <v>39</v>
      </c>
      <c r="B75" s="13"/>
      <c r="D75" t="s">
        <v>87</v>
      </c>
    </row>
    <row r="76" spans="1:4" ht="18" x14ac:dyDescent="0.2">
      <c r="A76" s="13" t="s">
        <v>6</v>
      </c>
      <c r="B76" s="13"/>
      <c r="D76" t="s">
        <v>88</v>
      </c>
    </row>
    <row r="77" spans="1:4" ht="18" x14ac:dyDescent="0.2">
      <c r="A77" s="13" t="s">
        <v>7</v>
      </c>
      <c r="B77" s="13"/>
      <c r="D77" t="s">
        <v>89</v>
      </c>
    </row>
    <row r="78" spans="1:4" ht="18" x14ac:dyDescent="0.2">
      <c r="A78" s="13" t="s">
        <v>42</v>
      </c>
      <c r="B78" s="13"/>
      <c r="D78" t="s">
        <v>90</v>
      </c>
    </row>
    <row r="79" spans="1:4" ht="18" x14ac:dyDescent="0.2">
      <c r="A79" s="13" t="s">
        <v>41</v>
      </c>
      <c r="B79" s="13"/>
      <c r="D79" t="s">
        <v>91</v>
      </c>
    </row>
    <row r="80" spans="1:4" ht="18" x14ac:dyDescent="0.2">
      <c r="A80" s="13" t="s">
        <v>43</v>
      </c>
      <c r="B80" s="13"/>
      <c r="D80" t="s">
        <v>92</v>
      </c>
    </row>
    <row r="81" spans="1:4" ht="18" x14ac:dyDescent="0.2">
      <c r="A81" s="13" t="s">
        <v>45</v>
      </c>
      <c r="B81" s="13"/>
      <c r="D81" t="s">
        <v>93</v>
      </c>
    </row>
    <row r="82" spans="1:4" ht="18" x14ac:dyDescent="0.2">
      <c r="A82" s="13" t="s">
        <v>47</v>
      </c>
      <c r="B82" s="13"/>
      <c r="D82" t="s">
        <v>94</v>
      </c>
    </row>
    <row r="83" spans="1:4" ht="18" x14ac:dyDescent="0.2">
      <c r="A83" s="13" t="s">
        <v>11</v>
      </c>
      <c r="B83" s="13"/>
      <c r="D83" t="s">
        <v>95</v>
      </c>
    </row>
    <row r="84" spans="1:4" ht="18" x14ac:dyDescent="0.2">
      <c r="A84" s="13" t="s">
        <v>13</v>
      </c>
      <c r="B84" s="13"/>
      <c r="D84" t="s">
        <v>96</v>
      </c>
    </row>
    <row r="85" spans="1:4" ht="18" x14ac:dyDescent="0.2">
      <c r="A85" s="13" t="s">
        <v>15</v>
      </c>
      <c r="B85" s="13"/>
      <c r="D85" t="s">
        <v>187</v>
      </c>
    </row>
    <row r="86" spans="1:4" ht="18" x14ac:dyDescent="0.2">
      <c r="A86" s="13" t="s">
        <v>16</v>
      </c>
      <c r="B86" s="13"/>
      <c r="D86" t="s">
        <v>188</v>
      </c>
    </row>
    <row r="87" spans="1:4" ht="18" x14ac:dyDescent="0.2">
      <c r="A87" s="13" t="s">
        <v>19</v>
      </c>
      <c r="B87" s="13"/>
      <c r="D87" t="s">
        <v>97</v>
      </c>
    </row>
    <row r="88" spans="1:4" ht="18" x14ac:dyDescent="0.2">
      <c r="A88" s="13" t="s">
        <v>21</v>
      </c>
      <c r="B88" s="13"/>
      <c r="D88" t="s">
        <v>98</v>
      </c>
    </row>
  </sheetData>
  <autoFilter ref="A1:I44" xr:uid="{D6D884F1-82A7-984A-B124-F6A2F6399F0A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609-3905-414C-9DEE-F349E5DBD3B1}">
  <dimension ref="A1:Q189"/>
  <sheetViews>
    <sheetView topLeftCell="A60" zoomScale="113" zoomScaleNormal="90" workbookViewId="0">
      <pane xSplit="3440" ySplit="2560" topLeftCell="A133" activePane="bottomRight"/>
      <selection pane="topRight" activeCell="E61" sqref="E61"/>
      <selection pane="bottomLeft" activeCell="A105" sqref="A105"/>
      <selection pane="bottomRight" activeCell="H65" sqref="H65"/>
    </sheetView>
  </sheetViews>
  <sheetFormatPr baseColWidth="10" defaultRowHeight="16" x14ac:dyDescent="0.2"/>
  <cols>
    <col min="1" max="1" width="3.6640625" bestFit="1" customWidth="1"/>
    <col min="2" max="2" width="17.83203125" bestFit="1" customWidth="1"/>
    <col min="3" max="3" width="19.1640625" customWidth="1"/>
    <col min="4" max="5" width="18" bestFit="1" customWidth="1"/>
    <col min="6" max="6" width="24.83203125" bestFit="1" customWidth="1"/>
    <col min="7" max="7" width="18.1640625" bestFit="1" customWidth="1"/>
    <col min="8" max="8" width="22.1640625" bestFit="1" customWidth="1"/>
    <col min="9" max="9" width="18.5" bestFit="1" customWidth="1"/>
    <col min="10" max="10" width="18.83203125" bestFit="1" customWidth="1"/>
    <col min="11" max="12" width="15.83203125" bestFit="1" customWidth="1"/>
    <col min="13" max="13" width="9" bestFit="1" customWidth="1"/>
    <col min="14" max="14" width="20.6640625" bestFit="1" customWidth="1"/>
    <col min="15" max="15" width="19.83203125" bestFit="1" customWidth="1"/>
    <col min="16" max="16" width="20" bestFit="1" customWidth="1"/>
    <col min="17" max="17" width="12.1640625" bestFit="1" customWidth="1"/>
  </cols>
  <sheetData>
    <row r="1" spans="1:17" ht="18" x14ac:dyDescent="0.2">
      <c r="C1" s="64" t="s">
        <v>84</v>
      </c>
      <c r="D1" s="65"/>
      <c r="E1" s="65"/>
      <c r="F1" s="65"/>
      <c r="G1" s="65"/>
      <c r="H1" s="65"/>
      <c r="I1" s="65"/>
      <c r="J1" s="65"/>
      <c r="K1" s="65"/>
      <c r="L1" s="65"/>
      <c r="M1" s="66"/>
      <c r="N1" s="67"/>
      <c r="O1" s="67"/>
      <c r="P1" s="67"/>
    </row>
    <row r="2" spans="1:17" ht="18" x14ac:dyDescent="0.2">
      <c r="B2" s="69" t="s">
        <v>50</v>
      </c>
      <c r="C2" s="68" t="s">
        <v>25</v>
      </c>
      <c r="D2" s="68"/>
      <c r="E2" s="68"/>
      <c r="F2" s="71" t="s">
        <v>26</v>
      </c>
      <c r="G2" s="72"/>
      <c r="H2" s="72"/>
      <c r="I2" s="72"/>
      <c r="J2" s="73"/>
      <c r="K2" s="71" t="s">
        <v>82</v>
      </c>
      <c r="L2" s="72"/>
      <c r="M2" s="73"/>
      <c r="N2" s="68" t="s">
        <v>107</v>
      </c>
      <c r="O2" s="68" t="s">
        <v>85</v>
      </c>
      <c r="P2" s="68" t="s">
        <v>83</v>
      </c>
    </row>
    <row r="3" spans="1:17" ht="38" x14ac:dyDescent="0.2">
      <c r="B3" s="70"/>
      <c r="C3" s="6" t="s">
        <v>34</v>
      </c>
      <c r="D3" s="6" t="s">
        <v>28</v>
      </c>
      <c r="E3" s="21" t="s">
        <v>86</v>
      </c>
      <c r="F3" s="6" t="s">
        <v>29</v>
      </c>
      <c r="G3" s="19" t="s">
        <v>30</v>
      </c>
      <c r="H3" s="6" t="s">
        <v>35</v>
      </c>
      <c r="I3" s="6" t="s">
        <v>31</v>
      </c>
      <c r="J3" s="6" t="s">
        <v>36</v>
      </c>
      <c r="K3" s="6" t="s">
        <v>22</v>
      </c>
      <c r="L3" s="6" t="s">
        <v>23</v>
      </c>
      <c r="M3" s="6" t="s">
        <v>24</v>
      </c>
      <c r="N3" s="68"/>
      <c r="O3" s="68"/>
      <c r="P3" s="68"/>
    </row>
    <row r="4" spans="1:17" ht="18" x14ac:dyDescent="0.2">
      <c r="A4" s="74" t="s">
        <v>99</v>
      </c>
      <c r="B4" s="7" t="s">
        <v>37</v>
      </c>
      <c r="C4" s="2">
        <v>2362</v>
      </c>
      <c r="D4" s="2">
        <v>2026</v>
      </c>
      <c r="E4" s="2">
        <f>C4-D4</f>
        <v>336</v>
      </c>
      <c r="F4" s="2">
        <v>73187</v>
      </c>
      <c r="G4" s="2">
        <v>71717</v>
      </c>
      <c r="H4" s="2">
        <v>46433</v>
      </c>
      <c r="I4" s="2">
        <v>326</v>
      </c>
      <c r="J4" s="2">
        <v>14474</v>
      </c>
      <c r="K4" s="4">
        <v>7.8777715310521399E+65</v>
      </c>
      <c r="L4" s="4"/>
      <c r="M4" s="9"/>
      <c r="N4" s="2"/>
      <c r="O4" s="2"/>
      <c r="P4" s="2"/>
    </row>
    <row r="5" spans="1:17" ht="18" x14ac:dyDescent="0.2">
      <c r="A5" s="74"/>
      <c r="B5" s="2" t="s">
        <v>39</v>
      </c>
      <c r="C5" s="2">
        <v>49</v>
      </c>
      <c r="D5" s="2">
        <v>46</v>
      </c>
      <c r="E5" s="2">
        <f t="shared" ref="E5:E35" si="0">C5-D5</f>
        <v>3</v>
      </c>
      <c r="F5" s="2">
        <v>194</v>
      </c>
      <c r="G5" s="2">
        <v>184</v>
      </c>
      <c r="H5" s="2">
        <v>60</v>
      </c>
      <c r="I5" s="2">
        <v>2</v>
      </c>
      <c r="J5" s="2">
        <v>1</v>
      </c>
      <c r="K5" s="2">
        <v>255</v>
      </c>
      <c r="L5" s="2"/>
      <c r="M5" s="2"/>
      <c r="N5" s="2"/>
      <c r="O5" s="2"/>
      <c r="P5" s="2"/>
    </row>
    <row r="6" spans="1:17" ht="18" x14ac:dyDescent="0.2">
      <c r="A6" s="74"/>
      <c r="B6" s="2" t="s">
        <v>6</v>
      </c>
      <c r="C6" s="2">
        <v>147</v>
      </c>
      <c r="D6" s="2">
        <v>118</v>
      </c>
      <c r="E6" s="2">
        <f t="shared" si="0"/>
        <v>29</v>
      </c>
      <c r="F6" s="2">
        <v>2501</v>
      </c>
      <c r="G6" s="2">
        <v>1976</v>
      </c>
      <c r="H6" s="2">
        <v>83</v>
      </c>
      <c r="I6" s="2">
        <v>6</v>
      </c>
      <c r="J6" s="2">
        <v>0</v>
      </c>
      <c r="K6" s="2">
        <v>16227</v>
      </c>
      <c r="L6" s="2"/>
      <c r="M6" s="9"/>
      <c r="N6" s="2"/>
      <c r="O6" s="2"/>
      <c r="P6" s="2"/>
    </row>
    <row r="7" spans="1:17" ht="18" x14ac:dyDescent="0.2">
      <c r="A7" s="74"/>
      <c r="B7" s="7" t="s">
        <v>7</v>
      </c>
      <c r="C7" s="2">
        <v>12849</v>
      </c>
      <c r="D7" s="2">
        <v>1297</v>
      </c>
      <c r="E7" s="2">
        <f t="shared" si="0"/>
        <v>11552</v>
      </c>
      <c r="F7" s="2">
        <v>164154</v>
      </c>
      <c r="G7" s="2">
        <v>13531</v>
      </c>
      <c r="H7" s="2">
        <v>3646</v>
      </c>
      <c r="I7" s="2">
        <v>83</v>
      </c>
      <c r="J7" s="2">
        <v>34</v>
      </c>
      <c r="K7" s="2">
        <v>1595874</v>
      </c>
      <c r="L7" s="2"/>
      <c r="M7" s="9"/>
      <c r="N7" s="2"/>
      <c r="O7" s="2"/>
      <c r="P7" s="2"/>
    </row>
    <row r="8" spans="1:17" ht="18" x14ac:dyDescent="0.2">
      <c r="A8" s="74"/>
      <c r="B8" s="2" t="s">
        <v>42</v>
      </c>
      <c r="C8" s="2">
        <v>32</v>
      </c>
      <c r="D8" s="2">
        <v>30</v>
      </c>
      <c r="E8" s="2">
        <f t="shared" si="0"/>
        <v>2</v>
      </c>
      <c r="F8" s="2">
        <v>73</v>
      </c>
      <c r="G8" s="2">
        <v>67</v>
      </c>
      <c r="H8" s="2">
        <v>0</v>
      </c>
      <c r="I8" s="2">
        <v>0</v>
      </c>
      <c r="J8" s="2">
        <v>0</v>
      </c>
      <c r="K8" s="2">
        <v>85</v>
      </c>
      <c r="L8" s="2"/>
      <c r="M8" s="9"/>
      <c r="N8" s="2"/>
      <c r="O8" s="2"/>
      <c r="P8" s="2"/>
    </row>
    <row r="9" spans="1:17" ht="18" x14ac:dyDescent="0.2">
      <c r="A9" s="74"/>
      <c r="B9" s="2" t="s">
        <v>41</v>
      </c>
      <c r="C9" s="2">
        <v>10464</v>
      </c>
      <c r="D9" s="2">
        <v>1154</v>
      </c>
      <c r="E9" s="2">
        <f t="shared" si="0"/>
        <v>9310</v>
      </c>
      <c r="F9" s="2">
        <v>53970</v>
      </c>
      <c r="G9" s="2">
        <v>6272</v>
      </c>
      <c r="H9" s="2">
        <v>911</v>
      </c>
      <c r="I9" s="2">
        <v>57</v>
      </c>
      <c r="J9" s="2">
        <v>341</v>
      </c>
      <c r="K9" s="2">
        <v>19372811709</v>
      </c>
      <c r="L9" s="2"/>
      <c r="M9" s="9"/>
      <c r="N9" s="2"/>
      <c r="O9" s="2"/>
      <c r="P9" s="2"/>
    </row>
    <row r="10" spans="1:17" ht="18" x14ac:dyDescent="0.2">
      <c r="A10" s="74"/>
      <c r="B10" s="2" t="s">
        <v>44</v>
      </c>
      <c r="C10" s="2">
        <v>124</v>
      </c>
      <c r="D10" s="2">
        <v>100</v>
      </c>
      <c r="E10" s="2">
        <f t="shared" si="0"/>
        <v>24</v>
      </c>
      <c r="F10" s="2">
        <v>757</v>
      </c>
      <c r="G10" s="2">
        <v>640</v>
      </c>
      <c r="H10" s="2">
        <v>0</v>
      </c>
      <c r="I10" s="2">
        <v>0</v>
      </c>
      <c r="J10" s="2">
        <v>12</v>
      </c>
      <c r="K10" s="2">
        <v>153231</v>
      </c>
      <c r="L10" s="2"/>
      <c r="M10" s="9"/>
      <c r="N10" s="2"/>
      <c r="O10" s="2"/>
      <c r="P10" s="2"/>
    </row>
    <row r="11" spans="1:17" ht="18" x14ac:dyDescent="0.2">
      <c r="A11" s="74"/>
      <c r="B11" s="7" t="s">
        <v>46</v>
      </c>
      <c r="C11" s="2">
        <v>2096</v>
      </c>
      <c r="D11" s="2">
        <v>1072</v>
      </c>
      <c r="E11" s="2">
        <f t="shared" si="0"/>
        <v>1024</v>
      </c>
      <c r="F11" s="2">
        <v>32679</v>
      </c>
      <c r="G11" s="2">
        <v>21980</v>
      </c>
      <c r="H11" s="2">
        <v>920</v>
      </c>
      <c r="I11" s="2">
        <v>21</v>
      </c>
      <c r="J11" s="2">
        <v>667</v>
      </c>
      <c r="K11" s="4">
        <v>6.2015216856664699E+24</v>
      </c>
      <c r="L11" s="4"/>
      <c r="M11" s="9"/>
      <c r="N11" s="2"/>
      <c r="O11" s="2"/>
      <c r="P11" s="2"/>
      <c r="Q11">
        <f>POWER(2,64)</f>
        <v>1.8446744073709552E+19</v>
      </c>
    </row>
    <row r="12" spans="1:17" ht="18" x14ac:dyDescent="0.2">
      <c r="A12" s="74"/>
      <c r="B12" s="2" t="s">
        <v>45</v>
      </c>
      <c r="C12" s="2">
        <v>343</v>
      </c>
      <c r="D12" s="2">
        <v>240</v>
      </c>
      <c r="E12" s="2">
        <f t="shared" si="0"/>
        <v>103</v>
      </c>
      <c r="F12" s="2">
        <v>2080</v>
      </c>
      <c r="G12" s="2">
        <v>1135</v>
      </c>
      <c r="H12" s="2">
        <v>53</v>
      </c>
      <c r="I12" s="2">
        <v>1</v>
      </c>
      <c r="J12" s="2">
        <v>18</v>
      </c>
      <c r="K12" s="2">
        <v>8864</v>
      </c>
      <c r="L12" s="2"/>
      <c r="M12" s="9"/>
      <c r="N12" s="2"/>
      <c r="O12" s="2"/>
      <c r="P12" s="2"/>
    </row>
    <row r="13" spans="1:17" ht="18" x14ac:dyDescent="0.2">
      <c r="A13" s="74"/>
      <c r="B13" s="2" t="s">
        <v>48</v>
      </c>
      <c r="C13" s="2">
        <v>255</v>
      </c>
      <c r="D13" s="2">
        <v>115</v>
      </c>
      <c r="E13" s="2">
        <f t="shared" si="0"/>
        <v>140</v>
      </c>
      <c r="F13" s="2">
        <v>2916</v>
      </c>
      <c r="G13" s="2">
        <v>1342</v>
      </c>
      <c r="H13" s="2">
        <v>7</v>
      </c>
      <c r="I13" s="2">
        <v>1</v>
      </c>
      <c r="J13" s="2">
        <v>25</v>
      </c>
      <c r="K13" s="2">
        <v>33328</v>
      </c>
      <c r="L13" s="2"/>
      <c r="M13" s="9"/>
      <c r="N13" s="2"/>
      <c r="O13" s="2"/>
      <c r="P13" s="2"/>
    </row>
    <row r="14" spans="1:17" ht="18" x14ac:dyDescent="0.2">
      <c r="A14" s="74"/>
      <c r="B14" s="2" t="s">
        <v>47</v>
      </c>
      <c r="C14" s="2">
        <v>364</v>
      </c>
      <c r="D14" s="2">
        <v>233</v>
      </c>
      <c r="E14" s="2">
        <f t="shared" si="0"/>
        <v>131</v>
      </c>
      <c r="F14" s="2">
        <v>2032</v>
      </c>
      <c r="G14" s="2">
        <v>1260</v>
      </c>
      <c r="H14" s="2">
        <v>711</v>
      </c>
      <c r="I14" s="2">
        <v>27</v>
      </c>
      <c r="J14" s="2">
        <v>91</v>
      </c>
      <c r="K14" s="2">
        <v>26403529</v>
      </c>
      <c r="L14" s="2"/>
      <c r="M14" s="9"/>
      <c r="N14" s="2"/>
      <c r="O14" s="2"/>
      <c r="P14" s="2"/>
    </row>
    <row r="15" spans="1:17" ht="18" x14ac:dyDescent="0.2">
      <c r="A15" s="74"/>
      <c r="B15" s="7" t="s">
        <v>9</v>
      </c>
      <c r="C15" s="2">
        <v>2362</v>
      </c>
      <c r="D15" s="2">
        <v>2025</v>
      </c>
      <c r="E15" s="2">
        <f t="shared" si="0"/>
        <v>337</v>
      </c>
      <c r="F15" s="2">
        <v>74823</v>
      </c>
      <c r="G15" s="2">
        <v>73347</v>
      </c>
      <c r="H15" s="2">
        <v>48063</v>
      </c>
      <c r="I15" s="2">
        <v>326</v>
      </c>
      <c r="J15" s="2">
        <v>14976</v>
      </c>
      <c r="K15" s="4">
        <v>3.7025629983269398E+60</v>
      </c>
      <c r="L15" s="4"/>
      <c r="M15" s="9"/>
      <c r="N15" s="2"/>
      <c r="O15" s="2"/>
      <c r="P15" s="2"/>
    </row>
    <row r="16" spans="1:17" ht="18" x14ac:dyDescent="0.2">
      <c r="A16" s="74"/>
      <c r="B16" s="2" t="s">
        <v>11</v>
      </c>
      <c r="C16" s="2">
        <v>49</v>
      </c>
      <c r="D16" s="2">
        <v>46</v>
      </c>
      <c r="E16" s="2">
        <f t="shared" si="0"/>
        <v>3</v>
      </c>
      <c r="F16" s="2">
        <v>194</v>
      </c>
      <c r="G16" s="2">
        <v>184</v>
      </c>
      <c r="H16" s="2">
        <v>60</v>
      </c>
      <c r="I16" s="2">
        <v>2</v>
      </c>
      <c r="J16" s="2">
        <v>1</v>
      </c>
      <c r="K16" s="2">
        <v>255</v>
      </c>
      <c r="L16" s="2"/>
      <c r="M16" s="9"/>
      <c r="N16" s="2"/>
      <c r="O16" s="2"/>
      <c r="P16" s="2"/>
    </row>
    <row r="17" spans="1:16" ht="18" x14ac:dyDescent="0.2">
      <c r="A17" s="74"/>
      <c r="B17" s="2" t="s">
        <v>13</v>
      </c>
      <c r="C17" s="2">
        <v>43</v>
      </c>
      <c r="D17" s="2">
        <v>31</v>
      </c>
      <c r="E17" s="2">
        <f t="shared" si="0"/>
        <v>12</v>
      </c>
      <c r="F17" s="2">
        <v>94</v>
      </c>
      <c r="G17" s="2">
        <v>73</v>
      </c>
      <c r="H17" s="2">
        <v>0</v>
      </c>
      <c r="I17" s="2">
        <v>0</v>
      </c>
      <c r="J17" s="2">
        <v>0</v>
      </c>
      <c r="K17" s="2">
        <v>95</v>
      </c>
      <c r="L17" s="2"/>
      <c r="M17" s="9"/>
      <c r="N17" s="2"/>
      <c r="O17" s="2"/>
      <c r="P17" s="2"/>
    </row>
    <row r="18" spans="1:16" ht="18" x14ac:dyDescent="0.2">
      <c r="A18" s="74"/>
      <c r="B18" s="2" t="s">
        <v>15</v>
      </c>
      <c r="C18" s="2">
        <v>10465</v>
      </c>
      <c r="D18" s="2">
        <v>1179</v>
      </c>
      <c r="E18" s="2">
        <f t="shared" si="0"/>
        <v>9286</v>
      </c>
      <c r="F18" s="2">
        <v>53831</v>
      </c>
      <c r="G18" s="2">
        <v>6409</v>
      </c>
      <c r="H18" s="2">
        <v>923</v>
      </c>
      <c r="I18" s="2">
        <v>57</v>
      </c>
      <c r="J18" s="2">
        <v>330</v>
      </c>
      <c r="K18" s="2">
        <v>28828683857</v>
      </c>
      <c r="L18" s="2"/>
      <c r="M18" s="9"/>
      <c r="N18" s="2"/>
      <c r="O18" s="2"/>
      <c r="P18" s="2"/>
    </row>
    <row r="19" spans="1:16" ht="18" x14ac:dyDescent="0.2">
      <c r="A19" s="74"/>
      <c r="B19" s="2" t="s">
        <v>17</v>
      </c>
      <c r="C19" s="2">
        <v>124</v>
      </c>
      <c r="D19" s="2">
        <v>100</v>
      </c>
      <c r="E19" s="2">
        <f t="shared" si="0"/>
        <v>24</v>
      </c>
      <c r="F19" s="2">
        <v>757</v>
      </c>
      <c r="G19" s="2">
        <v>640</v>
      </c>
      <c r="H19" s="2">
        <v>0</v>
      </c>
      <c r="I19" s="2">
        <v>0</v>
      </c>
      <c r="J19" s="2">
        <v>12</v>
      </c>
      <c r="K19" s="2">
        <v>153231</v>
      </c>
      <c r="L19" s="2"/>
      <c r="M19" s="9"/>
      <c r="N19" s="2"/>
      <c r="O19" s="2"/>
      <c r="P19" s="2"/>
    </row>
    <row r="20" spans="1:16" ht="18" x14ac:dyDescent="0.2">
      <c r="A20" s="74"/>
      <c r="B20" s="7" t="s">
        <v>18</v>
      </c>
      <c r="C20" s="2">
        <v>2295</v>
      </c>
      <c r="D20" s="2">
        <v>1085</v>
      </c>
      <c r="E20" s="2">
        <f t="shared" si="0"/>
        <v>1210</v>
      </c>
      <c r="F20" s="2">
        <v>34437</v>
      </c>
      <c r="G20" s="2">
        <v>21969</v>
      </c>
      <c r="H20" s="2">
        <v>737</v>
      </c>
      <c r="I20" s="2">
        <v>21</v>
      </c>
      <c r="J20" s="2">
        <v>615</v>
      </c>
      <c r="K20" s="4">
        <v>2.3393131707155601E+21</v>
      </c>
      <c r="L20" s="4"/>
      <c r="M20" s="9"/>
      <c r="N20" s="2"/>
      <c r="O20" s="2"/>
      <c r="P20" s="2"/>
    </row>
    <row r="21" spans="1:16" ht="18" x14ac:dyDescent="0.2">
      <c r="A21" s="74"/>
      <c r="B21" s="2" t="s">
        <v>19</v>
      </c>
      <c r="C21" s="2">
        <v>343</v>
      </c>
      <c r="D21" s="2">
        <v>240</v>
      </c>
      <c r="E21" s="2">
        <f t="shared" si="0"/>
        <v>103</v>
      </c>
      <c r="F21" s="2">
        <v>2080</v>
      </c>
      <c r="G21" s="2">
        <v>1135</v>
      </c>
      <c r="H21" s="2">
        <v>53</v>
      </c>
      <c r="I21" s="2">
        <v>1</v>
      </c>
      <c r="J21" s="2">
        <v>18</v>
      </c>
      <c r="K21" s="2">
        <v>8864</v>
      </c>
      <c r="L21" s="2"/>
      <c r="M21" s="9"/>
      <c r="N21" s="2"/>
      <c r="O21" s="2"/>
      <c r="P21" s="2"/>
    </row>
    <row r="22" spans="1:16" ht="18" x14ac:dyDescent="0.2">
      <c r="A22" s="74"/>
      <c r="B22" s="2" t="s">
        <v>20</v>
      </c>
      <c r="C22" s="2">
        <v>273</v>
      </c>
      <c r="D22" s="2">
        <v>122</v>
      </c>
      <c r="E22" s="2">
        <f t="shared" si="0"/>
        <v>151</v>
      </c>
      <c r="F22" s="2">
        <v>3014</v>
      </c>
      <c r="G22" s="2">
        <v>1358</v>
      </c>
      <c r="H22" s="2">
        <v>7</v>
      </c>
      <c r="I22" s="2">
        <v>1</v>
      </c>
      <c r="J22" s="2">
        <v>24</v>
      </c>
      <c r="K22" s="2">
        <v>33658</v>
      </c>
      <c r="L22" s="2"/>
      <c r="M22" s="9"/>
      <c r="N22" s="2"/>
      <c r="O22" s="2"/>
      <c r="P22" s="2"/>
    </row>
    <row r="23" spans="1:16" ht="18" x14ac:dyDescent="0.2">
      <c r="A23" s="74"/>
      <c r="B23" s="2" t="s">
        <v>21</v>
      </c>
      <c r="C23" s="2">
        <v>375</v>
      </c>
      <c r="D23" s="2">
        <v>232</v>
      </c>
      <c r="E23" s="2">
        <f t="shared" si="0"/>
        <v>143</v>
      </c>
      <c r="F23" s="2">
        <v>2090</v>
      </c>
      <c r="G23" s="2">
        <v>1255</v>
      </c>
      <c r="H23" s="2">
        <v>681</v>
      </c>
      <c r="I23" s="2">
        <v>27</v>
      </c>
      <c r="J23" s="2">
        <v>77</v>
      </c>
      <c r="K23" s="2">
        <v>13491326</v>
      </c>
      <c r="L23" s="2"/>
      <c r="M23" s="9"/>
      <c r="N23" s="2"/>
      <c r="O23" s="2"/>
      <c r="P23" s="2"/>
    </row>
    <row r="24" spans="1:16" ht="18" x14ac:dyDescent="0.2">
      <c r="A24" s="74" t="s">
        <v>100</v>
      </c>
      <c r="B24" s="2" t="s">
        <v>87</v>
      </c>
      <c r="C24" s="2">
        <v>73</v>
      </c>
      <c r="D24" s="2">
        <v>73</v>
      </c>
      <c r="E24" s="2">
        <f t="shared" si="0"/>
        <v>0</v>
      </c>
      <c r="F24" s="2">
        <v>270</v>
      </c>
      <c r="G24" s="2">
        <v>270</v>
      </c>
      <c r="H24" s="2">
        <v>0</v>
      </c>
      <c r="I24" s="2">
        <v>0</v>
      </c>
      <c r="J24" s="2">
        <v>2</v>
      </c>
      <c r="K24" s="2">
        <v>495</v>
      </c>
      <c r="L24" s="2"/>
      <c r="M24" s="9"/>
      <c r="N24" s="2">
        <v>32328363</v>
      </c>
      <c r="O24" s="2">
        <v>3761</v>
      </c>
      <c r="P24" s="2">
        <v>5</v>
      </c>
    </row>
    <row r="25" spans="1:16" ht="18" x14ac:dyDescent="0.2">
      <c r="A25" s="74"/>
      <c r="B25" s="2" t="s">
        <v>88</v>
      </c>
      <c r="C25" s="2">
        <v>155</v>
      </c>
      <c r="D25" s="2">
        <v>155</v>
      </c>
      <c r="E25" s="2">
        <f t="shared" si="0"/>
        <v>0</v>
      </c>
      <c r="F25" s="2">
        <v>536</v>
      </c>
      <c r="G25" s="2">
        <v>536</v>
      </c>
      <c r="H25" s="2">
        <v>0</v>
      </c>
      <c r="I25" s="2">
        <v>0</v>
      </c>
      <c r="J25" s="2">
        <v>4</v>
      </c>
      <c r="K25" s="2">
        <v>4819</v>
      </c>
      <c r="L25" s="2"/>
      <c r="M25" s="9"/>
      <c r="N25" s="2">
        <v>2025479</v>
      </c>
      <c r="O25" s="2">
        <v>13740</v>
      </c>
      <c r="P25" s="2">
        <v>5</v>
      </c>
    </row>
    <row r="26" spans="1:16" ht="18" x14ac:dyDescent="0.2">
      <c r="A26" s="74"/>
      <c r="B26" s="2" t="s">
        <v>89</v>
      </c>
      <c r="C26" s="2">
        <v>39</v>
      </c>
      <c r="D26" s="2">
        <v>39</v>
      </c>
      <c r="E26" s="2">
        <f t="shared" si="0"/>
        <v>0</v>
      </c>
      <c r="F26" s="2">
        <v>187</v>
      </c>
      <c r="G26" s="2">
        <v>187</v>
      </c>
      <c r="H26" s="2">
        <v>0</v>
      </c>
      <c r="I26" s="2">
        <v>0</v>
      </c>
      <c r="J26" s="2">
        <v>0</v>
      </c>
      <c r="K26" s="2">
        <v>373</v>
      </c>
      <c r="L26" s="2"/>
      <c r="M26" s="9"/>
      <c r="N26" s="2">
        <v>662506</v>
      </c>
      <c r="O26" s="2">
        <v>10677</v>
      </c>
      <c r="P26" s="2">
        <v>5</v>
      </c>
    </row>
    <row r="27" spans="1:16" ht="18" x14ac:dyDescent="0.2">
      <c r="A27" s="74"/>
      <c r="B27" s="2" t="s">
        <v>90</v>
      </c>
      <c r="C27" s="2">
        <v>115</v>
      </c>
      <c r="D27" s="2">
        <v>115</v>
      </c>
      <c r="E27" s="2">
        <f t="shared" si="0"/>
        <v>0</v>
      </c>
      <c r="F27" s="2">
        <v>542</v>
      </c>
      <c r="G27" s="2">
        <v>542</v>
      </c>
      <c r="H27" s="2">
        <v>38</v>
      </c>
      <c r="I27" s="2">
        <v>7</v>
      </c>
      <c r="J27" s="2">
        <v>8</v>
      </c>
      <c r="K27" s="2">
        <v>14473</v>
      </c>
      <c r="L27" s="2"/>
      <c r="M27" s="9"/>
      <c r="N27" s="2">
        <v>4130829</v>
      </c>
      <c r="O27" s="2">
        <v>6939</v>
      </c>
      <c r="P27" s="2">
        <v>5</v>
      </c>
    </row>
    <row r="28" spans="1:16" ht="18" x14ac:dyDescent="0.2">
      <c r="A28" s="74"/>
      <c r="B28" s="2" t="s">
        <v>91</v>
      </c>
      <c r="C28" s="2">
        <v>39</v>
      </c>
      <c r="D28" s="2">
        <v>39</v>
      </c>
      <c r="E28" s="2">
        <f t="shared" si="0"/>
        <v>0</v>
      </c>
      <c r="F28" s="2">
        <v>160</v>
      </c>
      <c r="G28" s="2">
        <v>160</v>
      </c>
      <c r="H28" s="2">
        <v>0</v>
      </c>
      <c r="I28" s="2">
        <v>0</v>
      </c>
      <c r="J28" s="2">
        <v>0</v>
      </c>
      <c r="K28" s="2">
        <v>221</v>
      </c>
      <c r="L28" s="2"/>
      <c r="M28" s="9"/>
      <c r="N28" s="2">
        <v>1503067565</v>
      </c>
      <c r="O28" s="2">
        <v>2497</v>
      </c>
      <c r="P28" s="2">
        <v>5</v>
      </c>
    </row>
    <row r="29" spans="1:16" ht="18" x14ac:dyDescent="0.2">
      <c r="A29" s="74"/>
      <c r="B29" s="2" t="s">
        <v>92</v>
      </c>
      <c r="C29" s="2">
        <v>36</v>
      </c>
      <c r="D29" s="2">
        <v>36</v>
      </c>
      <c r="E29" s="2">
        <f t="shared" si="0"/>
        <v>0</v>
      </c>
      <c r="F29" s="2">
        <v>148</v>
      </c>
      <c r="G29" s="2">
        <v>148</v>
      </c>
      <c r="H29" s="2">
        <v>0</v>
      </c>
      <c r="I29" s="2">
        <v>0</v>
      </c>
      <c r="J29" s="2">
        <v>0</v>
      </c>
      <c r="K29" s="2">
        <v>208</v>
      </c>
      <c r="L29" s="2"/>
      <c r="M29" s="9"/>
      <c r="N29" s="2">
        <v>1502936468</v>
      </c>
      <c r="O29" s="2">
        <v>2461</v>
      </c>
      <c r="P29" s="2">
        <v>5</v>
      </c>
    </row>
    <row r="30" spans="1:16" ht="18" x14ac:dyDescent="0.2">
      <c r="A30" s="74"/>
      <c r="B30" s="2" t="s">
        <v>93</v>
      </c>
      <c r="C30" s="2">
        <v>43</v>
      </c>
      <c r="D30" s="2">
        <v>43</v>
      </c>
      <c r="E30" s="2">
        <f t="shared" si="0"/>
        <v>0</v>
      </c>
      <c r="F30" s="2">
        <v>339</v>
      </c>
      <c r="G30" s="2">
        <v>339</v>
      </c>
      <c r="H30" s="2">
        <v>0</v>
      </c>
      <c r="I30" s="2">
        <v>0</v>
      </c>
      <c r="J30" s="2">
        <v>0</v>
      </c>
      <c r="K30" s="2">
        <v>612</v>
      </c>
      <c r="L30" s="2"/>
      <c r="M30" s="9"/>
      <c r="N30" s="2">
        <v>16808171</v>
      </c>
      <c r="O30" s="2">
        <v>5376</v>
      </c>
      <c r="P30" s="2">
        <v>5</v>
      </c>
    </row>
    <row r="31" spans="1:16" ht="18" x14ac:dyDescent="0.2">
      <c r="A31" s="74"/>
      <c r="B31" s="2" t="s">
        <v>94</v>
      </c>
      <c r="C31" s="2">
        <v>35</v>
      </c>
      <c r="D31" s="2">
        <v>35</v>
      </c>
      <c r="E31" s="2">
        <f t="shared" si="0"/>
        <v>0</v>
      </c>
      <c r="F31" s="2">
        <v>265</v>
      </c>
      <c r="G31" s="2">
        <v>265</v>
      </c>
      <c r="H31" s="2">
        <v>0</v>
      </c>
      <c r="I31" s="2">
        <v>0</v>
      </c>
      <c r="J31" s="2">
        <v>0</v>
      </c>
      <c r="K31" s="2">
        <v>495</v>
      </c>
      <c r="L31" s="2"/>
      <c r="M31" s="9"/>
      <c r="N31" s="2">
        <v>37601</v>
      </c>
      <c r="O31" s="2">
        <v>4925</v>
      </c>
      <c r="P31" s="2">
        <v>5</v>
      </c>
    </row>
    <row r="32" spans="1:16" ht="18" x14ac:dyDescent="0.2">
      <c r="A32" s="74"/>
      <c r="B32" s="2" t="s">
        <v>95</v>
      </c>
      <c r="C32" s="9"/>
      <c r="D32" s="9"/>
      <c r="E32" s="9"/>
      <c r="F32" s="9"/>
      <c r="G32" s="9"/>
      <c r="H32" s="9"/>
      <c r="I32" s="9"/>
      <c r="J32" s="9"/>
      <c r="M32" s="9"/>
      <c r="N32" s="2">
        <v>43806613</v>
      </c>
      <c r="O32" s="2">
        <v>3628705</v>
      </c>
      <c r="P32" s="2">
        <v>5</v>
      </c>
    </row>
    <row r="33" spans="1:17" ht="18" x14ac:dyDescent="0.2">
      <c r="A33" s="74"/>
      <c r="B33" s="2" t="s">
        <v>96</v>
      </c>
      <c r="C33" s="2">
        <v>205</v>
      </c>
      <c r="D33" s="2">
        <v>150</v>
      </c>
      <c r="E33" s="2">
        <f t="shared" si="0"/>
        <v>55</v>
      </c>
      <c r="F33" s="2">
        <v>835</v>
      </c>
      <c r="G33" s="2">
        <v>613</v>
      </c>
      <c r="H33" s="2">
        <v>16</v>
      </c>
      <c r="I33" s="2">
        <v>7</v>
      </c>
      <c r="J33" s="2">
        <v>30</v>
      </c>
      <c r="K33" s="2">
        <v>315092</v>
      </c>
      <c r="L33" s="2"/>
      <c r="M33" s="9"/>
      <c r="N33" s="2">
        <v>368195465</v>
      </c>
      <c r="O33" s="2">
        <v>2535</v>
      </c>
      <c r="P33" s="2">
        <v>5</v>
      </c>
    </row>
    <row r="34" spans="1:17" ht="18" x14ac:dyDescent="0.2">
      <c r="A34" s="74"/>
      <c r="B34" s="2" t="s">
        <v>97</v>
      </c>
      <c r="C34" s="2">
        <v>42</v>
      </c>
      <c r="D34" s="2">
        <v>42</v>
      </c>
      <c r="E34" s="2">
        <f t="shared" si="0"/>
        <v>0</v>
      </c>
      <c r="F34" s="2">
        <v>221</v>
      </c>
      <c r="G34" s="2">
        <v>221</v>
      </c>
      <c r="H34" s="2">
        <v>0</v>
      </c>
      <c r="I34" s="2">
        <v>0</v>
      </c>
      <c r="J34" s="2">
        <v>0</v>
      </c>
      <c r="K34" s="2">
        <v>394</v>
      </c>
      <c r="L34" s="2"/>
      <c r="M34" s="9"/>
      <c r="N34" s="2">
        <v>161893449</v>
      </c>
      <c r="O34" s="2">
        <v>4630</v>
      </c>
      <c r="P34" s="2">
        <v>5</v>
      </c>
    </row>
    <row r="35" spans="1:17" ht="18" x14ac:dyDescent="0.2">
      <c r="A35" s="74"/>
      <c r="B35" s="2" t="s">
        <v>98</v>
      </c>
      <c r="C35" s="2">
        <v>42</v>
      </c>
      <c r="D35" s="2">
        <v>42</v>
      </c>
      <c r="E35" s="2">
        <f t="shared" si="0"/>
        <v>0</v>
      </c>
      <c r="F35" s="2">
        <v>234</v>
      </c>
      <c r="G35" s="2">
        <v>234</v>
      </c>
      <c r="H35" s="2">
        <v>0</v>
      </c>
      <c r="I35" s="2">
        <v>0</v>
      </c>
      <c r="J35" s="2">
        <v>0</v>
      </c>
      <c r="K35" s="2">
        <v>397</v>
      </c>
      <c r="L35" s="2"/>
      <c r="M35" s="9"/>
      <c r="N35" s="2">
        <v>27416376</v>
      </c>
      <c r="O35" s="2">
        <v>4958</v>
      </c>
      <c r="P35" s="2">
        <v>5</v>
      </c>
    </row>
    <row r="36" spans="1:17" ht="18" x14ac:dyDescent="0.2">
      <c r="E36" s="2"/>
    </row>
    <row r="37" spans="1:17" ht="18" x14ac:dyDescent="0.2">
      <c r="B37" s="9"/>
      <c r="C37" s="68" t="s">
        <v>101</v>
      </c>
      <c r="D37" s="71" t="s">
        <v>102</v>
      </c>
      <c r="E37" s="73"/>
    </row>
    <row r="38" spans="1:17" ht="18" x14ac:dyDescent="0.2">
      <c r="B38" s="9"/>
      <c r="C38" s="68"/>
      <c r="D38" s="6" t="s">
        <v>103</v>
      </c>
      <c r="E38" s="6" t="s">
        <v>104</v>
      </c>
    </row>
    <row r="39" spans="1:17" ht="18" x14ac:dyDescent="0.2">
      <c r="B39" s="2" t="s">
        <v>87</v>
      </c>
      <c r="C39" s="2">
        <v>6</v>
      </c>
      <c r="D39" s="2">
        <v>136</v>
      </c>
      <c r="E39" s="2">
        <v>272</v>
      </c>
      <c r="P39">
        <v>4208</v>
      </c>
    </row>
    <row r="40" spans="1:17" ht="18" x14ac:dyDescent="0.2">
      <c r="B40" s="2" t="s">
        <v>88</v>
      </c>
      <c r="C40" s="2">
        <v>4</v>
      </c>
      <c r="D40" s="2">
        <v>32</v>
      </c>
      <c r="E40" s="2">
        <v>64</v>
      </c>
      <c r="P40">
        <v>48</v>
      </c>
      <c r="Q40">
        <v>4256</v>
      </c>
    </row>
    <row r="41" spans="1:17" ht="18" x14ac:dyDescent="0.2">
      <c r="B41" s="2" t="s">
        <v>89</v>
      </c>
      <c r="C41" s="2">
        <v>7</v>
      </c>
      <c r="D41" s="2">
        <v>56</v>
      </c>
      <c r="E41" s="2">
        <v>112</v>
      </c>
      <c r="P41">
        <v>8560</v>
      </c>
      <c r="Q41">
        <v>8608</v>
      </c>
    </row>
    <row r="42" spans="1:17" ht="18" x14ac:dyDescent="0.2">
      <c r="B42" s="2" t="s">
        <v>90</v>
      </c>
      <c r="C42" s="2">
        <v>13</v>
      </c>
      <c r="D42" s="2">
        <v>272</v>
      </c>
      <c r="E42" s="2">
        <v>544</v>
      </c>
      <c r="P42">
        <v>48</v>
      </c>
      <c r="Q42">
        <v>2848</v>
      </c>
    </row>
    <row r="43" spans="1:17" ht="18" x14ac:dyDescent="0.2">
      <c r="B43" s="2" t="s">
        <v>91</v>
      </c>
      <c r="C43" s="2">
        <v>5</v>
      </c>
      <c r="D43" s="2">
        <v>536</v>
      </c>
      <c r="E43" s="2">
        <v>1072</v>
      </c>
      <c r="P43">
        <v>2800</v>
      </c>
      <c r="Q43">
        <v>14512</v>
      </c>
    </row>
    <row r="44" spans="1:17" ht="18" x14ac:dyDescent="0.2">
      <c r="B44" s="2" t="s">
        <v>92</v>
      </c>
      <c r="C44" s="2">
        <v>5</v>
      </c>
      <c r="D44" s="2">
        <v>536</v>
      </c>
      <c r="E44" s="2">
        <v>1072</v>
      </c>
      <c r="P44">
        <v>48</v>
      </c>
      <c r="Q44">
        <v>2480</v>
      </c>
    </row>
    <row r="45" spans="1:17" ht="18" x14ac:dyDescent="0.2">
      <c r="B45" s="2" t="s">
        <v>93</v>
      </c>
      <c r="C45" s="2">
        <v>20</v>
      </c>
      <c r="D45" s="2">
        <v>7200</v>
      </c>
      <c r="E45" s="2">
        <v>14400</v>
      </c>
      <c r="P45">
        <v>7792</v>
      </c>
      <c r="Q45">
        <v>2288</v>
      </c>
    </row>
    <row r="46" spans="1:17" ht="18" x14ac:dyDescent="0.2">
      <c r="B46" s="2" t="s">
        <v>94</v>
      </c>
      <c r="C46" s="2">
        <v>19</v>
      </c>
      <c r="D46" s="2">
        <v>6960</v>
      </c>
      <c r="E46" s="2">
        <v>13920</v>
      </c>
      <c r="P46">
        <v>6720</v>
      </c>
      <c r="Q46">
        <v>4864</v>
      </c>
    </row>
    <row r="47" spans="1:17" ht="18" x14ac:dyDescent="0.2">
      <c r="B47" s="2" t="s">
        <v>95</v>
      </c>
      <c r="C47" s="2">
        <v>5</v>
      </c>
      <c r="D47" s="2">
        <v>80</v>
      </c>
      <c r="E47" s="2">
        <v>160</v>
      </c>
      <c r="P47">
        <v>2432</v>
      </c>
      <c r="Q47">
        <v>3712</v>
      </c>
    </row>
    <row r="48" spans="1:17" ht="18" x14ac:dyDescent="0.2">
      <c r="B48" s="2" t="s">
        <v>96</v>
      </c>
      <c r="C48" s="2">
        <v>7</v>
      </c>
      <c r="D48" s="2">
        <v>120</v>
      </c>
      <c r="E48" s="2">
        <v>240</v>
      </c>
      <c r="P48">
        <v>48</v>
      </c>
      <c r="Q48">
        <v>19144</v>
      </c>
    </row>
    <row r="49" spans="1:17" ht="18" x14ac:dyDescent="0.2">
      <c r="B49" s="2" t="s">
        <v>97</v>
      </c>
      <c r="C49" s="2">
        <v>9</v>
      </c>
      <c r="D49" s="2">
        <v>160</v>
      </c>
      <c r="E49" s="2">
        <v>320</v>
      </c>
      <c r="P49">
        <v>2240</v>
      </c>
      <c r="Q49">
        <v>2352</v>
      </c>
    </row>
    <row r="50" spans="1:17" ht="18" x14ac:dyDescent="0.2">
      <c r="B50" s="2" t="s">
        <v>98</v>
      </c>
      <c r="C50" s="2">
        <v>9</v>
      </c>
      <c r="D50" s="2">
        <v>160</v>
      </c>
      <c r="E50" s="2">
        <v>320</v>
      </c>
      <c r="P50">
        <v>48</v>
      </c>
      <c r="Q50">
        <v>3344</v>
      </c>
    </row>
    <row r="51" spans="1:17" x14ac:dyDescent="0.2">
      <c r="P51">
        <v>4816</v>
      </c>
      <c r="Q51">
        <v>3552</v>
      </c>
    </row>
    <row r="52" spans="1:17" x14ac:dyDescent="0.2">
      <c r="P52">
        <v>48</v>
      </c>
    </row>
    <row r="53" spans="1:17" x14ac:dyDescent="0.2">
      <c r="P53">
        <v>3664</v>
      </c>
    </row>
    <row r="54" spans="1:17" x14ac:dyDescent="0.2">
      <c r="P54">
        <v>48</v>
      </c>
    </row>
    <row r="55" spans="1:17" x14ac:dyDescent="0.2">
      <c r="P55">
        <v>12880</v>
      </c>
    </row>
    <row r="56" spans="1:17" x14ac:dyDescent="0.2">
      <c r="P56">
        <v>6264</v>
      </c>
    </row>
    <row r="57" spans="1:17" x14ac:dyDescent="0.2">
      <c r="P57">
        <v>2304</v>
      </c>
    </row>
    <row r="58" spans="1:17" ht="18" x14ac:dyDescent="0.2">
      <c r="C58" s="75" t="s">
        <v>84</v>
      </c>
      <c r="D58" s="76"/>
      <c r="E58" s="76"/>
      <c r="F58" s="76"/>
      <c r="G58" s="76"/>
      <c r="P58">
        <v>48</v>
      </c>
    </row>
    <row r="59" spans="1:17" ht="18" x14ac:dyDescent="0.2">
      <c r="C59" s="64" t="s">
        <v>84</v>
      </c>
      <c r="D59" s="65"/>
      <c r="E59" s="65"/>
      <c r="F59" s="65"/>
      <c r="G59" s="65"/>
      <c r="H59" s="65" t="s">
        <v>112</v>
      </c>
      <c r="I59" s="65"/>
      <c r="J59" s="27"/>
      <c r="K59" s="27"/>
      <c r="L59" s="27"/>
      <c r="M59" s="28"/>
      <c r="N59" s="67"/>
      <c r="O59" s="67"/>
      <c r="P59" s="67"/>
    </row>
    <row r="60" spans="1:17" ht="38" x14ac:dyDescent="0.2">
      <c r="B60" s="22" t="s">
        <v>50</v>
      </c>
      <c r="C60" s="23" t="s">
        <v>25</v>
      </c>
      <c r="D60" s="23" t="s">
        <v>26</v>
      </c>
      <c r="E60" s="23" t="s">
        <v>110</v>
      </c>
      <c r="F60" s="24" t="s">
        <v>111</v>
      </c>
      <c r="G60" s="33" t="s">
        <v>127</v>
      </c>
      <c r="H60" s="25"/>
      <c r="I60" s="25"/>
      <c r="J60" s="26"/>
      <c r="K60" s="71" t="s">
        <v>82</v>
      </c>
      <c r="L60" s="72"/>
      <c r="M60" s="73"/>
      <c r="N60" s="6" t="s">
        <v>107</v>
      </c>
      <c r="O60" s="6" t="s">
        <v>85</v>
      </c>
      <c r="P60" s="6" t="s">
        <v>83</v>
      </c>
    </row>
    <row r="61" spans="1:17" ht="18" x14ac:dyDescent="0.2">
      <c r="A61" s="74" t="s">
        <v>99</v>
      </c>
      <c r="B61" s="7" t="s">
        <v>37</v>
      </c>
      <c r="C61" s="2">
        <v>2026</v>
      </c>
      <c r="D61" s="2">
        <v>71717</v>
      </c>
      <c r="E61" s="2">
        <v>46433</v>
      </c>
      <c r="F61" s="4">
        <v>7.8777715310521399E+65</v>
      </c>
      <c r="G61" s="2"/>
      <c r="H61" s="2"/>
      <c r="I61" s="2"/>
      <c r="J61" s="2"/>
      <c r="K61" s="4"/>
      <c r="L61" s="4"/>
      <c r="M61" s="9"/>
      <c r="N61" s="2"/>
      <c r="O61" s="2"/>
      <c r="P61" s="2"/>
    </row>
    <row r="62" spans="1:17" ht="18" x14ac:dyDescent="0.2">
      <c r="A62" s="74"/>
      <c r="B62" s="2" t="s">
        <v>39</v>
      </c>
      <c r="C62" s="2">
        <v>46</v>
      </c>
      <c r="D62" s="2">
        <v>184</v>
      </c>
      <c r="E62" s="2">
        <v>60</v>
      </c>
      <c r="F62" s="2">
        <v>255</v>
      </c>
      <c r="G62" s="2" t="s">
        <v>149</v>
      </c>
      <c r="H62" s="2"/>
      <c r="I62" s="2"/>
      <c r="J62" s="2"/>
      <c r="K62" s="2"/>
      <c r="L62" s="2"/>
      <c r="M62" s="2"/>
      <c r="N62" s="2"/>
      <c r="O62" s="2"/>
      <c r="P62" s="2"/>
    </row>
    <row r="63" spans="1:17" ht="18" x14ac:dyDescent="0.2">
      <c r="A63" s="74"/>
      <c r="B63" s="2" t="s">
        <v>6</v>
      </c>
      <c r="C63" s="2">
        <v>118</v>
      </c>
      <c r="D63" s="2">
        <v>1976</v>
      </c>
      <c r="E63" s="2">
        <v>83</v>
      </c>
      <c r="F63" s="2">
        <v>16227</v>
      </c>
      <c r="G63" s="2" t="s">
        <v>150</v>
      </c>
      <c r="H63" s="2"/>
      <c r="I63" s="2"/>
      <c r="J63" s="2"/>
      <c r="K63" s="2"/>
      <c r="L63" s="2"/>
      <c r="M63" s="9"/>
      <c r="N63" s="2"/>
      <c r="O63" s="2"/>
      <c r="P63" s="2"/>
    </row>
    <row r="64" spans="1:17" ht="18" x14ac:dyDescent="0.2">
      <c r="A64" s="74"/>
      <c r="B64" s="7" t="s">
        <v>7</v>
      </c>
      <c r="C64" s="2">
        <v>1297</v>
      </c>
      <c r="D64" s="2">
        <v>13531</v>
      </c>
      <c r="E64" s="2">
        <v>3646</v>
      </c>
      <c r="F64" s="2">
        <v>1595874</v>
      </c>
      <c r="G64" s="2" t="s">
        <v>151</v>
      </c>
      <c r="H64" s="2"/>
      <c r="I64" s="2"/>
      <c r="J64" s="2"/>
      <c r="K64" s="2"/>
      <c r="L64" s="2"/>
      <c r="M64" s="9"/>
      <c r="N64" s="2"/>
      <c r="O64" s="2"/>
      <c r="P64" s="2"/>
    </row>
    <row r="65" spans="1:16" ht="18" x14ac:dyDescent="0.2">
      <c r="A65" s="74"/>
      <c r="B65" s="2" t="s">
        <v>42</v>
      </c>
      <c r="C65" s="2">
        <v>30</v>
      </c>
      <c r="D65" s="2">
        <v>67</v>
      </c>
      <c r="E65" s="2">
        <v>0</v>
      </c>
      <c r="F65" s="2">
        <v>85</v>
      </c>
      <c r="G65" s="2" t="s">
        <v>152</v>
      </c>
      <c r="H65" s="2"/>
      <c r="I65" s="2"/>
      <c r="J65" s="2"/>
      <c r="K65" s="2"/>
      <c r="L65" s="2"/>
      <c r="M65" s="9"/>
      <c r="N65" s="2"/>
      <c r="O65" s="2"/>
      <c r="P65" s="2"/>
    </row>
    <row r="66" spans="1:16" ht="18" x14ac:dyDescent="0.2">
      <c r="A66" s="74"/>
      <c r="B66" s="2" t="s">
        <v>41</v>
      </c>
      <c r="C66" s="2">
        <v>1154</v>
      </c>
      <c r="D66" s="2">
        <v>6272</v>
      </c>
      <c r="E66" s="2">
        <v>911</v>
      </c>
      <c r="F66" s="2">
        <v>19372811709</v>
      </c>
      <c r="G66" s="2" t="s">
        <v>153</v>
      </c>
      <c r="H66" s="2"/>
      <c r="I66" s="2"/>
      <c r="J66" s="2"/>
      <c r="K66" s="2"/>
      <c r="L66" s="2"/>
      <c r="M66" s="9"/>
      <c r="N66" s="2"/>
      <c r="O66" s="2"/>
      <c r="P66" s="2"/>
    </row>
    <row r="67" spans="1:16" ht="18" x14ac:dyDescent="0.2">
      <c r="A67" s="74"/>
      <c r="B67" s="2" t="s">
        <v>43</v>
      </c>
      <c r="C67" s="2"/>
      <c r="D67" s="2"/>
      <c r="E67" s="2"/>
      <c r="F67" s="2"/>
      <c r="G67" s="2" t="s">
        <v>154</v>
      </c>
      <c r="H67" s="2"/>
      <c r="I67" s="2"/>
      <c r="J67" s="2"/>
      <c r="K67" s="2"/>
      <c r="L67" s="2"/>
      <c r="M67" s="9"/>
      <c r="N67" s="2"/>
      <c r="O67" s="2"/>
      <c r="P67" s="2"/>
    </row>
    <row r="68" spans="1:16" ht="18" x14ac:dyDescent="0.2">
      <c r="A68" s="74"/>
      <c r="B68" s="2" t="s">
        <v>44</v>
      </c>
      <c r="C68" s="2">
        <v>100</v>
      </c>
      <c r="D68" s="2">
        <v>640</v>
      </c>
      <c r="E68" s="2">
        <v>0</v>
      </c>
      <c r="F68" s="2">
        <v>153231</v>
      </c>
      <c r="G68" s="2"/>
      <c r="H68" s="2"/>
      <c r="I68" s="2"/>
      <c r="J68" s="2"/>
      <c r="K68" s="2"/>
      <c r="L68" s="2"/>
      <c r="M68" s="9"/>
      <c r="N68" s="2"/>
      <c r="O68" s="2"/>
      <c r="P68" s="2"/>
    </row>
    <row r="69" spans="1:16" ht="18" x14ac:dyDescent="0.2">
      <c r="A69" s="74"/>
      <c r="B69" s="7" t="s">
        <v>46</v>
      </c>
      <c r="C69" s="2">
        <v>1072</v>
      </c>
      <c r="D69" s="2">
        <v>21980</v>
      </c>
      <c r="E69" s="2">
        <v>920</v>
      </c>
      <c r="F69" s="4">
        <v>6.2015216856664699E+24</v>
      </c>
      <c r="G69" s="2"/>
      <c r="H69" s="2"/>
      <c r="I69" s="2"/>
      <c r="J69" s="2"/>
      <c r="K69" s="4"/>
      <c r="L69" s="4"/>
      <c r="M69" s="9"/>
      <c r="N69" s="2"/>
      <c r="O69" s="2"/>
      <c r="P69" s="2"/>
    </row>
    <row r="70" spans="1:16" ht="18" x14ac:dyDescent="0.2">
      <c r="A70" s="74"/>
      <c r="B70" s="2" t="s">
        <v>45</v>
      </c>
      <c r="C70" s="2">
        <v>240</v>
      </c>
      <c r="D70" s="2">
        <v>1135</v>
      </c>
      <c r="E70" s="2">
        <v>53</v>
      </c>
      <c r="F70" s="2">
        <v>8864</v>
      </c>
      <c r="G70" s="2" t="s">
        <v>155</v>
      </c>
      <c r="H70" s="2"/>
      <c r="I70" s="2"/>
      <c r="J70" s="2"/>
      <c r="K70" s="2"/>
      <c r="L70" s="2"/>
      <c r="M70" s="9"/>
      <c r="N70" s="2"/>
      <c r="O70" s="2"/>
      <c r="P70" s="2"/>
    </row>
    <row r="71" spans="1:16" ht="18" x14ac:dyDescent="0.2">
      <c r="A71" s="74"/>
      <c r="B71" s="2" t="s">
        <v>48</v>
      </c>
      <c r="C71" s="2">
        <v>115</v>
      </c>
      <c r="D71" s="2">
        <v>1342</v>
      </c>
      <c r="E71" s="2">
        <v>7</v>
      </c>
      <c r="F71" s="2">
        <v>33328</v>
      </c>
      <c r="G71" s="2" t="s">
        <v>156</v>
      </c>
      <c r="H71" s="2"/>
      <c r="I71" s="2"/>
      <c r="J71" s="2"/>
      <c r="K71" s="2"/>
      <c r="L71" s="2"/>
      <c r="M71" s="9"/>
      <c r="N71" s="2"/>
      <c r="O71" s="2"/>
      <c r="P71" s="2"/>
    </row>
    <row r="72" spans="1:16" ht="18" x14ac:dyDescent="0.2">
      <c r="A72" s="74"/>
      <c r="B72" s="2" t="s">
        <v>47</v>
      </c>
      <c r="C72" s="2">
        <v>233</v>
      </c>
      <c r="D72" s="2">
        <v>1260</v>
      </c>
      <c r="E72" s="2">
        <v>711</v>
      </c>
      <c r="F72" s="2">
        <v>26403529</v>
      </c>
      <c r="G72" s="2" t="s">
        <v>149</v>
      </c>
      <c r="H72" s="2"/>
      <c r="I72" s="2"/>
      <c r="J72" s="2"/>
      <c r="K72" s="2"/>
      <c r="L72" s="2"/>
      <c r="M72" s="9"/>
      <c r="N72" s="2"/>
      <c r="O72" s="2"/>
      <c r="P72" s="2"/>
    </row>
    <row r="73" spans="1:16" ht="18" x14ac:dyDescent="0.2">
      <c r="A73" s="74"/>
      <c r="B73" s="7" t="s">
        <v>9</v>
      </c>
      <c r="C73" s="2">
        <v>2025</v>
      </c>
      <c r="D73" s="2">
        <v>73347</v>
      </c>
      <c r="E73" s="2">
        <v>48063</v>
      </c>
      <c r="F73" s="4">
        <v>3.7025629983269398E+60</v>
      </c>
      <c r="G73" s="2"/>
      <c r="H73" s="2"/>
      <c r="I73" s="2"/>
      <c r="J73" s="2"/>
      <c r="K73" s="4"/>
      <c r="L73" s="4"/>
      <c r="M73" s="9"/>
      <c r="N73" s="2"/>
      <c r="O73" s="2"/>
      <c r="P73" s="2"/>
    </row>
    <row r="74" spans="1:16" ht="18" x14ac:dyDescent="0.2">
      <c r="A74" s="74"/>
      <c r="B74" s="2" t="s">
        <v>11</v>
      </c>
      <c r="C74" s="2">
        <v>46</v>
      </c>
      <c r="D74" s="2">
        <v>184</v>
      </c>
      <c r="E74" s="2">
        <v>60</v>
      </c>
      <c r="F74" s="2">
        <v>255</v>
      </c>
      <c r="G74" s="2" t="s">
        <v>157</v>
      </c>
      <c r="H74" s="2"/>
      <c r="I74" s="2"/>
      <c r="J74" s="2"/>
      <c r="K74" s="2"/>
      <c r="L74" s="2"/>
      <c r="M74" s="9"/>
      <c r="N74" s="2"/>
      <c r="O74" s="2"/>
      <c r="P74" s="2"/>
    </row>
    <row r="75" spans="1:16" ht="18" x14ac:dyDescent="0.2">
      <c r="A75" s="74"/>
      <c r="B75" s="2" t="s">
        <v>13</v>
      </c>
      <c r="C75" s="2">
        <v>31</v>
      </c>
      <c r="D75" s="2">
        <v>73</v>
      </c>
      <c r="E75" s="2">
        <v>0</v>
      </c>
      <c r="F75" s="2">
        <v>95</v>
      </c>
      <c r="G75" s="2" t="s">
        <v>153</v>
      </c>
      <c r="H75" s="2"/>
      <c r="I75" s="2"/>
      <c r="J75" s="2"/>
      <c r="K75" s="2"/>
      <c r="L75" s="2"/>
      <c r="M75" s="9"/>
      <c r="N75" s="2"/>
      <c r="O75" s="2"/>
      <c r="P75" s="2"/>
    </row>
    <row r="76" spans="1:16" ht="18" x14ac:dyDescent="0.2">
      <c r="A76" s="74"/>
      <c r="B76" s="2" t="s">
        <v>15</v>
      </c>
      <c r="C76" s="2">
        <v>1179</v>
      </c>
      <c r="D76" s="2">
        <v>6409</v>
      </c>
      <c r="E76" s="2">
        <v>923</v>
      </c>
      <c r="F76" s="2">
        <v>28828683857</v>
      </c>
      <c r="G76" s="2" t="s">
        <v>154</v>
      </c>
      <c r="H76" s="2"/>
      <c r="I76" s="2"/>
      <c r="J76" s="2"/>
      <c r="K76" s="2"/>
      <c r="L76" s="2"/>
      <c r="M76" s="9"/>
      <c r="N76" s="2"/>
      <c r="O76" s="2"/>
      <c r="P76" s="2"/>
    </row>
    <row r="77" spans="1:16" ht="18" x14ac:dyDescent="0.2">
      <c r="A77" s="74"/>
      <c r="B77" s="2" t="s">
        <v>16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9"/>
      <c r="N77" s="2"/>
      <c r="O77" s="2"/>
      <c r="P77" s="2"/>
    </row>
    <row r="78" spans="1:16" ht="18" x14ac:dyDescent="0.2">
      <c r="A78" s="74"/>
      <c r="B78" s="2" t="s">
        <v>17</v>
      </c>
      <c r="C78" s="2">
        <v>100</v>
      </c>
      <c r="D78" s="2">
        <v>640</v>
      </c>
      <c r="E78" s="2">
        <v>0</v>
      </c>
      <c r="F78" s="2">
        <v>153231</v>
      </c>
      <c r="G78" s="2" t="s">
        <v>155</v>
      </c>
      <c r="H78" s="2"/>
      <c r="I78" s="2"/>
      <c r="J78" s="2"/>
      <c r="K78" s="2"/>
      <c r="L78" s="2"/>
      <c r="M78" s="9"/>
      <c r="N78" s="2"/>
      <c r="O78" s="2"/>
      <c r="P78" s="2"/>
    </row>
    <row r="79" spans="1:16" ht="18" x14ac:dyDescent="0.2">
      <c r="A79" s="74"/>
      <c r="B79" s="7" t="s">
        <v>18</v>
      </c>
      <c r="C79" s="2">
        <v>1085</v>
      </c>
      <c r="D79" s="2">
        <v>21969</v>
      </c>
      <c r="E79" s="2">
        <v>737</v>
      </c>
      <c r="F79" s="4">
        <v>2.3393131707155601E+21</v>
      </c>
      <c r="G79" s="2"/>
      <c r="H79" s="2"/>
      <c r="I79" s="2"/>
      <c r="J79" s="2"/>
      <c r="K79" s="4"/>
      <c r="L79" s="4"/>
      <c r="M79" s="9"/>
      <c r="N79" s="2"/>
      <c r="O79" s="2"/>
      <c r="P79" s="2"/>
    </row>
    <row r="80" spans="1:16" ht="18" x14ac:dyDescent="0.2">
      <c r="A80" s="74"/>
      <c r="B80" s="2" t="s">
        <v>19</v>
      </c>
      <c r="C80" s="2">
        <v>240</v>
      </c>
      <c r="D80" s="2">
        <v>1135</v>
      </c>
      <c r="E80" s="2">
        <v>53</v>
      </c>
      <c r="F80" s="2">
        <v>8864</v>
      </c>
      <c r="G80" s="2" t="s">
        <v>156</v>
      </c>
      <c r="H80" s="2"/>
      <c r="I80" s="2"/>
      <c r="J80" s="2"/>
      <c r="K80" s="2"/>
      <c r="L80" s="2"/>
      <c r="M80" s="9"/>
      <c r="N80" s="2"/>
      <c r="O80" s="2"/>
      <c r="P80" s="2"/>
    </row>
    <row r="81" spans="1:16" ht="18" x14ac:dyDescent="0.2">
      <c r="A81" s="74"/>
      <c r="B81" s="2" t="s">
        <v>20</v>
      </c>
      <c r="C81" s="2">
        <v>122</v>
      </c>
      <c r="D81" s="2">
        <v>1358</v>
      </c>
      <c r="E81" s="2">
        <v>7</v>
      </c>
      <c r="F81" s="2">
        <v>33658</v>
      </c>
      <c r="G81" s="2"/>
      <c r="H81" s="2"/>
      <c r="I81" s="2"/>
      <c r="J81" s="2"/>
      <c r="K81" s="2"/>
      <c r="L81" s="2"/>
      <c r="M81" s="9"/>
      <c r="N81" s="2"/>
      <c r="O81" s="2"/>
      <c r="P81" s="2"/>
    </row>
    <row r="82" spans="1:16" ht="18" x14ac:dyDescent="0.2">
      <c r="A82" s="74"/>
      <c r="B82" s="2" t="s">
        <v>21</v>
      </c>
      <c r="C82" s="2">
        <v>232</v>
      </c>
      <c r="D82" s="2">
        <v>1255</v>
      </c>
      <c r="E82" s="2">
        <v>681</v>
      </c>
      <c r="F82" s="2" t="s">
        <v>148</v>
      </c>
      <c r="G82" s="2"/>
      <c r="H82" s="2"/>
      <c r="I82" s="2"/>
      <c r="J82" s="2"/>
      <c r="K82" s="2"/>
      <c r="L82" s="2"/>
      <c r="M82" s="9"/>
      <c r="N82" s="2"/>
      <c r="O82" s="2"/>
      <c r="P82" s="2"/>
    </row>
    <row r="83" spans="1:16" ht="18" x14ac:dyDescent="0.2">
      <c r="A83" s="74" t="s">
        <v>100</v>
      </c>
      <c r="B83" s="2" t="s">
        <v>87</v>
      </c>
      <c r="C83" s="2">
        <v>73</v>
      </c>
      <c r="D83" s="2">
        <v>270</v>
      </c>
      <c r="E83" s="2">
        <v>0</v>
      </c>
      <c r="F83" s="2">
        <v>495</v>
      </c>
      <c r="G83" s="2">
        <v>4256</v>
      </c>
      <c r="H83" s="2"/>
      <c r="I83" s="2"/>
      <c r="J83" s="2"/>
      <c r="K83" s="2"/>
      <c r="L83" s="2"/>
      <c r="M83" s="9"/>
      <c r="N83" s="3">
        <v>32328363</v>
      </c>
      <c r="O83" s="3">
        <v>3761</v>
      </c>
      <c r="P83" s="3">
        <v>17</v>
      </c>
    </row>
    <row r="84" spans="1:16" ht="18" x14ac:dyDescent="0.2">
      <c r="A84" s="74"/>
      <c r="B84" s="2" t="s">
        <v>88</v>
      </c>
      <c r="C84" s="2">
        <v>155</v>
      </c>
      <c r="D84" s="2">
        <v>536</v>
      </c>
      <c r="E84" s="2">
        <v>0</v>
      </c>
      <c r="F84" s="2">
        <v>4819</v>
      </c>
      <c r="G84" s="2">
        <v>8608</v>
      </c>
      <c r="H84" s="2"/>
      <c r="I84" s="2"/>
      <c r="J84" s="2"/>
      <c r="K84" s="2"/>
      <c r="L84" s="2"/>
      <c r="M84" s="9"/>
      <c r="N84" s="3">
        <v>2025479</v>
      </c>
      <c r="O84" s="3">
        <v>13740</v>
      </c>
      <c r="P84" s="3">
        <v>1783</v>
      </c>
    </row>
    <row r="85" spans="1:16" ht="18" x14ac:dyDescent="0.2">
      <c r="A85" s="74"/>
      <c r="B85" s="2" t="s">
        <v>89</v>
      </c>
      <c r="C85" s="2">
        <v>39</v>
      </c>
      <c r="D85" s="2">
        <v>187</v>
      </c>
      <c r="E85" s="2">
        <v>0</v>
      </c>
      <c r="F85" s="2">
        <v>373</v>
      </c>
      <c r="G85" s="2">
        <v>2848</v>
      </c>
      <c r="H85" s="2"/>
      <c r="I85" s="2"/>
      <c r="J85" s="2"/>
      <c r="K85" s="2"/>
      <c r="L85" s="2"/>
      <c r="M85" s="9"/>
      <c r="N85" s="3">
        <v>662506</v>
      </c>
      <c r="O85" s="3">
        <v>10677</v>
      </c>
      <c r="P85" s="3">
        <v>13</v>
      </c>
    </row>
    <row r="86" spans="1:16" ht="18" x14ac:dyDescent="0.2">
      <c r="A86" s="74"/>
      <c r="B86" s="2" t="s">
        <v>90</v>
      </c>
      <c r="C86" s="2">
        <v>115</v>
      </c>
      <c r="D86" s="2">
        <v>542</v>
      </c>
      <c r="E86" s="2">
        <v>38</v>
      </c>
      <c r="F86" s="2">
        <v>14473</v>
      </c>
      <c r="G86" s="2">
        <v>14512</v>
      </c>
      <c r="H86" s="2"/>
      <c r="I86" s="2"/>
      <c r="J86" s="2"/>
      <c r="K86" s="2"/>
      <c r="L86" s="2"/>
      <c r="M86" s="9"/>
      <c r="N86" s="3">
        <v>4130829</v>
      </c>
      <c r="O86" s="3">
        <v>6939</v>
      </c>
      <c r="P86" s="3">
        <v>18</v>
      </c>
    </row>
    <row r="87" spans="1:16" ht="18" x14ac:dyDescent="0.2">
      <c r="A87" s="74"/>
      <c r="B87" s="2" t="s">
        <v>91</v>
      </c>
      <c r="C87" s="2">
        <v>39</v>
      </c>
      <c r="D87" s="2">
        <v>160</v>
      </c>
      <c r="E87" s="2">
        <v>0</v>
      </c>
      <c r="F87" s="2">
        <v>221</v>
      </c>
      <c r="G87" s="2">
        <v>2480</v>
      </c>
      <c r="H87" s="2"/>
      <c r="I87" s="2"/>
      <c r="J87" s="2"/>
      <c r="K87" s="2"/>
      <c r="L87" s="2"/>
      <c r="M87" s="9"/>
      <c r="N87" s="3">
        <v>1503067565</v>
      </c>
      <c r="O87" s="3">
        <v>2497</v>
      </c>
      <c r="P87" s="3">
        <v>13</v>
      </c>
    </row>
    <row r="88" spans="1:16" ht="18" x14ac:dyDescent="0.2">
      <c r="A88" s="74"/>
      <c r="B88" s="2" t="s">
        <v>92</v>
      </c>
      <c r="C88" s="2">
        <v>36</v>
      </c>
      <c r="D88" s="2">
        <v>148</v>
      </c>
      <c r="E88" s="2">
        <v>0</v>
      </c>
      <c r="F88" s="2">
        <v>208</v>
      </c>
      <c r="G88" s="2">
        <v>2288</v>
      </c>
      <c r="H88" s="2"/>
      <c r="I88" s="2"/>
      <c r="J88" s="2"/>
      <c r="K88" s="2"/>
      <c r="L88" s="2"/>
      <c r="M88" s="9"/>
      <c r="N88" s="3">
        <v>1502936468</v>
      </c>
      <c r="O88" s="3">
        <v>2461</v>
      </c>
      <c r="P88" s="3">
        <v>13</v>
      </c>
    </row>
    <row r="89" spans="1:16" ht="18" x14ac:dyDescent="0.2">
      <c r="A89" s="74"/>
      <c r="B89" s="2" t="s">
        <v>93</v>
      </c>
      <c r="C89" s="2">
        <v>43</v>
      </c>
      <c r="D89" s="2">
        <v>339</v>
      </c>
      <c r="E89" s="2">
        <v>0</v>
      </c>
      <c r="F89" s="2">
        <v>612</v>
      </c>
      <c r="G89" s="2">
        <v>4864</v>
      </c>
      <c r="H89" s="2"/>
      <c r="I89" s="2"/>
      <c r="J89" s="2"/>
      <c r="K89" s="2"/>
      <c r="L89" s="2"/>
      <c r="M89" s="9"/>
      <c r="N89" s="3">
        <v>16808171</v>
      </c>
      <c r="O89" s="3">
        <v>5376</v>
      </c>
      <c r="P89" s="3">
        <v>13</v>
      </c>
    </row>
    <row r="90" spans="1:16" ht="18" x14ac:dyDescent="0.2">
      <c r="A90" s="74"/>
      <c r="B90" s="2" t="s">
        <v>94</v>
      </c>
      <c r="C90" s="2">
        <v>35</v>
      </c>
      <c r="D90" s="2">
        <v>265</v>
      </c>
      <c r="E90" s="2">
        <v>0</v>
      </c>
      <c r="F90" s="2">
        <v>495</v>
      </c>
      <c r="G90" s="2">
        <v>3712</v>
      </c>
      <c r="H90" s="2"/>
      <c r="I90" s="2"/>
      <c r="J90" s="2"/>
      <c r="K90" s="2"/>
      <c r="L90" s="2"/>
      <c r="M90" s="9"/>
      <c r="N90" s="3">
        <v>37601</v>
      </c>
      <c r="O90" s="3">
        <v>4925</v>
      </c>
      <c r="P90" s="3">
        <v>13</v>
      </c>
    </row>
    <row r="91" spans="1:16" ht="18" x14ac:dyDescent="0.2">
      <c r="A91" s="74"/>
      <c r="B91" s="2" t="s">
        <v>95</v>
      </c>
      <c r="C91" s="2">
        <v>151</v>
      </c>
      <c r="D91" s="2">
        <v>611</v>
      </c>
      <c r="E91" s="2">
        <v>16</v>
      </c>
      <c r="F91" s="2">
        <v>315164</v>
      </c>
      <c r="G91" s="2">
        <v>19144</v>
      </c>
      <c r="H91" s="2"/>
      <c r="I91" s="2"/>
      <c r="J91" s="2"/>
      <c r="M91" s="9"/>
      <c r="N91" s="3">
        <v>43806613</v>
      </c>
      <c r="O91" s="3">
        <v>3628705</v>
      </c>
      <c r="P91" s="3">
        <v>69</v>
      </c>
    </row>
    <row r="92" spans="1:16" ht="18" x14ac:dyDescent="0.2">
      <c r="A92" s="74"/>
      <c r="B92" s="2" t="s">
        <v>96</v>
      </c>
      <c r="C92" s="2">
        <v>205</v>
      </c>
      <c r="D92" s="2">
        <v>150</v>
      </c>
      <c r="E92" s="2">
        <f t="shared" ref="E92:E94" si="1">C92-D92</f>
        <v>55</v>
      </c>
      <c r="F92" s="2">
        <v>835</v>
      </c>
      <c r="G92" s="2">
        <v>2352</v>
      </c>
      <c r="H92" s="2"/>
      <c r="I92" s="2"/>
      <c r="J92" s="2"/>
      <c r="K92" s="2"/>
      <c r="L92" s="2"/>
      <c r="M92" s="9"/>
      <c r="N92" s="3">
        <v>368195465</v>
      </c>
      <c r="O92" s="3">
        <v>2535</v>
      </c>
      <c r="P92" s="3">
        <v>13</v>
      </c>
    </row>
    <row r="93" spans="1:16" ht="18" x14ac:dyDescent="0.2">
      <c r="A93" s="74"/>
      <c r="B93" s="2" t="s">
        <v>97</v>
      </c>
      <c r="C93" s="2">
        <v>42</v>
      </c>
      <c r="D93" s="2">
        <v>42</v>
      </c>
      <c r="E93" s="2">
        <f t="shared" si="1"/>
        <v>0</v>
      </c>
      <c r="F93" s="2">
        <v>221</v>
      </c>
      <c r="G93" s="2">
        <v>3344</v>
      </c>
      <c r="H93" s="2"/>
      <c r="I93" s="2"/>
      <c r="J93" s="2"/>
      <c r="K93" s="2"/>
      <c r="L93" s="2"/>
      <c r="M93" s="9"/>
      <c r="N93" s="3">
        <v>161893449</v>
      </c>
      <c r="O93" s="3">
        <v>4630</v>
      </c>
      <c r="P93" s="3">
        <v>13</v>
      </c>
    </row>
    <row r="94" spans="1:16" ht="18" x14ac:dyDescent="0.2">
      <c r="A94" s="74"/>
      <c r="B94" s="2" t="s">
        <v>98</v>
      </c>
      <c r="C94" s="2">
        <v>42</v>
      </c>
      <c r="D94" s="2">
        <v>42</v>
      </c>
      <c r="E94" s="2">
        <f t="shared" si="1"/>
        <v>0</v>
      </c>
      <c r="F94" s="2">
        <v>234</v>
      </c>
      <c r="G94" s="2">
        <v>3552</v>
      </c>
      <c r="H94" s="2"/>
      <c r="I94" s="2"/>
      <c r="J94" s="2"/>
      <c r="K94" s="2"/>
      <c r="L94" s="2"/>
      <c r="M94" s="9"/>
      <c r="N94" s="3">
        <v>27416376</v>
      </c>
      <c r="O94" s="3">
        <v>4958</v>
      </c>
      <c r="P94" s="3">
        <v>13</v>
      </c>
    </row>
    <row r="100" spans="2:12" ht="38" x14ac:dyDescent="0.2">
      <c r="C100" s="23" t="s">
        <v>25</v>
      </c>
      <c r="D100" s="23" t="s">
        <v>163</v>
      </c>
      <c r="E100" s="23" t="s">
        <v>162</v>
      </c>
      <c r="F100" s="23" t="s">
        <v>164</v>
      </c>
      <c r="G100" s="23" t="s">
        <v>110</v>
      </c>
      <c r="H100" s="23" t="s">
        <v>111</v>
      </c>
      <c r="I100" s="40" t="s">
        <v>160</v>
      </c>
      <c r="J100" s="23" t="s">
        <v>158</v>
      </c>
      <c r="K100" s="23" t="s">
        <v>159</v>
      </c>
    </row>
    <row r="101" spans="2:12" ht="18" x14ac:dyDescent="0.2">
      <c r="B101" s="13" t="s">
        <v>138</v>
      </c>
      <c r="C101" s="3">
        <v>25</v>
      </c>
      <c r="D101" s="3">
        <v>137</v>
      </c>
      <c r="E101" s="3">
        <v>113</v>
      </c>
      <c r="F101" s="29">
        <f xml:space="preserve"> (E101/D101)</f>
        <v>0.82481751824817517</v>
      </c>
      <c r="G101" s="3">
        <v>48</v>
      </c>
      <c r="H101" s="3">
        <v>188</v>
      </c>
      <c r="I101" s="36">
        <v>2.6</v>
      </c>
      <c r="J101" s="3">
        <v>20604088422</v>
      </c>
      <c r="K101" s="3">
        <v>29</v>
      </c>
      <c r="L101" t="b">
        <f t="shared" ref="L101:L126" si="2">IF(F101&gt;0.75, TRUE)</f>
        <v>1</v>
      </c>
    </row>
    <row r="102" spans="2:12" ht="18" x14ac:dyDescent="0.2">
      <c r="B102" s="13" t="s">
        <v>139</v>
      </c>
      <c r="C102" s="3">
        <v>102</v>
      </c>
      <c r="D102" s="3">
        <v>2067</v>
      </c>
      <c r="E102" s="3">
        <v>1962</v>
      </c>
      <c r="F102" s="29">
        <f t="shared" ref="F102:F126" si="3" xml:space="preserve"> (E102/D102)</f>
        <v>0.94920174165457183</v>
      </c>
      <c r="G102" s="3">
        <v>66</v>
      </c>
      <c r="H102" s="3">
        <v>16077</v>
      </c>
      <c r="I102" s="36">
        <v>36</v>
      </c>
      <c r="J102" s="3">
        <v>662301863</v>
      </c>
      <c r="K102" s="3">
        <v>19</v>
      </c>
      <c r="L102" t="b">
        <f t="shared" si="2"/>
        <v>1</v>
      </c>
    </row>
    <row r="103" spans="2:12" ht="18" x14ac:dyDescent="0.2">
      <c r="B103" s="13" t="s">
        <v>140</v>
      </c>
      <c r="C103" s="3">
        <v>2226</v>
      </c>
      <c r="D103" s="3">
        <v>56033</v>
      </c>
      <c r="E103" s="3">
        <v>51337</v>
      </c>
      <c r="F103" s="29">
        <f t="shared" si="3"/>
        <v>0.91619224385629894</v>
      </c>
      <c r="G103" s="3">
        <v>6729</v>
      </c>
      <c r="H103" s="3">
        <v>65117646</v>
      </c>
      <c r="I103" s="36">
        <v>179</v>
      </c>
      <c r="J103" s="3">
        <v>4555757974</v>
      </c>
      <c r="K103" s="3">
        <v>29333</v>
      </c>
      <c r="L103" t="b">
        <f t="shared" si="2"/>
        <v>1</v>
      </c>
    </row>
    <row r="104" spans="2:12" ht="18" x14ac:dyDescent="0.2">
      <c r="B104" s="13" t="s">
        <v>141</v>
      </c>
      <c r="C104" s="3">
        <v>19</v>
      </c>
      <c r="D104" s="3">
        <v>56</v>
      </c>
      <c r="E104" s="3">
        <v>38</v>
      </c>
      <c r="F104" s="29">
        <f t="shared" si="3"/>
        <v>0.6785714285714286</v>
      </c>
      <c r="G104" s="3">
        <v>0</v>
      </c>
      <c r="H104" s="3">
        <v>70</v>
      </c>
      <c r="I104" s="36">
        <v>1.1000000000000001</v>
      </c>
      <c r="J104" s="3">
        <v>2651595</v>
      </c>
      <c r="K104" s="3">
        <v>12</v>
      </c>
      <c r="L104" t="b">
        <f t="shared" si="2"/>
        <v>0</v>
      </c>
    </row>
    <row r="105" spans="2:12" ht="18" x14ac:dyDescent="0.2">
      <c r="B105" s="13" t="s">
        <v>142</v>
      </c>
      <c r="C105" s="3">
        <v>5440</v>
      </c>
      <c r="D105" s="3">
        <v>33617</v>
      </c>
      <c r="E105" s="3">
        <v>18885</v>
      </c>
      <c r="F105" s="29">
        <f t="shared" si="3"/>
        <v>0.56176934289198921</v>
      </c>
      <c r="G105" s="3">
        <v>60</v>
      </c>
      <c r="H105" s="3">
        <v>10316506067</v>
      </c>
      <c r="I105" s="36">
        <v>70</v>
      </c>
      <c r="J105" s="3">
        <v>9984356426</v>
      </c>
      <c r="K105" s="3">
        <v>77</v>
      </c>
      <c r="L105" t="b">
        <f t="shared" si="2"/>
        <v>0</v>
      </c>
    </row>
    <row r="106" spans="2:12" ht="18" x14ac:dyDescent="0.2">
      <c r="B106" s="13" t="s">
        <v>143</v>
      </c>
      <c r="C106" s="3">
        <v>398</v>
      </c>
      <c r="D106" s="3">
        <v>21323</v>
      </c>
      <c r="E106" s="3">
        <v>20926</v>
      </c>
      <c r="F106" s="29">
        <f t="shared" si="3"/>
        <v>0.98138160671575292</v>
      </c>
      <c r="G106" s="3">
        <v>17911</v>
      </c>
      <c r="H106" s="3">
        <v>18929528</v>
      </c>
      <c r="I106" s="36">
        <v>310</v>
      </c>
      <c r="J106" s="3">
        <v>3265253366</v>
      </c>
      <c r="K106" s="3">
        <v>12</v>
      </c>
      <c r="L106" t="b">
        <f t="shared" si="2"/>
        <v>1</v>
      </c>
    </row>
    <row r="107" spans="2:12" ht="18" x14ac:dyDescent="0.2">
      <c r="B107" s="13" t="s">
        <v>144</v>
      </c>
      <c r="C107" s="3">
        <v>115</v>
      </c>
      <c r="D107" s="3">
        <v>802</v>
      </c>
      <c r="E107" s="3">
        <v>680</v>
      </c>
      <c r="F107" s="29">
        <f t="shared" si="3"/>
        <v>0.84788029925187036</v>
      </c>
      <c r="G107" s="3">
        <v>0</v>
      </c>
      <c r="H107" s="3">
        <v>4925</v>
      </c>
      <c r="I107" s="36">
        <v>11</v>
      </c>
      <c r="J107" s="3">
        <v>11536625846</v>
      </c>
      <c r="K107" s="3">
        <v>134</v>
      </c>
      <c r="L107" t="b">
        <f t="shared" si="2"/>
        <v>1</v>
      </c>
    </row>
    <row r="108" spans="2:12" ht="18" x14ac:dyDescent="0.2">
      <c r="B108" s="13" t="s">
        <v>145</v>
      </c>
      <c r="C108" s="3">
        <v>139</v>
      </c>
      <c r="D108" s="3">
        <v>1982</v>
      </c>
      <c r="E108" s="3">
        <v>1664</v>
      </c>
      <c r="F108" s="29">
        <f t="shared" si="3"/>
        <v>0.83955600403632691</v>
      </c>
      <c r="G108" s="3">
        <v>1651</v>
      </c>
      <c r="H108" s="3">
        <v>516678285489</v>
      </c>
      <c r="I108" s="36">
        <v>31</v>
      </c>
      <c r="J108" s="3"/>
      <c r="K108" s="3">
        <v>15</v>
      </c>
      <c r="L108" t="b">
        <f t="shared" si="2"/>
        <v>1</v>
      </c>
    </row>
    <row r="109" spans="2:12" ht="18" x14ac:dyDescent="0.2">
      <c r="B109" s="13" t="s">
        <v>0</v>
      </c>
      <c r="C109" s="3">
        <v>25</v>
      </c>
      <c r="D109" s="3">
        <v>137</v>
      </c>
      <c r="E109" s="3">
        <v>113</v>
      </c>
      <c r="F109" s="29">
        <f t="shared" si="3"/>
        <v>0.82481751824817517</v>
      </c>
      <c r="G109" s="3">
        <v>48</v>
      </c>
      <c r="H109" s="3">
        <v>188</v>
      </c>
      <c r="I109" s="36">
        <v>2.6</v>
      </c>
      <c r="J109" s="3"/>
      <c r="K109" s="3">
        <v>34</v>
      </c>
      <c r="L109" t="b">
        <f t="shared" si="2"/>
        <v>1</v>
      </c>
    </row>
    <row r="110" spans="2:12" ht="18" x14ac:dyDescent="0.2">
      <c r="B110" s="13" t="s">
        <v>1</v>
      </c>
      <c r="C110" s="3">
        <v>25</v>
      </c>
      <c r="D110" s="3">
        <v>72</v>
      </c>
      <c r="E110" s="3">
        <v>44</v>
      </c>
      <c r="F110" s="29">
        <f t="shared" si="3"/>
        <v>0.61111111111111116</v>
      </c>
      <c r="G110" s="3">
        <v>0</v>
      </c>
      <c r="H110" s="3">
        <v>74</v>
      </c>
      <c r="I110" s="36">
        <v>1.2</v>
      </c>
      <c r="J110" s="3"/>
      <c r="K110" s="3">
        <v>39</v>
      </c>
      <c r="L110" t="b">
        <f t="shared" si="2"/>
        <v>0</v>
      </c>
    </row>
    <row r="111" spans="2:12" ht="18" x14ac:dyDescent="0.2">
      <c r="B111" s="13" t="s">
        <v>2</v>
      </c>
      <c r="C111" s="3">
        <v>5444</v>
      </c>
      <c r="D111" s="3">
        <v>33617</v>
      </c>
      <c r="E111" s="3">
        <v>19288</v>
      </c>
      <c r="F111" s="29">
        <f t="shared" si="3"/>
        <v>0.57375732516286404</v>
      </c>
      <c r="G111" s="3">
        <v>60</v>
      </c>
      <c r="H111" s="3">
        <v>69077904007</v>
      </c>
      <c r="I111" s="36">
        <v>70</v>
      </c>
      <c r="J111" s="3"/>
      <c r="K111" s="3">
        <v>76</v>
      </c>
      <c r="L111" t="b">
        <f t="shared" si="2"/>
        <v>0</v>
      </c>
    </row>
    <row r="112" spans="2:12" ht="18" x14ac:dyDescent="0.2">
      <c r="B112" s="13" t="s">
        <v>3</v>
      </c>
      <c r="C112" s="3">
        <v>398</v>
      </c>
      <c r="D112" s="3">
        <v>21323</v>
      </c>
      <c r="E112" s="3">
        <v>20926</v>
      </c>
      <c r="F112" s="29">
        <f t="shared" si="3"/>
        <v>0.98138160671575292</v>
      </c>
      <c r="G112" s="3">
        <v>17911</v>
      </c>
      <c r="H112" s="3">
        <v>18929528</v>
      </c>
      <c r="I112" s="36">
        <v>310</v>
      </c>
      <c r="J112" s="3"/>
      <c r="K112" s="3">
        <v>12</v>
      </c>
      <c r="L112" t="b">
        <f t="shared" si="2"/>
        <v>1</v>
      </c>
    </row>
    <row r="113" spans="2:12" ht="18" x14ac:dyDescent="0.2">
      <c r="B113" s="13" t="s">
        <v>4</v>
      </c>
      <c r="C113" s="3">
        <v>115</v>
      </c>
      <c r="D113" s="3">
        <v>802</v>
      </c>
      <c r="E113" s="3">
        <v>680</v>
      </c>
      <c r="F113" s="29">
        <f t="shared" si="3"/>
        <v>0.84788029925187036</v>
      </c>
      <c r="G113" s="3">
        <v>0</v>
      </c>
      <c r="H113" s="3">
        <v>4925</v>
      </c>
      <c r="I113" s="36">
        <v>11</v>
      </c>
      <c r="J113" s="3"/>
      <c r="K113" s="3">
        <v>134</v>
      </c>
      <c r="L113" t="b">
        <f t="shared" si="2"/>
        <v>1</v>
      </c>
    </row>
    <row r="114" spans="2:12" ht="18" x14ac:dyDescent="0.2">
      <c r="B114" s="13" t="s">
        <v>5</v>
      </c>
      <c r="C114" s="3">
        <v>151</v>
      </c>
      <c r="D114" s="3">
        <v>2042</v>
      </c>
      <c r="E114" s="3">
        <v>1672</v>
      </c>
      <c r="F114" s="29">
        <f t="shared" si="3"/>
        <v>0.81880509304603333</v>
      </c>
      <c r="G114" s="3">
        <v>1561</v>
      </c>
      <c r="H114" s="3">
        <v>304699440136</v>
      </c>
      <c r="I114" s="36">
        <v>31</v>
      </c>
      <c r="J114" s="3"/>
      <c r="K114" s="3">
        <v>42</v>
      </c>
      <c r="L114" t="b">
        <f t="shared" si="2"/>
        <v>1</v>
      </c>
    </row>
    <row r="115" spans="2:12" ht="18" x14ac:dyDescent="0.2">
      <c r="B115" s="2" t="s">
        <v>113</v>
      </c>
      <c r="C115" s="3">
        <v>73</v>
      </c>
      <c r="D115" s="3">
        <v>270</v>
      </c>
      <c r="E115" s="3">
        <v>198</v>
      </c>
      <c r="F115" s="29">
        <f t="shared" si="3"/>
        <v>0.73333333333333328</v>
      </c>
      <c r="G115" s="3">
        <v>0</v>
      </c>
      <c r="H115" s="3">
        <v>495</v>
      </c>
      <c r="I115" s="36">
        <v>5.4</v>
      </c>
      <c r="J115" s="3">
        <v>32342202</v>
      </c>
      <c r="K115" s="3">
        <v>17</v>
      </c>
      <c r="L115" t="b">
        <f t="shared" si="2"/>
        <v>0</v>
      </c>
    </row>
    <row r="116" spans="2:12" ht="18" x14ac:dyDescent="0.2">
      <c r="B116" s="2" t="s">
        <v>114</v>
      </c>
      <c r="C116" s="3">
        <v>155</v>
      </c>
      <c r="D116" s="3">
        <v>544</v>
      </c>
      <c r="E116" s="3">
        <v>390</v>
      </c>
      <c r="F116" s="29">
        <f t="shared" si="3"/>
        <v>0.71691176470588236</v>
      </c>
      <c r="G116" s="3">
        <v>0</v>
      </c>
      <c r="H116" s="3">
        <v>4835</v>
      </c>
      <c r="I116" s="36">
        <v>11</v>
      </c>
      <c r="J116" s="3">
        <v>2036518</v>
      </c>
      <c r="K116" s="3">
        <v>1783</v>
      </c>
      <c r="L116" t="b">
        <f t="shared" si="2"/>
        <v>0</v>
      </c>
    </row>
    <row r="117" spans="2:12" ht="18" x14ac:dyDescent="0.2">
      <c r="B117" s="2" t="s">
        <v>115</v>
      </c>
      <c r="C117" s="3">
        <v>39</v>
      </c>
      <c r="D117" s="3">
        <v>201</v>
      </c>
      <c r="E117" s="3">
        <v>163</v>
      </c>
      <c r="F117" s="29">
        <f t="shared" si="3"/>
        <v>0.81094527363184077</v>
      </c>
      <c r="G117" s="3">
        <v>0</v>
      </c>
      <c r="H117" s="3">
        <v>421</v>
      </c>
      <c r="I117" s="36">
        <v>4.2</v>
      </c>
      <c r="J117" s="3">
        <v>2684481412</v>
      </c>
      <c r="K117" s="3">
        <v>13</v>
      </c>
      <c r="L117" t="b">
        <f t="shared" si="2"/>
        <v>1</v>
      </c>
    </row>
    <row r="118" spans="2:12" ht="18" x14ac:dyDescent="0.2">
      <c r="B118" s="2" t="s">
        <v>116</v>
      </c>
      <c r="C118" s="3">
        <v>115</v>
      </c>
      <c r="D118" s="3">
        <v>562</v>
      </c>
      <c r="E118" s="3">
        <v>446</v>
      </c>
      <c r="F118" s="29">
        <f t="shared" si="3"/>
        <v>0.79359430604982206</v>
      </c>
      <c r="G118" s="3">
        <v>38</v>
      </c>
      <c r="H118" s="3">
        <v>14513</v>
      </c>
      <c r="I118" s="36">
        <v>12</v>
      </c>
      <c r="J118" s="3">
        <v>4142726</v>
      </c>
      <c r="K118" s="3">
        <v>18</v>
      </c>
      <c r="L118" t="b">
        <f t="shared" si="2"/>
        <v>1</v>
      </c>
    </row>
    <row r="119" spans="2:12" ht="18" x14ac:dyDescent="0.2">
      <c r="B119" s="2" t="s">
        <v>117</v>
      </c>
      <c r="C119" s="3">
        <v>39</v>
      </c>
      <c r="D119" s="3">
        <v>170</v>
      </c>
      <c r="E119" s="3">
        <v>132</v>
      </c>
      <c r="F119" s="29">
        <f t="shared" si="3"/>
        <v>0.77647058823529413</v>
      </c>
      <c r="G119" s="3">
        <v>0</v>
      </c>
      <c r="H119" s="3">
        <v>241</v>
      </c>
      <c r="I119" s="36">
        <v>3.7</v>
      </c>
      <c r="J119" s="3">
        <v>1503084843</v>
      </c>
      <c r="K119" s="3">
        <v>13</v>
      </c>
      <c r="L119" t="b">
        <f t="shared" si="2"/>
        <v>1</v>
      </c>
    </row>
    <row r="120" spans="2:12" ht="18" x14ac:dyDescent="0.2">
      <c r="B120" s="2" t="s">
        <v>118</v>
      </c>
      <c r="C120" s="3">
        <v>36</v>
      </c>
      <c r="D120" s="3">
        <v>158</v>
      </c>
      <c r="E120" s="3">
        <v>123</v>
      </c>
      <c r="F120" s="29">
        <f t="shared" si="3"/>
        <v>0.77848101265822789</v>
      </c>
      <c r="G120" s="3">
        <v>0</v>
      </c>
      <c r="H120" s="3">
        <v>228</v>
      </c>
      <c r="I120" s="36">
        <v>3.4</v>
      </c>
      <c r="J120" s="3">
        <v>1502953667</v>
      </c>
      <c r="K120" s="3">
        <v>13</v>
      </c>
      <c r="L120" t="b">
        <f t="shared" si="2"/>
        <v>1</v>
      </c>
    </row>
    <row r="121" spans="2:12" ht="18" x14ac:dyDescent="0.2">
      <c r="B121" s="2" t="s">
        <v>119</v>
      </c>
      <c r="C121" s="3">
        <v>43</v>
      </c>
      <c r="D121" s="3">
        <v>379</v>
      </c>
      <c r="E121" s="3">
        <v>337</v>
      </c>
      <c r="F121" s="29">
        <f t="shared" si="3"/>
        <v>0.8891820580474934</v>
      </c>
      <c r="G121" s="3">
        <v>0</v>
      </c>
      <c r="H121" s="3">
        <v>732</v>
      </c>
      <c r="I121" s="36">
        <v>8.1</v>
      </c>
      <c r="J121" s="3">
        <v>16827390</v>
      </c>
      <c r="K121" s="3">
        <v>13</v>
      </c>
      <c r="L121" t="b">
        <f t="shared" si="2"/>
        <v>1</v>
      </c>
    </row>
    <row r="122" spans="2:12" ht="18" x14ac:dyDescent="0.2">
      <c r="B122" s="2" t="s">
        <v>120</v>
      </c>
      <c r="C122" s="3">
        <v>35</v>
      </c>
      <c r="D122" s="3">
        <v>303</v>
      </c>
      <c r="E122" s="3">
        <v>269</v>
      </c>
      <c r="F122" s="29">
        <f t="shared" si="3"/>
        <v>0.88778877887788776</v>
      </c>
      <c r="G122" s="3">
        <v>0</v>
      </c>
      <c r="H122" s="3">
        <v>603</v>
      </c>
      <c r="I122" s="36">
        <v>6.5</v>
      </c>
      <c r="J122" s="3">
        <v>56543</v>
      </c>
      <c r="K122" s="3">
        <v>13</v>
      </c>
      <c r="L122" t="b">
        <f t="shared" si="2"/>
        <v>1</v>
      </c>
    </row>
    <row r="123" spans="2:12" ht="18" x14ac:dyDescent="0.2">
      <c r="B123" s="2" t="s">
        <v>121</v>
      </c>
      <c r="C123" s="3">
        <v>205</v>
      </c>
      <c r="D123" s="3">
        <v>845</v>
      </c>
      <c r="E123" s="3">
        <v>534</v>
      </c>
      <c r="F123" s="29">
        <f t="shared" si="3"/>
        <v>0.63195266272189354</v>
      </c>
      <c r="G123" s="3">
        <v>16</v>
      </c>
      <c r="H123" s="3">
        <v>315116</v>
      </c>
      <c r="I123" s="36">
        <v>13</v>
      </c>
      <c r="J123" s="3">
        <v>43807206</v>
      </c>
      <c r="K123" s="3">
        <v>69</v>
      </c>
      <c r="L123" t="b">
        <f t="shared" si="2"/>
        <v>0</v>
      </c>
    </row>
    <row r="124" spans="2:12" ht="18" x14ac:dyDescent="0.2">
      <c r="B124" s="2" t="s">
        <v>122</v>
      </c>
      <c r="C124" s="3">
        <v>30</v>
      </c>
      <c r="D124" s="3">
        <v>170</v>
      </c>
      <c r="E124" s="3">
        <v>141</v>
      </c>
      <c r="F124" s="29">
        <f t="shared" si="3"/>
        <v>0.8294117647058824</v>
      </c>
      <c r="G124" s="3">
        <v>0</v>
      </c>
      <c r="H124" s="3">
        <v>239</v>
      </c>
      <c r="I124" s="36">
        <v>3.7</v>
      </c>
      <c r="J124" s="3">
        <v>368206583</v>
      </c>
      <c r="K124" s="3">
        <v>13</v>
      </c>
      <c r="L124" t="b">
        <f t="shared" si="2"/>
        <v>1</v>
      </c>
    </row>
    <row r="125" spans="2:12" ht="18" x14ac:dyDescent="0.2">
      <c r="B125" s="2" t="s">
        <v>123</v>
      </c>
      <c r="C125" s="3">
        <v>42</v>
      </c>
      <c r="D125" s="3">
        <v>239</v>
      </c>
      <c r="E125" s="3">
        <v>198</v>
      </c>
      <c r="F125" s="29">
        <f t="shared" si="3"/>
        <v>0.82845188284518834</v>
      </c>
      <c r="G125" s="3">
        <v>0</v>
      </c>
      <c r="H125" s="3">
        <v>434</v>
      </c>
      <c r="I125" s="36">
        <v>4.8</v>
      </c>
      <c r="J125" s="3">
        <v>161904699</v>
      </c>
      <c r="K125" s="3">
        <v>13</v>
      </c>
      <c r="L125" t="b">
        <f t="shared" si="2"/>
        <v>1</v>
      </c>
    </row>
    <row r="126" spans="2:12" ht="18" x14ac:dyDescent="0.2">
      <c r="B126" s="2" t="s">
        <v>124</v>
      </c>
      <c r="C126" s="3">
        <v>42</v>
      </c>
      <c r="D126" s="3">
        <v>252</v>
      </c>
      <c r="E126" s="3">
        <v>211</v>
      </c>
      <c r="F126" s="29">
        <f t="shared" si="3"/>
        <v>0.83730158730158732</v>
      </c>
      <c r="G126" s="3">
        <v>0</v>
      </c>
      <c r="H126" s="3">
        <v>437</v>
      </c>
      <c r="I126" s="36">
        <v>5.0999999999999996</v>
      </c>
      <c r="J126" s="3">
        <v>27427576</v>
      </c>
      <c r="K126" s="3">
        <v>13</v>
      </c>
      <c r="L126" t="b">
        <f t="shared" si="2"/>
        <v>1</v>
      </c>
    </row>
    <row r="134" spans="2:7" ht="38" x14ac:dyDescent="0.2">
      <c r="C134" s="40" t="s">
        <v>160</v>
      </c>
      <c r="D134" s="40" t="s">
        <v>168</v>
      </c>
      <c r="E134" s="40" t="s">
        <v>167</v>
      </c>
      <c r="F134" s="40" t="s">
        <v>166</v>
      </c>
      <c r="G134" s="40" t="s">
        <v>165</v>
      </c>
    </row>
    <row r="135" spans="2:7" ht="18" x14ac:dyDescent="0.2">
      <c r="B135" s="13" t="s">
        <v>138</v>
      </c>
      <c r="C135" s="36">
        <v>2.6</v>
      </c>
      <c r="D135" s="42">
        <v>1.28125</v>
      </c>
      <c r="E135" s="42">
        <v>27</v>
      </c>
      <c r="F135" s="3">
        <v>5</v>
      </c>
      <c r="G135" s="43">
        <v>4.0099999999999999E-4</v>
      </c>
    </row>
    <row r="136" spans="2:7" ht="18" x14ac:dyDescent="0.2">
      <c r="B136" s="13" t="s">
        <v>139</v>
      </c>
      <c r="C136" s="36">
        <v>36</v>
      </c>
      <c r="D136" s="42">
        <v>25.078125</v>
      </c>
      <c r="E136" s="42">
        <v>18.5625</v>
      </c>
      <c r="F136" s="3">
        <v>32</v>
      </c>
      <c r="G136" s="43">
        <v>4.1199999999999999E-4</v>
      </c>
    </row>
    <row r="137" spans="2:7" ht="18" x14ac:dyDescent="0.2">
      <c r="B137" s="13" t="s">
        <v>140</v>
      </c>
      <c r="C137" s="36">
        <v>179</v>
      </c>
      <c r="D137" s="42">
        <v>65.765625</v>
      </c>
      <c r="E137" s="42">
        <v>11630.25</v>
      </c>
      <c r="F137" s="3">
        <v>127</v>
      </c>
      <c r="G137" s="43">
        <v>3.79E-4</v>
      </c>
    </row>
    <row r="138" spans="2:7" ht="18" x14ac:dyDescent="0.2">
      <c r="B138" s="13" t="s">
        <v>141</v>
      </c>
      <c r="C138" s="36">
        <v>1.1000000000000001</v>
      </c>
      <c r="D138" s="42">
        <v>0.734375</v>
      </c>
      <c r="E138" s="42">
        <v>0</v>
      </c>
      <c r="F138" s="3">
        <v>9</v>
      </c>
      <c r="G138" s="43">
        <v>3.8400000000000001E-4</v>
      </c>
    </row>
    <row r="139" spans="2:7" ht="18" x14ac:dyDescent="0.2">
      <c r="B139" s="13" t="s">
        <v>142</v>
      </c>
      <c r="C139" s="36">
        <v>70</v>
      </c>
      <c r="D139" s="42">
        <v>48.1875</v>
      </c>
      <c r="E139" s="42">
        <v>4.21875</v>
      </c>
      <c r="F139" s="3">
        <v>76</v>
      </c>
      <c r="G139" s="43">
        <v>3.79E-4</v>
      </c>
    </row>
    <row r="140" spans="2:7" ht="18" x14ac:dyDescent="0.2">
      <c r="B140" s="13" t="s">
        <v>143</v>
      </c>
      <c r="C140" s="36">
        <v>310</v>
      </c>
      <c r="D140" s="42">
        <v>46.296875</v>
      </c>
      <c r="E140" s="42">
        <v>291385.0078125</v>
      </c>
      <c r="F140" s="3">
        <v>107</v>
      </c>
      <c r="G140" s="43">
        <v>4.08E-4</v>
      </c>
    </row>
    <row r="141" spans="2:7" ht="18" x14ac:dyDescent="0.2">
      <c r="B141" s="13" t="s">
        <v>144</v>
      </c>
      <c r="C141" s="36">
        <v>11</v>
      </c>
      <c r="D141" s="42">
        <v>7.390625</v>
      </c>
      <c r="E141" s="42">
        <v>0</v>
      </c>
      <c r="F141" s="3">
        <v>14</v>
      </c>
      <c r="G141" s="43">
        <v>3.8099999999999999E-4</v>
      </c>
    </row>
    <row r="142" spans="2:7" ht="18" x14ac:dyDescent="0.2">
      <c r="B142" s="13" t="s">
        <v>145</v>
      </c>
      <c r="C142" s="36">
        <v>31</v>
      </c>
      <c r="D142" s="42">
        <v>4.734375</v>
      </c>
      <c r="E142" s="42">
        <v>2877.1875</v>
      </c>
      <c r="F142" s="3">
        <v>28</v>
      </c>
      <c r="G142" s="43">
        <v>3.9100000000000002E-4</v>
      </c>
    </row>
    <row r="143" spans="2:7" ht="18" x14ac:dyDescent="0.2">
      <c r="B143" s="13" t="s">
        <v>0</v>
      </c>
      <c r="C143" s="36">
        <v>2.6</v>
      </c>
      <c r="D143" s="42">
        <v>1.28125</v>
      </c>
      <c r="E143" s="42">
        <v>27</v>
      </c>
      <c r="F143" s="3">
        <v>7</v>
      </c>
      <c r="G143" s="43">
        <v>4.0099999999999999E-4</v>
      </c>
    </row>
    <row r="144" spans="2:7" ht="18" x14ac:dyDescent="0.2">
      <c r="B144" s="13" t="s">
        <v>1</v>
      </c>
      <c r="C144" s="36">
        <v>1.2</v>
      </c>
      <c r="D144" s="42">
        <v>0.796875</v>
      </c>
      <c r="E144" s="42">
        <v>0</v>
      </c>
      <c r="F144" s="3">
        <v>7</v>
      </c>
      <c r="G144" s="43">
        <v>6.0099999999999997E-4</v>
      </c>
    </row>
    <row r="145" spans="2:7" ht="18" x14ac:dyDescent="0.2">
      <c r="B145" s="13" t="s">
        <v>2</v>
      </c>
      <c r="C145" s="36">
        <v>70</v>
      </c>
      <c r="D145" s="42">
        <v>48.1875</v>
      </c>
      <c r="E145" s="42">
        <v>4.21875</v>
      </c>
      <c r="F145" s="3">
        <v>61</v>
      </c>
      <c r="G145" s="43">
        <v>3.7800000000000003E-4</v>
      </c>
    </row>
    <row r="146" spans="2:7" ht="18" x14ac:dyDescent="0.2">
      <c r="B146" s="13" t="s">
        <v>3</v>
      </c>
      <c r="C146" s="36">
        <v>310</v>
      </c>
      <c r="D146" s="42">
        <v>46.296875</v>
      </c>
      <c r="E146" s="42">
        <v>291385.0078125</v>
      </c>
      <c r="F146" s="3">
        <v>100</v>
      </c>
      <c r="G146" s="43">
        <v>4.08E-4</v>
      </c>
    </row>
    <row r="147" spans="2:7" ht="18" x14ac:dyDescent="0.2">
      <c r="B147" s="13" t="s">
        <v>4</v>
      </c>
      <c r="C147" s="36">
        <v>11</v>
      </c>
      <c r="D147" s="42">
        <v>7.390625</v>
      </c>
      <c r="E147" s="42">
        <v>0</v>
      </c>
      <c r="F147" s="3">
        <v>16</v>
      </c>
      <c r="G147" s="43">
        <v>3.8200000000000002E-4</v>
      </c>
    </row>
    <row r="148" spans="2:7" ht="18" x14ac:dyDescent="0.2">
      <c r="B148" s="13" t="s">
        <v>5</v>
      </c>
      <c r="C148" s="36">
        <v>31</v>
      </c>
      <c r="D148" s="42">
        <v>4.84375</v>
      </c>
      <c r="E148" s="42">
        <v>2621.71875</v>
      </c>
      <c r="F148" s="3">
        <v>23</v>
      </c>
      <c r="G148" s="43">
        <v>5.7200000000000003E-4</v>
      </c>
    </row>
    <row r="149" spans="2:7" ht="18" x14ac:dyDescent="0.2">
      <c r="B149" s="2" t="s">
        <v>113</v>
      </c>
      <c r="C149" s="36">
        <v>5.4</v>
      </c>
      <c r="D149" s="42">
        <v>3.90625</v>
      </c>
      <c r="E149" s="42">
        <v>4.6875E-2</v>
      </c>
      <c r="F149" s="3">
        <v>3</v>
      </c>
      <c r="G149" s="43">
        <v>3.9300000000000001E-4</v>
      </c>
    </row>
    <row r="150" spans="2:7" ht="18" x14ac:dyDescent="0.2">
      <c r="B150" s="2" t="s">
        <v>114</v>
      </c>
      <c r="C150" s="36">
        <v>11</v>
      </c>
      <c r="D150" s="42">
        <v>7.90625</v>
      </c>
      <c r="E150" s="42">
        <v>4.6875E-2</v>
      </c>
      <c r="F150" s="3">
        <v>16</v>
      </c>
      <c r="G150" s="43">
        <v>3.7199999999999999E-4</v>
      </c>
    </row>
    <row r="151" spans="2:7" ht="18" x14ac:dyDescent="0.2">
      <c r="B151" s="2" t="s">
        <v>115</v>
      </c>
      <c r="C151" s="36">
        <v>4.2</v>
      </c>
      <c r="D151" s="42">
        <v>2.921875</v>
      </c>
      <c r="E151" s="42">
        <v>4.6875E-2</v>
      </c>
      <c r="F151" s="3">
        <v>23</v>
      </c>
      <c r="G151" s="43">
        <v>3.8000000000000002E-4</v>
      </c>
    </row>
    <row r="152" spans="2:7" ht="18" x14ac:dyDescent="0.2">
      <c r="B152" s="2" t="s">
        <v>116</v>
      </c>
      <c r="C152" s="36">
        <v>12</v>
      </c>
      <c r="D152" s="42">
        <v>7.71875</v>
      </c>
      <c r="E152" s="42">
        <v>6.5625</v>
      </c>
      <c r="F152" s="3">
        <v>9</v>
      </c>
      <c r="G152" s="43">
        <v>3.7800000000000003E-4</v>
      </c>
    </row>
    <row r="153" spans="2:7" ht="18" x14ac:dyDescent="0.2">
      <c r="B153" s="2" t="s">
        <v>117</v>
      </c>
      <c r="C153" s="36">
        <v>3.7</v>
      </c>
      <c r="D153" s="42">
        <v>2.59375</v>
      </c>
      <c r="E153" s="42">
        <v>4.6875E-2</v>
      </c>
      <c r="F153" s="3">
        <v>6</v>
      </c>
      <c r="G153" s="43">
        <v>4.1599999999999997E-4</v>
      </c>
    </row>
    <row r="154" spans="2:7" ht="18" x14ac:dyDescent="0.2">
      <c r="B154" s="2" t="s">
        <v>118</v>
      </c>
      <c r="C154" s="36">
        <v>3.4</v>
      </c>
      <c r="D154" s="42">
        <v>2.390625</v>
      </c>
      <c r="E154" s="42">
        <v>4.6875E-2</v>
      </c>
      <c r="F154" s="3">
        <v>11</v>
      </c>
      <c r="G154" s="43">
        <v>3.9300000000000001E-4</v>
      </c>
    </row>
    <row r="155" spans="2:7" ht="18" x14ac:dyDescent="0.2">
      <c r="B155" s="2" t="s">
        <v>119</v>
      </c>
      <c r="C155" s="36">
        <v>8.1</v>
      </c>
      <c r="D155" s="42">
        <v>5.75</v>
      </c>
      <c r="E155" s="42">
        <v>4.6875E-2</v>
      </c>
      <c r="F155" s="3">
        <v>10</v>
      </c>
      <c r="G155" s="43">
        <v>4.2900000000000002E-4</v>
      </c>
    </row>
    <row r="156" spans="2:7" ht="18" x14ac:dyDescent="0.2">
      <c r="B156" s="2" t="s">
        <v>120</v>
      </c>
      <c r="C156" s="36">
        <v>6.5</v>
      </c>
      <c r="D156" s="42">
        <v>4.5625</v>
      </c>
      <c r="E156" s="42">
        <v>4.6875E-2</v>
      </c>
      <c r="F156" s="3">
        <v>22</v>
      </c>
      <c r="G156" s="43">
        <v>5.4900000000000001E-4</v>
      </c>
    </row>
    <row r="157" spans="2:7" ht="18" x14ac:dyDescent="0.2">
      <c r="B157" s="2" t="s">
        <v>121</v>
      </c>
      <c r="C157" s="36">
        <v>13</v>
      </c>
      <c r="D157" s="42">
        <v>8.609375</v>
      </c>
      <c r="E157" s="42">
        <v>1.40625</v>
      </c>
      <c r="F157" s="3">
        <v>14</v>
      </c>
      <c r="G157" s="43">
        <v>3.8999999999999999E-4</v>
      </c>
    </row>
    <row r="158" spans="2:7" ht="18" x14ac:dyDescent="0.2">
      <c r="B158" s="2" t="s">
        <v>122</v>
      </c>
      <c r="C158" s="36">
        <v>3.7</v>
      </c>
      <c r="D158" s="42">
        <v>2.609375</v>
      </c>
      <c r="E158" s="42">
        <v>4.6875E-2</v>
      </c>
      <c r="F158" s="3">
        <v>3</v>
      </c>
      <c r="G158" s="43">
        <v>3.9100000000000002E-4</v>
      </c>
    </row>
    <row r="159" spans="2:7" ht="18" x14ac:dyDescent="0.2">
      <c r="B159" s="2" t="s">
        <v>123</v>
      </c>
      <c r="C159" s="36">
        <v>4.8</v>
      </c>
      <c r="D159" s="42">
        <v>3.421875</v>
      </c>
      <c r="E159" s="42">
        <v>4.6875E-2</v>
      </c>
      <c r="F159" s="3">
        <v>3</v>
      </c>
      <c r="G159" s="43">
        <v>3.9100000000000002E-4</v>
      </c>
    </row>
    <row r="160" spans="2:7" ht="18" x14ac:dyDescent="0.2">
      <c r="B160" s="2" t="s">
        <v>124</v>
      </c>
      <c r="C160" s="36">
        <v>5.0999999999999996</v>
      </c>
      <c r="D160" s="42">
        <v>3.609375</v>
      </c>
      <c r="E160" s="42">
        <v>4.6875E-2</v>
      </c>
      <c r="F160" s="3">
        <v>30</v>
      </c>
      <c r="G160" s="43">
        <v>3.9100000000000002E-4</v>
      </c>
    </row>
    <row r="163" spans="2:7" ht="38" x14ac:dyDescent="0.2">
      <c r="C163" s="40" t="s">
        <v>160</v>
      </c>
      <c r="D163" s="40" t="s">
        <v>168</v>
      </c>
      <c r="E163" s="40" t="s">
        <v>167</v>
      </c>
      <c r="F163" s="40" t="s">
        <v>166</v>
      </c>
      <c r="G163" s="40" t="s">
        <v>165</v>
      </c>
    </row>
    <row r="164" spans="2:7" ht="18" x14ac:dyDescent="0.2">
      <c r="B164" s="13" t="s">
        <v>138</v>
      </c>
      <c r="C164" s="36">
        <v>2.6</v>
      </c>
      <c r="D164" s="42">
        <v>1.28125</v>
      </c>
      <c r="E164" s="42">
        <v>27</v>
      </c>
      <c r="F164" s="3">
        <v>5</v>
      </c>
      <c r="G164" s="43"/>
    </row>
    <row r="165" spans="2:7" ht="18" x14ac:dyDescent="0.2">
      <c r="B165" s="13" t="s">
        <v>139</v>
      </c>
      <c r="C165" s="36">
        <v>36</v>
      </c>
      <c r="D165" s="42">
        <v>25.078125</v>
      </c>
      <c r="E165" s="42">
        <v>18.5625</v>
      </c>
      <c r="F165" s="3">
        <v>32</v>
      </c>
      <c r="G165" s="43"/>
    </row>
    <row r="166" spans="2:7" ht="18" x14ac:dyDescent="0.2">
      <c r="B166" s="13" t="s">
        <v>140</v>
      </c>
      <c r="C166" s="36">
        <v>179</v>
      </c>
      <c r="D166" s="42">
        <v>65.765625</v>
      </c>
      <c r="E166" s="42">
        <v>11630.25</v>
      </c>
      <c r="F166" s="3">
        <v>127</v>
      </c>
      <c r="G166" s="43"/>
    </row>
    <row r="167" spans="2:7" ht="18" x14ac:dyDescent="0.2">
      <c r="B167" s="13" t="s">
        <v>141</v>
      </c>
      <c r="C167" s="36">
        <v>1.1000000000000001</v>
      </c>
      <c r="D167" s="42">
        <v>0.734375</v>
      </c>
      <c r="E167" s="42">
        <v>0</v>
      </c>
      <c r="F167" s="3">
        <v>9</v>
      </c>
      <c r="G167" s="43"/>
    </row>
    <row r="168" spans="2:7" ht="18" x14ac:dyDescent="0.2">
      <c r="B168" s="13" t="s">
        <v>142</v>
      </c>
      <c r="C168" s="36">
        <v>70</v>
      </c>
      <c r="D168" s="42">
        <v>48.1875</v>
      </c>
      <c r="E168" s="42">
        <v>4.21875</v>
      </c>
      <c r="F168" s="3">
        <v>76</v>
      </c>
      <c r="G168" s="43"/>
    </row>
    <row r="169" spans="2:7" ht="18" x14ac:dyDescent="0.2">
      <c r="B169" s="13" t="s">
        <v>143</v>
      </c>
      <c r="C169" s="36">
        <v>310</v>
      </c>
      <c r="D169" s="42">
        <v>46.296875</v>
      </c>
      <c r="E169" s="42">
        <v>291385.0078125</v>
      </c>
      <c r="F169" s="3">
        <v>107</v>
      </c>
      <c r="G169" s="43"/>
    </row>
    <row r="170" spans="2:7" ht="18" x14ac:dyDescent="0.2">
      <c r="B170" s="13" t="s">
        <v>144</v>
      </c>
      <c r="C170" s="36">
        <v>11</v>
      </c>
      <c r="D170" s="42">
        <v>7.390625</v>
      </c>
      <c r="E170" s="42">
        <v>0</v>
      </c>
      <c r="F170" s="3">
        <v>14</v>
      </c>
      <c r="G170" s="43"/>
    </row>
    <row r="171" spans="2:7" ht="18" x14ac:dyDescent="0.2">
      <c r="B171" s="13" t="s">
        <v>145</v>
      </c>
      <c r="C171" s="36">
        <v>31</v>
      </c>
      <c r="D171" s="42">
        <v>4.734375</v>
      </c>
      <c r="E171" s="42">
        <v>2877.1875</v>
      </c>
      <c r="F171" s="3">
        <v>28</v>
      </c>
      <c r="G171" s="43"/>
    </row>
    <row r="172" spans="2:7" ht="18" x14ac:dyDescent="0.2">
      <c r="B172" s="13" t="s">
        <v>0</v>
      </c>
      <c r="C172" s="36">
        <v>2.6</v>
      </c>
      <c r="D172" s="42">
        <v>1.28125</v>
      </c>
      <c r="E172" s="42">
        <v>27</v>
      </c>
      <c r="F172" s="3">
        <v>7</v>
      </c>
      <c r="G172" s="43"/>
    </row>
    <row r="173" spans="2:7" ht="18" x14ac:dyDescent="0.2">
      <c r="B173" s="13" t="s">
        <v>1</v>
      </c>
      <c r="C173" s="36">
        <v>1.2</v>
      </c>
      <c r="D173" s="42">
        <v>0.796875</v>
      </c>
      <c r="E173" s="42">
        <v>0</v>
      </c>
      <c r="F173" s="3">
        <v>7</v>
      </c>
      <c r="G173" s="43"/>
    </row>
    <row r="174" spans="2:7" ht="18" x14ac:dyDescent="0.2">
      <c r="B174" s="13" t="s">
        <v>2</v>
      </c>
      <c r="C174" s="36">
        <v>70</v>
      </c>
      <c r="D174" s="42">
        <v>48.1875</v>
      </c>
      <c r="E174" s="42">
        <v>4.21875</v>
      </c>
      <c r="F174" s="3">
        <v>61</v>
      </c>
      <c r="G174" s="43"/>
    </row>
    <row r="175" spans="2:7" ht="18" x14ac:dyDescent="0.2">
      <c r="B175" s="13" t="s">
        <v>3</v>
      </c>
      <c r="C175" s="36">
        <v>310</v>
      </c>
      <c r="D175" s="42">
        <v>46.296875</v>
      </c>
      <c r="E175" s="42">
        <v>291385.0078125</v>
      </c>
      <c r="F175" s="3">
        <v>100</v>
      </c>
      <c r="G175" s="43"/>
    </row>
    <row r="176" spans="2:7" ht="18" x14ac:dyDescent="0.2">
      <c r="B176" s="13" t="s">
        <v>4</v>
      </c>
      <c r="C176" s="36">
        <v>11</v>
      </c>
      <c r="D176" s="42">
        <v>7.390625</v>
      </c>
      <c r="E176" s="42">
        <v>0</v>
      </c>
      <c r="F176" s="3">
        <v>16</v>
      </c>
      <c r="G176" s="43"/>
    </row>
    <row r="177" spans="2:7" ht="18" x14ac:dyDescent="0.2">
      <c r="B177" s="13" t="s">
        <v>5</v>
      </c>
      <c r="C177" s="36">
        <v>31</v>
      </c>
      <c r="D177" s="42">
        <v>4.84375</v>
      </c>
      <c r="E177" s="42">
        <v>2621.71875</v>
      </c>
      <c r="F177" s="3">
        <v>23</v>
      </c>
      <c r="G177" s="43"/>
    </row>
    <row r="178" spans="2:7" ht="18" x14ac:dyDescent="0.2">
      <c r="B178" s="2" t="s">
        <v>113</v>
      </c>
      <c r="C178" s="36">
        <v>5.4</v>
      </c>
      <c r="D178" s="42">
        <v>3.90625</v>
      </c>
      <c r="E178" s="42">
        <v>4.6875E-2</v>
      </c>
      <c r="F178" s="3">
        <v>3</v>
      </c>
      <c r="G178" s="43">
        <v>3.9300000000000001E-4</v>
      </c>
    </row>
    <row r="179" spans="2:7" ht="18" x14ac:dyDescent="0.2">
      <c r="B179" s="2" t="s">
        <v>114</v>
      </c>
      <c r="C179" s="36">
        <v>11</v>
      </c>
      <c r="D179" s="42">
        <v>7.90625</v>
      </c>
      <c r="E179" s="42">
        <v>4.6875E-2</v>
      </c>
      <c r="F179" s="3">
        <v>16</v>
      </c>
      <c r="G179" s="43">
        <v>3.7199999999999999E-4</v>
      </c>
    </row>
    <row r="180" spans="2:7" ht="18" x14ac:dyDescent="0.2">
      <c r="B180" s="2" t="s">
        <v>115</v>
      </c>
      <c r="C180" s="36">
        <v>4.2</v>
      </c>
      <c r="D180" s="42">
        <v>2.921875</v>
      </c>
      <c r="E180" s="42">
        <v>4.6875E-2</v>
      </c>
      <c r="F180" s="3">
        <v>23</v>
      </c>
      <c r="G180" s="43">
        <v>3.8000000000000002E-4</v>
      </c>
    </row>
    <row r="181" spans="2:7" ht="18" x14ac:dyDescent="0.2">
      <c r="B181" s="2" t="s">
        <v>116</v>
      </c>
      <c r="C181" s="36">
        <v>12</v>
      </c>
      <c r="D181" s="42">
        <v>7.71875</v>
      </c>
      <c r="E181" s="42">
        <v>6.5625</v>
      </c>
      <c r="F181" s="3">
        <v>9</v>
      </c>
      <c r="G181" s="43">
        <v>3.7800000000000003E-4</v>
      </c>
    </row>
    <row r="182" spans="2:7" ht="18" x14ac:dyDescent="0.2">
      <c r="B182" s="2" t="s">
        <v>117</v>
      </c>
      <c r="C182" s="36">
        <v>3.7</v>
      </c>
      <c r="D182" s="42">
        <v>2.59375</v>
      </c>
      <c r="E182" s="42">
        <v>4.6875E-2</v>
      </c>
      <c r="F182" s="3">
        <v>6</v>
      </c>
      <c r="G182" s="43">
        <v>4.1599999999999997E-4</v>
      </c>
    </row>
    <row r="183" spans="2:7" ht="18" x14ac:dyDescent="0.2">
      <c r="B183" s="2" t="s">
        <v>118</v>
      </c>
      <c r="C183" s="36">
        <v>3.4</v>
      </c>
      <c r="D183" s="42">
        <v>2.390625</v>
      </c>
      <c r="E183" s="42">
        <v>4.6875E-2</v>
      </c>
      <c r="F183" s="3">
        <v>11</v>
      </c>
      <c r="G183" s="43">
        <v>3.9300000000000001E-4</v>
      </c>
    </row>
    <row r="184" spans="2:7" ht="18" x14ac:dyDescent="0.2">
      <c r="B184" s="2" t="s">
        <v>119</v>
      </c>
      <c r="C184" s="36">
        <v>8.1</v>
      </c>
      <c r="D184" s="42">
        <v>5.75</v>
      </c>
      <c r="E184" s="42">
        <v>4.6875E-2</v>
      </c>
      <c r="F184" s="3">
        <v>10</v>
      </c>
      <c r="G184" s="43">
        <v>4.2900000000000002E-4</v>
      </c>
    </row>
    <row r="185" spans="2:7" ht="18" x14ac:dyDescent="0.2">
      <c r="B185" s="2" t="s">
        <v>120</v>
      </c>
      <c r="C185" s="36">
        <v>6.5</v>
      </c>
      <c r="D185" s="42">
        <v>4.5625</v>
      </c>
      <c r="E185" s="42">
        <v>4.6875E-2</v>
      </c>
      <c r="F185" s="3">
        <v>22</v>
      </c>
      <c r="G185" s="43">
        <v>5.4900000000000001E-4</v>
      </c>
    </row>
    <row r="186" spans="2:7" ht="18" x14ac:dyDescent="0.2">
      <c r="B186" s="2" t="s">
        <v>121</v>
      </c>
      <c r="C186" s="36">
        <v>13</v>
      </c>
      <c r="D186" s="42">
        <v>8.609375</v>
      </c>
      <c r="E186" s="42">
        <v>1.40625</v>
      </c>
      <c r="F186" s="3">
        <v>14</v>
      </c>
      <c r="G186" s="43">
        <v>3.8999999999999999E-4</v>
      </c>
    </row>
    <row r="187" spans="2:7" ht="18" x14ac:dyDescent="0.2">
      <c r="B187" s="2" t="s">
        <v>122</v>
      </c>
      <c r="C187" s="36">
        <v>3.7</v>
      </c>
      <c r="D187" s="42">
        <v>2.609375</v>
      </c>
      <c r="E187" s="42">
        <v>4.6875E-2</v>
      </c>
      <c r="F187" s="3">
        <v>3</v>
      </c>
      <c r="G187" s="43">
        <v>3.9100000000000002E-4</v>
      </c>
    </row>
    <row r="188" spans="2:7" ht="18" x14ac:dyDescent="0.2">
      <c r="B188" s="2" t="s">
        <v>123</v>
      </c>
      <c r="C188" s="36">
        <v>4.8</v>
      </c>
      <c r="D188" s="42">
        <v>3.421875</v>
      </c>
      <c r="E188" s="42">
        <v>4.6875E-2</v>
      </c>
      <c r="F188" s="3">
        <v>3</v>
      </c>
      <c r="G188" s="43">
        <v>3.9100000000000002E-4</v>
      </c>
    </row>
    <row r="189" spans="2:7" ht="18" x14ac:dyDescent="0.2">
      <c r="B189" s="2" t="s">
        <v>124</v>
      </c>
      <c r="C189" s="36">
        <v>5.0999999999999996</v>
      </c>
      <c r="D189" s="42">
        <v>3.609375</v>
      </c>
      <c r="E189" s="42">
        <v>4.6875E-2</v>
      </c>
      <c r="F189" s="3">
        <v>30</v>
      </c>
      <c r="G189" s="43">
        <v>3.9100000000000002E-4</v>
      </c>
    </row>
  </sheetData>
  <mergeCells count="20">
    <mergeCell ref="A61:A82"/>
    <mergeCell ref="A83:A94"/>
    <mergeCell ref="C58:G58"/>
    <mergeCell ref="C59:G59"/>
    <mergeCell ref="N59:P59"/>
    <mergeCell ref="K60:M60"/>
    <mergeCell ref="H59:I59"/>
    <mergeCell ref="D37:E37"/>
    <mergeCell ref="C37:C38"/>
    <mergeCell ref="A4:A23"/>
    <mergeCell ref="A24:A35"/>
    <mergeCell ref="C1:M1"/>
    <mergeCell ref="N1:P1"/>
    <mergeCell ref="O2:O3"/>
    <mergeCell ref="B2:B3"/>
    <mergeCell ref="C2:E2"/>
    <mergeCell ref="F2:J2"/>
    <mergeCell ref="K2:M2"/>
    <mergeCell ref="P2:P3"/>
    <mergeCell ref="N2:N3"/>
  </mergeCells>
  <conditionalFormatting sqref="L101:L126">
    <cfRule type="cellIs" dxfId="0" priority="1" operator="equal">
      <formula>FALSE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D338-1764-6C49-88FF-A1097ACEBC60}">
  <dimension ref="A1:K76"/>
  <sheetViews>
    <sheetView zoomScaleNormal="70" workbookViewId="0">
      <selection activeCell="A2" sqref="A2:A15"/>
    </sheetView>
  </sheetViews>
  <sheetFormatPr baseColWidth="10" defaultRowHeight="18" x14ac:dyDescent="0.2"/>
  <cols>
    <col min="1" max="1" width="27.83203125" style="1" bestFit="1" customWidth="1"/>
    <col min="2" max="2" width="14.1640625" style="1" bestFit="1" customWidth="1"/>
    <col min="3" max="3" width="25.6640625" style="1" bestFit="1" customWidth="1"/>
    <col min="4" max="4" width="20.6640625" style="1" bestFit="1" customWidth="1"/>
    <col min="5" max="5" width="35.1640625" style="1" bestFit="1" customWidth="1"/>
    <col min="6" max="6" width="30.1640625" style="1" bestFit="1" customWidth="1"/>
    <col min="7" max="7" width="25.6640625" style="1" bestFit="1" customWidth="1"/>
    <col min="8" max="8" width="20.6640625" style="1" bestFit="1" customWidth="1"/>
    <col min="9" max="9" width="35.1640625" style="1" bestFit="1" customWidth="1"/>
    <col min="10" max="10" width="30.1640625" style="1" bestFit="1" customWidth="1"/>
    <col min="11" max="11" width="11.6640625" style="1" bestFit="1" customWidth="1"/>
    <col min="12" max="16384" width="10.83203125" style="1"/>
  </cols>
  <sheetData>
    <row r="1" spans="1:7" x14ac:dyDescent="0.2">
      <c r="A1" s="2" t="s">
        <v>125</v>
      </c>
      <c r="B1" s="2" t="s">
        <v>106</v>
      </c>
      <c r="C1" s="2" t="s">
        <v>134</v>
      </c>
      <c r="D1" s="2" t="s">
        <v>132</v>
      </c>
      <c r="E1" s="2" t="s">
        <v>135</v>
      </c>
      <c r="F1" s="2" t="s">
        <v>133</v>
      </c>
    </row>
    <row r="2" spans="1:7" x14ac:dyDescent="0.2">
      <c r="A2" s="13" t="s">
        <v>39</v>
      </c>
      <c r="B2" s="3">
        <v>32869</v>
      </c>
      <c r="C2" s="5">
        <v>56219</v>
      </c>
      <c r="D2" s="5">
        <v>57006</v>
      </c>
      <c r="E2" s="3">
        <v>702600</v>
      </c>
      <c r="F2" s="5">
        <v>63658</v>
      </c>
    </row>
    <row r="3" spans="1:7" x14ac:dyDescent="0.2">
      <c r="A3" s="13" t="s">
        <v>6</v>
      </c>
      <c r="B3" s="3">
        <v>25970</v>
      </c>
      <c r="C3" s="5">
        <v>42521</v>
      </c>
      <c r="D3" s="5">
        <v>44332</v>
      </c>
      <c r="E3" s="5">
        <v>68627</v>
      </c>
      <c r="F3" s="5">
        <v>44415</v>
      </c>
    </row>
    <row r="4" spans="1:7" x14ac:dyDescent="0.2">
      <c r="A4" s="13" t="s">
        <v>7</v>
      </c>
      <c r="B4" s="3">
        <v>39798</v>
      </c>
      <c r="C4" s="5">
        <v>100657</v>
      </c>
      <c r="D4" s="5">
        <v>102594</v>
      </c>
      <c r="E4" s="5">
        <v>112550</v>
      </c>
      <c r="F4" s="5">
        <v>102838</v>
      </c>
      <c r="G4" s="1" t="s">
        <v>128</v>
      </c>
    </row>
    <row r="5" spans="1:7" x14ac:dyDescent="0.2">
      <c r="A5" s="13" t="s">
        <v>42</v>
      </c>
      <c r="B5" s="3">
        <v>24488</v>
      </c>
      <c r="C5" s="5">
        <v>30012</v>
      </c>
      <c r="D5" s="5">
        <v>32201</v>
      </c>
      <c r="E5" s="5">
        <v>32098</v>
      </c>
      <c r="F5" s="5">
        <v>32125</v>
      </c>
      <c r="G5" s="1" t="s">
        <v>129</v>
      </c>
    </row>
    <row r="6" spans="1:7" x14ac:dyDescent="0.2">
      <c r="A6" s="13" t="s">
        <v>41</v>
      </c>
      <c r="B6" s="3">
        <v>29569</v>
      </c>
      <c r="C6" s="5">
        <v>52975</v>
      </c>
      <c r="D6" s="5">
        <v>52507</v>
      </c>
      <c r="E6" s="3">
        <v>364200</v>
      </c>
      <c r="F6" s="5">
        <v>54505</v>
      </c>
    </row>
    <row r="7" spans="1:7" x14ac:dyDescent="0.2">
      <c r="A7" s="13" t="s">
        <v>43</v>
      </c>
      <c r="B7" s="3">
        <v>11043</v>
      </c>
      <c r="C7" s="5">
        <v>20051</v>
      </c>
      <c r="D7" s="5">
        <v>20886</v>
      </c>
      <c r="E7" s="3">
        <v>137310</v>
      </c>
      <c r="F7" s="5">
        <v>21456</v>
      </c>
    </row>
    <row r="8" spans="1:7" x14ac:dyDescent="0.2">
      <c r="A8" s="13" t="s">
        <v>45</v>
      </c>
      <c r="B8" s="3">
        <v>38109</v>
      </c>
      <c r="C8" s="5">
        <v>64314</v>
      </c>
      <c r="D8" s="5">
        <v>64337</v>
      </c>
      <c r="E8" s="3">
        <v>491700</v>
      </c>
      <c r="F8" s="5">
        <v>65811</v>
      </c>
    </row>
    <row r="9" spans="1:7" x14ac:dyDescent="0.2">
      <c r="A9" s="13" t="s">
        <v>47</v>
      </c>
      <c r="B9" s="3">
        <v>12007</v>
      </c>
      <c r="C9" s="5">
        <v>20046</v>
      </c>
      <c r="D9" s="5">
        <v>20200</v>
      </c>
      <c r="E9" s="5">
        <v>29961</v>
      </c>
      <c r="F9" s="5">
        <v>20047</v>
      </c>
    </row>
    <row r="10" spans="1:7" x14ac:dyDescent="0.2">
      <c r="A10" s="13" t="s">
        <v>11</v>
      </c>
      <c r="B10" s="3">
        <v>66451</v>
      </c>
      <c r="C10" s="5">
        <v>112016</v>
      </c>
      <c r="D10" s="5">
        <v>116305</v>
      </c>
      <c r="E10" s="3">
        <v>1618600</v>
      </c>
      <c r="F10" s="5">
        <v>129930</v>
      </c>
    </row>
    <row r="11" spans="1:7" x14ac:dyDescent="0.2">
      <c r="A11" s="13" t="s">
        <v>13</v>
      </c>
      <c r="B11" s="3">
        <v>116294</v>
      </c>
      <c r="C11" s="5">
        <v>112234</v>
      </c>
      <c r="D11" s="5">
        <v>117313</v>
      </c>
      <c r="E11" s="5">
        <v>117036</v>
      </c>
      <c r="F11" s="5">
        <v>117419</v>
      </c>
      <c r="G11" s="1" t="s">
        <v>129</v>
      </c>
    </row>
    <row r="12" spans="1:7" x14ac:dyDescent="0.2">
      <c r="A12" s="13" t="s">
        <v>15</v>
      </c>
      <c r="B12" s="3">
        <v>29341</v>
      </c>
      <c r="C12" s="5">
        <v>50118</v>
      </c>
      <c r="D12" s="5">
        <v>52506</v>
      </c>
      <c r="E12" s="3">
        <v>362900</v>
      </c>
      <c r="F12" s="5">
        <v>53796</v>
      </c>
    </row>
    <row r="13" spans="1:7" x14ac:dyDescent="0.2">
      <c r="A13" s="13" t="s">
        <v>16</v>
      </c>
      <c r="B13" s="3">
        <v>11136</v>
      </c>
      <c r="C13" s="5">
        <v>18811</v>
      </c>
      <c r="D13" s="5">
        <v>20806</v>
      </c>
      <c r="E13" s="3">
        <v>137400</v>
      </c>
      <c r="F13" s="5">
        <v>21453</v>
      </c>
    </row>
    <row r="14" spans="1:7" x14ac:dyDescent="0.2">
      <c r="A14" s="13" t="s">
        <v>19</v>
      </c>
      <c r="B14" s="3">
        <v>38181</v>
      </c>
      <c r="C14" s="5">
        <v>61069</v>
      </c>
      <c r="D14" s="5">
        <v>64577</v>
      </c>
      <c r="E14" s="3">
        <v>494100</v>
      </c>
      <c r="F14" s="5">
        <v>65877</v>
      </c>
    </row>
    <row r="15" spans="1:7" x14ac:dyDescent="0.2">
      <c r="A15" s="13" t="s">
        <v>21</v>
      </c>
      <c r="B15" s="3">
        <v>31298</v>
      </c>
      <c r="C15" s="5">
        <v>60957</v>
      </c>
      <c r="D15" s="5">
        <v>62900</v>
      </c>
      <c r="E15" s="5">
        <v>96640</v>
      </c>
      <c r="F15" s="5">
        <v>63540</v>
      </c>
      <c r="G15" s="30" t="s">
        <v>131</v>
      </c>
    </row>
    <row r="16" spans="1:7" x14ac:dyDescent="0.2">
      <c r="B16" s="31"/>
      <c r="C16" s="31"/>
      <c r="D16" s="31"/>
      <c r="E16" s="31"/>
      <c r="F16" s="31"/>
    </row>
    <row r="17" spans="1:10" x14ac:dyDescent="0.2">
      <c r="B17" s="31"/>
      <c r="C17" s="31"/>
      <c r="D17" s="31"/>
      <c r="E17" s="31"/>
      <c r="F17" s="31"/>
    </row>
    <row r="18" spans="1:10" x14ac:dyDescent="0.2">
      <c r="B18" s="31"/>
      <c r="C18" s="31"/>
      <c r="D18" s="31"/>
      <c r="E18" s="31"/>
      <c r="F18" s="31"/>
    </row>
    <row r="21" spans="1:10" x14ac:dyDescent="0.2">
      <c r="A21" s="2" t="s">
        <v>108</v>
      </c>
      <c r="B21" s="2" t="s">
        <v>106</v>
      </c>
      <c r="C21" s="2" t="s">
        <v>134</v>
      </c>
      <c r="D21" s="2" t="s">
        <v>132</v>
      </c>
      <c r="E21" s="2" t="s">
        <v>135</v>
      </c>
      <c r="F21" s="2" t="s">
        <v>133</v>
      </c>
    </row>
    <row r="22" spans="1:10" x14ac:dyDescent="0.2">
      <c r="A22" s="13" t="s">
        <v>138</v>
      </c>
      <c r="B22" s="29">
        <f t="shared" ref="B22:C35" si="0">B2/$B2</f>
        <v>1</v>
      </c>
      <c r="C22" s="29">
        <f t="shared" si="0"/>
        <v>1.7103958136846269</v>
      </c>
      <c r="D22" s="29">
        <f t="shared" ref="D22:F35" si="1">D2/$B2</f>
        <v>1.7343393471051751</v>
      </c>
      <c r="E22" s="29">
        <f t="shared" ref="E22:E35" si="2">E2/$B2</f>
        <v>21.375764398065048</v>
      </c>
      <c r="F22" s="29">
        <f t="shared" si="1"/>
        <v>1.936718488545438</v>
      </c>
      <c r="G22" s="30"/>
      <c r="H22" s="30"/>
      <c r="I22" s="30"/>
      <c r="J22" s="30"/>
    </row>
    <row r="23" spans="1:10" x14ac:dyDescent="0.2">
      <c r="A23" s="13" t="s">
        <v>139</v>
      </c>
      <c r="B23" s="29">
        <f t="shared" si="0"/>
        <v>1</v>
      </c>
      <c r="C23" s="29">
        <f t="shared" si="0"/>
        <v>1.6373122834039275</v>
      </c>
      <c r="D23" s="29">
        <f t="shared" si="1"/>
        <v>1.7070465922217943</v>
      </c>
      <c r="E23" s="29">
        <f t="shared" si="2"/>
        <v>2.6425490951097421</v>
      </c>
      <c r="F23" s="29">
        <f t="shared" si="1"/>
        <v>1.7102425876010781</v>
      </c>
      <c r="G23" s="30"/>
      <c r="H23" s="30"/>
      <c r="I23" s="30"/>
      <c r="J23" s="30"/>
    </row>
    <row r="24" spans="1:10" x14ac:dyDescent="0.2">
      <c r="A24" s="13" t="s">
        <v>140</v>
      </c>
      <c r="B24" s="29">
        <f t="shared" si="0"/>
        <v>1</v>
      </c>
      <c r="C24" s="29">
        <f t="shared" si="0"/>
        <v>2.5291974471078951</v>
      </c>
      <c r="D24" s="29">
        <f t="shared" si="1"/>
        <v>2.5778682345846526</v>
      </c>
      <c r="E24" s="29">
        <f t="shared" si="2"/>
        <v>2.8280315593748431</v>
      </c>
      <c r="F24" s="29">
        <f t="shared" si="1"/>
        <v>2.5839991959394943</v>
      </c>
      <c r="G24" s="30"/>
      <c r="H24" s="30"/>
      <c r="I24" s="30"/>
      <c r="J24" s="30"/>
    </row>
    <row r="25" spans="1:10" x14ac:dyDescent="0.2">
      <c r="A25" s="13" t="s">
        <v>141</v>
      </c>
      <c r="B25" s="29">
        <f t="shared" si="0"/>
        <v>1</v>
      </c>
      <c r="C25" s="29">
        <f t="shared" si="0"/>
        <v>1.2255798758575629</v>
      </c>
      <c r="D25" s="29">
        <f t="shared" si="1"/>
        <v>1.314970597843842</v>
      </c>
      <c r="E25" s="29">
        <f t="shared" si="2"/>
        <v>1.310764456060111</v>
      </c>
      <c r="F25" s="29">
        <f t="shared" si="1"/>
        <v>1.3118670369160406</v>
      </c>
      <c r="G25" s="30"/>
      <c r="H25" s="30"/>
      <c r="I25" s="30"/>
      <c r="J25" s="30"/>
    </row>
    <row r="26" spans="1:10" x14ac:dyDescent="0.2">
      <c r="A26" s="13" t="s">
        <v>142</v>
      </c>
      <c r="B26" s="29">
        <f t="shared" si="0"/>
        <v>1</v>
      </c>
      <c r="C26" s="29">
        <f t="shared" si="0"/>
        <v>1.7915722547262336</v>
      </c>
      <c r="D26" s="29">
        <f t="shared" si="1"/>
        <v>1.7757448679360142</v>
      </c>
      <c r="E26" s="29">
        <f t="shared" si="2"/>
        <v>12.316953566234908</v>
      </c>
      <c r="F26" s="29">
        <f t="shared" si="1"/>
        <v>1.8433156346173358</v>
      </c>
      <c r="G26" s="30"/>
      <c r="H26" s="30"/>
      <c r="I26" s="30"/>
      <c r="J26" s="30"/>
    </row>
    <row r="27" spans="1:10" x14ac:dyDescent="0.2">
      <c r="A27" s="13" t="s">
        <v>143</v>
      </c>
      <c r="B27" s="29">
        <f t="shared" si="0"/>
        <v>1</v>
      </c>
      <c r="C27" s="29">
        <f t="shared" si="0"/>
        <v>1.8157203658426153</v>
      </c>
      <c r="D27" s="29">
        <f t="shared" si="1"/>
        <v>1.89133387666395</v>
      </c>
      <c r="E27" s="29">
        <f t="shared" si="2"/>
        <v>12.43412116272752</v>
      </c>
      <c r="F27" s="29">
        <f t="shared" si="1"/>
        <v>1.9429502852485738</v>
      </c>
      <c r="G27" s="30"/>
      <c r="H27" s="30"/>
      <c r="I27" s="30"/>
      <c r="J27" s="30"/>
    </row>
    <row r="28" spans="1:10" x14ac:dyDescent="0.2">
      <c r="A28" s="13" t="s">
        <v>144</v>
      </c>
      <c r="B28" s="29">
        <f t="shared" si="0"/>
        <v>1</v>
      </c>
      <c r="C28" s="29">
        <f t="shared" si="0"/>
        <v>1.687632842635598</v>
      </c>
      <c r="D28" s="29">
        <f t="shared" si="1"/>
        <v>1.6882363746096722</v>
      </c>
      <c r="E28" s="29">
        <f t="shared" si="2"/>
        <v>12.902463984885459</v>
      </c>
      <c r="F28" s="29">
        <f t="shared" si="1"/>
        <v>1.7269149019916554</v>
      </c>
      <c r="G28" s="30"/>
      <c r="H28" s="30"/>
      <c r="I28" s="30"/>
      <c r="J28" s="30"/>
    </row>
    <row r="29" spans="1:10" x14ac:dyDescent="0.2">
      <c r="A29" s="13" t="s">
        <v>145</v>
      </c>
      <c r="B29" s="29">
        <f t="shared" si="0"/>
        <v>1</v>
      </c>
      <c r="C29" s="29">
        <f t="shared" si="0"/>
        <v>1.6695261097693013</v>
      </c>
      <c r="D29" s="29">
        <f t="shared" si="1"/>
        <v>1.6823519613558757</v>
      </c>
      <c r="E29" s="29">
        <f t="shared" si="2"/>
        <v>2.4952944115932372</v>
      </c>
      <c r="F29" s="29">
        <f t="shared" si="1"/>
        <v>1.6696093945198633</v>
      </c>
      <c r="G29" s="30"/>
      <c r="H29" s="30"/>
      <c r="I29" s="30"/>
      <c r="J29" s="30"/>
    </row>
    <row r="30" spans="1:10" x14ac:dyDescent="0.2">
      <c r="A30" s="13" t="s">
        <v>0</v>
      </c>
      <c r="B30" s="29">
        <f t="shared" si="0"/>
        <v>1</v>
      </c>
      <c r="C30" s="29">
        <f t="shared" si="0"/>
        <v>1.6856932175588026</v>
      </c>
      <c r="D30" s="29">
        <f t="shared" si="1"/>
        <v>1.7502370167491836</v>
      </c>
      <c r="E30" s="29">
        <f t="shared" si="2"/>
        <v>24.357797474831077</v>
      </c>
      <c r="F30" s="29">
        <f t="shared" si="1"/>
        <v>1.9552753156461151</v>
      </c>
      <c r="G30" s="30"/>
      <c r="H30" s="30"/>
      <c r="I30" s="30"/>
      <c r="J30" s="30"/>
    </row>
    <row r="31" spans="1:10" x14ac:dyDescent="0.2">
      <c r="A31" s="13" t="s">
        <v>1</v>
      </c>
      <c r="B31" s="29">
        <f t="shared" si="0"/>
        <v>1</v>
      </c>
      <c r="C31" s="29">
        <f t="shared" si="0"/>
        <v>0.96508848263882918</v>
      </c>
      <c r="D31" s="29">
        <f t="shared" si="1"/>
        <v>1.0087622749238998</v>
      </c>
      <c r="E31" s="29">
        <f t="shared" si="2"/>
        <v>1.0063803807591105</v>
      </c>
      <c r="F31" s="29">
        <f t="shared" si="1"/>
        <v>1.009673757889487</v>
      </c>
      <c r="G31" s="30"/>
      <c r="H31" s="30"/>
      <c r="I31" s="30"/>
      <c r="J31" s="30"/>
    </row>
    <row r="32" spans="1:10" x14ac:dyDescent="0.2">
      <c r="A32" s="13" t="s">
        <v>2</v>
      </c>
      <c r="B32" s="29">
        <f t="shared" si="0"/>
        <v>1</v>
      </c>
      <c r="C32" s="29">
        <f t="shared" si="0"/>
        <v>1.7081217409086262</v>
      </c>
      <c r="D32" s="29">
        <f t="shared" si="1"/>
        <v>1.7895095600013633</v>
      </c>
      <c r="E32" s="29">
        <f t="shared" si="2"/>
        <v>12.368358269997614</v>
      </c>
      <c r="F32" s="29">
        <f t="shared" si="1"/>
        <v>1.8334753416720631</v>
      </c>
      <c r="G32" s="30"/>
      <c r="H32" s="30"/>
      <c r="I32" s="30"/>
      <c r="J32" s="30"/>
    </row>
    <row r="33" spans="1:11" x14ac:dyDescent="0.2">
      <c r="A33" s="13" t="s">
        <v>3</v>
      </c>
      <c r="B33" s="29">
        <f t="shared" si="0"/>
        <v>1</v>
      </c>
      <c r="C33" s="29">
        <f t="shared" si="0"/>
        <v>1.6892061781609196</v>
      </c>
      <c r="D33" s="29">
        <f t="shared" si="1"/>
        <v>1.8683548850574712</v>
      </c>
      <c r="E33" s="29">
        <f t="shared" si="2"/>
        <v>12.338362068965518</v>
      </c>
      <c r="F33" s="29">
        <f t="shared" si="1"/>
        <v>1.9264547413793103</v>
      </c>
    </row>
    <row r="34" spans="1:11" x14ac:dyDescent="0.2">
      <c r="A34" s="13" t="s">
        <v>4</v>
      </c>
      <c r="B34" s="29">
        <f t="shared" si="0"/>
        <v>1</v>
      </c>
      <c r="C34" s="29">
        <f t="shared" si="0"/>
        <v>1.599460464629004</v>
      </c>
      <c r="D34" s="29">
        <f t="shared" si="1"/>
        <v>1.6913386239228936</v>
      </c>
      <c r="E34" s="29">
        <f t="shared" si="2"/>
        <v>12.940991592676985</v>
      </c>
      <c r="F34" s="29">
        <f t="shared" si="1"/>
        <v>1.7253869725779838</v>
      </c>
    </row>
    <row r="35" spans="1:11" x14ac:dyDescent="0.2">
      <c r="A35" s="13" t="s">
        <v>5</v>
      </c>
      <c r="B35" s="29">
        <f t="shared" si="0"/>
        <v>1</v>
      </c>
      <c r="C35" s="29">
        <f t="shared" si="0"/>
        <v>1.9476324365774171</v>
      </c>
      <c r="D35" s="29">
        <f t="shared" si="1"/>
        <v>2.0097130807080323</v>
      </c>
      <c r="E35" s="29">
        <f t="shared" si="2"/>
        <v>3.087737235606109</v>
      </c>
      <c r="F35" s="29">
        <f t="shared" si="1"/>
        <v>2.0301616716723112</v>
      </c>
    </row>
    <row r="36" spans="1:11" x14ac:dyDescent="0.2">
      <c r="A36" s="2" t="s">
        <v>105</v>
      </c>
      <c r="B36" s="29">
        <f t="shared" ref="B36:C36" si="3">GEOMEAN(B22:B35)</f>
        <v>1</v>
      </c>
      <c r="C36" s="29">
        <f t="shared" si="3"/>
        <v>1.6556977008480984</v>
      </c>
      <c r="D36" s="29">
        <f>GEOMEAN(D22:D35)</f>
        <v>1.716072489700305</v>
      </c>
      <c r="E36" s="29">
        <f>GEOMEAN(E22:E35)</f>
        <v>6.2975928485938155</v>
      </c>
      <c r="F36" s="29">
        <f>GEOMEAN(F22:F35)</f>
        <v>1.7643230843716435</v>
      </c>
      <c r="G36" s="41">
        <f>E36/F36</f>
        <v>3.56941021991824</v>
      </c>
    </row>
    <row r="37" spans="1:11" x14ac:dyDescent="0.2">
      <c r="B37" s="30"/>
      <c r="C37" s="30"/>
      <c r="D37" s="30"/>
      <c r="E37" s="30"/>
      <c r="F37" s="30"/>
      <c r="G37" s="1">
        <f>D36/C36</f>
        <v>1.0364648624089294</v>
      </c>
    </row>
    <row r="38" spans="1:11" x14ac:dyDescent="0.2">
      <c r="B38" s="30"/>
      <c r="C38" s="30"/>
      <c r="D38" s="30"/>
      <c r="F38" s="30"/>
    </row>
    <row r="41" spans="1:11" x14ac:dyDescent="0.2">
      <c r="G41" s="1" t="s">
        <v>161</v>
      </c>
    </row>
    <row r="42" spans="1:11" x14ac:dyDescent="0.2">
      <c r="A42" s="2" t="s">
        <v>109</v>
      </c>
      <c r="B42" s="32" t="s">
        <v>106</v>
      </c>
      <c r="C42" s="2" t="s">
        <v>134</v>
      </c>
      <c r="D42" s="2" t="s">
        <v>132</v>
      </c>
      <c r="E42" s="2" t="s">
        <v>135</v>
      </c>
      <c r="F42" s="2" t="s">
        <v>133</v>
      </c>
      <c r="G42" s="2" t="s">
        <v>134</v>
      </c>
      <c r="H42" s="2" t="s">
        <v>132</v>
      </c>
      <c r="I42" s="2" t="s">
        <v>135</v>
      </c>
      <c r="J42" s="2" t="s">
        <v>133</v>
      </c>
    </row>
    <row r="43" spans="1:11" x14ac:dyDescent="0.2">
      <c r="A43" s="13" t="s">
        <v>138</v>
      </c>
      <c r="B43" s="3">
        <v>623988</v>
      </c>
      <c r="C43" s="3">
        <v>625992</v>
      </c>
      <c r="D43" s="3">
        <v>625828</v>
      </c>
      <c r="E43" s="3">
        <v>625968</v>
      </c>
      <c r="F43" s="3">
        <v>625804</v>
      </c>
      <c r="G43" s="29">
        <f>(C43-$B43)/1024</f>
        <v>1.95703125</v>
      </c>
      <c r="H43" s="29">
        <f>(D43-$B43)/1024</f>
        <v>1.796875</v>
      </c>
      <c r="I43" s="29">
        <f>(E43-$B43)/1024</f>
        <v>1.93359375</v>
      </c>
      <c r="J43" s="29">
        <f>(F43-$B43)/1024</f>
        <v>1.7734375</v>
      </c>
      <c r="K43" s="35"/>
    </row>
    <row r="44" spans="1:11" x14ac:dyDescent="0.2">
      <c r="A44" s="13" t="s">
        <v>139</v>
      </c>
      <c r="B44" s="3">
        <v>166548</v>
      </c>
      <c r="C44" s="3">
        <v>167016</v>
      </c>
      <c r="D44" s="3">
        <v>167076</v>
      </c>
      <c r="E44" s="3">
        <v>167796</v>
      </c>
      <c r="F44" s="3">
        <v>167020</v>
      </c>
      <c r="G44" s="29">
        <f t="shared" ref="G44:G55" si="4">(C44-$B44)/1024</f>
        <v>0.45703125</v>
      </c>
      <c r="H44" s="29">
        <f t="shared" ref="H44:H55" si="5">(D44-$B44)/1024</f>
        <v>0.515625</v>
      </c>
      <c r="I44" s="29">
        <f t="shared" ref="I44:I55" si="6">(E44-$B44)/1024</f>
        <v>1.21875</v>
      </c>
      <c r="J44" s="29">
        <f t="shared" ref="J44:J55" si="7">(F44-$B44)/1024</f>
        <v>0.4609375</v>
      </c>
      <c r="K44" s="35"/>
    </row>
    <row r="45" spans="1:11" x14ac:dyDescent="0.2">
      <c r="A45" s="13" t="s">
        <v>140</v>
      </c>
      <c r="B45" s="3">
        <v>424120</v>
      </c>
      <c r="C45" s="3">
        <v>425676</v>
      </c>
      <c r="D45" s="3">
        <v>425304</v>
      </c>
      <c r="E45" s="3">
        <v>427916</v>
      </c>
      <c r="F45" s="3">
        <v>425328</v>
      </c>
      <c r="G45" s="29">
        <f t="shared" si="4"/>
        <v>1.51953125</v>
      </c>
      <c r="H45" s="29">
        <f t="shared" si="5"/>
        <v>1.15625</v>
      </c>
      <c r="I45" s="29">
        <f t="shared" si="6"/>
        <v>3.70703125</v>
      </c>
      <c r="J45" s="29">
        <f t="shared" si="7"/>
        <v>1.1796875</v>
      </c>
      <c r="K45" s="35"/>
    </row>
    <row r="46" spans="1:11" x14ac:dyDescent="0.2">
      <c r="A46" s="13" t="s">
        <v>141</v>
      </c>
      <c r="B46" s="3">
        <v>420396</v>
      </c>
      <c r="C46" s="3">
        <v>422404</v>
      </c>
      <c r="D46" s="3">
        <v>422024</v>
      </c>
      <c r="E46" s="3">
        <v>422488</v>
      </c>
      <c r="F46" s="3">
        <v>422052</v>
      </c>
      <c r="G46" s="29">
        <f t="shared" si="4"/>
        <v>1.9609375</v>
      </c>
      <c r="H46" s="29">
        <f t="shared" si="5"/>
        <v>1.58984375</v>
      </c>
      <c r="I46" s="29">
        <f t="shared" si="6"/>
        <v>2.04296875</v>
      </c>
      <c r="J46" s="29">
        <f t="shared" si="7"/>
        <v>1.6171875</v>
      </c>
      <c r="K46" s="35"/>
    </row>
    <row r="47" spans="1:11" x14ac:dyDescent="0.2">
      <c r="A47" s="13" t="s">
        <v>142</v>
      </c>
      <c r="B47" s="3">
        <v>490640</v>
      </c>
      <c r="C47" s="3">
        <v>495192</v>
      </c>
      <c r="D47" s="3">
        <v>494404</v>
      </c>
      <c r="E47" s="3">
        <v>504596</v>
      </c>
      <c r="F47" s="3">
        <v>494656</v>
      </c>
      <c r="G47" s="29">
        <f t="shared" si="4"/>
        <v>4.4453125</v>
      </c>
      <c r="H47" s="29">
        <f t="shared" si="5"/>
        <v>3.67578125</v>
      </c>
      <c r="I47" s="29">
        <f t="shared" si="6"/>
        <v>13.62890625</v>
      </c>
      <c r="J47" s="29">
        <f t="shared" si="7"/>
        <v>3.921875</v>
      </c>
      <c r="K47" s="35"/>
    </row>
    <row r="48" spans="1:11" x14ac:dyDescent="0.2">
      <c r="A48" s="13" t="s">
        <v>143</v>
      </c>
      <c r="B48" s="3">
        <v>159952</v>
      </c>
      <c r="C48" s="3">
        <v>162632</v>
      </c>
      <c r="D48" s="3">
        <v>162452</v>
      </c>
      <c r="E48" s="3">
        <v>167692</v>
      </c>
      <c r="F48" s="3">
        <v>162660</v>
      </c>
      <c r="G48" s="29">
        <f t="shared" si="4"/>
        <v>2.6171875</v>
      </c>
      <c r="H48" s="29">
        <f t="shared" si="5"/>
        <v>2.44140625</v>
      </c>
      <c r="I48" s="29">
        <f t="shared" si="6"/>
        <v>7.55859375</v>
      </c>
      <c r="J48" s="29">
        <f t="shared" si="7"/>
        <v>2.64453125</v>
      </c>
      <c r="K48" s="35"/>
    </row>
    <row r="49" spans="1:11" x14ac:dyDescent="0.2">
      <c r="A49" s="13" t="s">
        <v>144</v>
      </c>
      <c r="B49" s="3">
        <v>27644</v>
      </c>
      <c r="C49" s="3">
        <v>28364</v>
      </c>
      <c r="D49" s="3">
        <v>28308</v>
      </c>
      <c r="E49" s="3">
        <v>29636</v>
      </c>
      <c r="F49" s="3">
        <v>28296</v>
      </c>
      <c r="G49" s="29">
        <f t="shared" si="4"/>
        <v>0.703125</v>
      </c>
      <c r="H49" s="29">
        <f t="shared" si="5"/>
        <v>0.6484375</v>
      </c>
      <c r="I49" s="29">
        <f t="shared" si="6"/>
        <v>1.9453125</v>
      </c>
      <c r="J49" s="29">
        <f t="shared" si="7"/>
        <v>0.63671875</v>
      </c>
      <c r="K49" s="35"/>
    </row>
    <row r="50" spans="1:11" x14ac:dyDescent="0.2">
      <c r="A50" s="13" t="s">
        <v>145</v>
      </c>
      <c r="B50" s="3">
        <v>743004</v>
      </c>
      <c r="C50" s="3">
        <v>745468</v>
      </c>
      <c r="D50" s="3">
        <v>745384</v>
      </c>
      <c r="E50" s="3">
        <v>745992</v>
      </c>
      <c r="F50" s="3">
        <v>745524</v>
      </c>
      <c r="G50" s="29">
        <f t="shared" si="4"/>
        <v>2.40625</v>
      </c>
      <c r="H50" s="29">
        <f t="shared" si="5"/>
        <v>2.32421875</v>
      </c>
      <c r="I50" s="29">
        <f t="shared" si="6"/>
        <v>2.91796875</v>
      </c>
      <c r="J50" s="29">
        <f t="shared" si="7"/>
        <v>2.4609375</v>
      </c>
      <c r="K50" s="35"/>
    </row>
    <row r="51" spans="1:11" x14ac:dyDescent="0.2">
      <c r="A51" s="13" t="s">
        <v>0</v>
      </c>
      <c r="B51" s="3">
        <v>4056652</v>
      </c>
      <c r="C51" s="3">
        <v>4058360</v>
      </c>
      <c r="D51" s="3">
        <v>4058224</v>
      </c>
      <c r="E51" s="3">
        <v>4058448</v>
      </c>
      <c r="F51" s="3">
        <v>4058300</v>
      </c>
      <c r="G51" s="29">
        <f t="shared" si="4"/>
        <v>1.66796875</v>
      </c>
      <c r="H51" s="29">
        <f t="shared" si="5"/>
        <v>1.53515625</v>
      </c>
      <c r="I51" s="29">
        <f t="shared" si="6"/>
        <v>1.75390625</v>
      </c>
      <c r="J51" s="29">
        <f t="shared" si="7"/>
        <v>1.609375</v>
      </c>
      <c r="K51" s="35"/>
    </row>
    <row r="52" spans="1:11" x14ac:dyDescent="0.2">
      <c r="A52" s="13" t="s">
        <v>1</v>
      </c>
      <c r="B52" s="3">
        <v>3302240</v>
      </c>
      <c r="C52" s="3">
        <v>3303732</v>
      </c>
      <c r="D52" s="3">
        <v>3303668</v>
      </c>
      <c r="E52" s="3">
        <v>3303936</v>
      </c>
      <c r="F52" s="3">
        <v>3303576</v>
      </c>
      <c r="G52" s="29">
        <f t="shared" si="4"/>
        <v>1.45703125</v>
      </c>
      <c r="H52" s="29">
        <f t="shared" si="5"/>
        <v>1.39453125</v>
      </c>
      <c r="I52" s="29">
        <f t="shared" si="6"/>
        <v>1.65625</v>
      </c>
      <c r="J52" s="29">
        <f t="shared" si="7"/>
        <v>1.3046875</v>
      </c>
      <c r="K52" s="35"/>
    </row>
    <row r="53" spans="1:11" x14ac:dyDescent="0.2">
      <c r="A53" s="13" t="s">
        <v>2</v>
      </c>
      <c r="B53" s="3">
        <v>491012</v>
      </c>
      <c r="C53" s="3">
        <v>495100</v>
      </c>
      <c r="D53" s="3">
        <v>494452</v>
      </c>
      <c r="E53" s="3">
        <v>504536</v>
      </c>
      <c r="F53" s="3">
        <v>494664</v>
      </c>
      <c r="G53" s="29">
        <f t="shared" si="4"/>
        <v>3.9921875</v>
      </c>
      <c r="H53" s="29">
        <f t="shared" si="5"/>
        <v>3.359375</v>
      </c>
      <c r="I53" s="29">
        <f t="shared" si="6"/>
        <v>13.20703125</v>
      </c>
      <c r="J53" s="29">
        <f t="shared" si="7"/>
        <v>3.56640625</v>
      </c>
      <c r="K53" s="35"/>
    </row>
    <row r="54" spans="1:11" x14ac:dyDescent="0.2">
      <c r="A54" s="13" t="s">
        <v>3</v>
      </c>
      <c r="B54" s="3">
        <v>160200</v>
      </c>
      <c r="C54" s="3">
        <v>162660</v>
      </c>
      <c r="D54" s="3">
        <v>162604</v>
      </c>
      <c r="E54" s="3">
        <v>167592</v>
      </c>
      <c r="F54" s="3">
        <v>162624</v>
      </c>
      <c r="G54" s="29">
        <f t="shared" si="4"/>
        <v>2.40234375</v>
      </c>
      <c r="H54" s="29">
        <f t="shared" si="5"/>
        <v>2.34765625</v>
      </c>
      <c r="I54" s="29">
        <f t="shared" si="6"/>
        <v>7.21875</v>
      </c>
      <c r="J54" s="29">
        <f t="shared" si="7"/>
        <v>2.3671875</v>
      </c>
      <c r="K54" s="35"/>
    </row>
    <row r="55" spans="1:11" x14ac:dyDescent="0.2">
      <c r="A55" s="13" t="s">
        <v>4</v>
      </c>
      <c r="B55" s="3">
        <v>28044</v>
      </c>
      <c r="C55" s="3">
        <v>28424</v>
      </c>
      <c r="D55" s="3">
        <v>28240</v>
      </c>
      <c r="E55" s="3">
        <v>28596</v>
      </c>
      <c r="F55" s="3">
        <v>28292</v>
      </c>
      <c r="G55" s="29">
        <f t="shared" si="4"/>
        <v>0.37109375</v>
      </c>
      <c r="H55" s="29">
        <f t="shared" si="5"/>
        <v>0.19140625</v>
      </c>
      <c r="I55" s="29">
        <f t="shared" si="6"/>
        <v>0.5390625</v>
      </c>
      <c r="J55" s="29">
        <f t="shared" si="7"/>
        <v>0.2421875</v>
      </c>
      <c r="K55" s="35"/>
    </row>
    <row r="56" spans="1:11" x14ac:dyDescent="0.2">
      <c r="A56" s="13" t="s">
        <v>5</v>
      </c>
      <c r="B56" s="3">
        <v>15206648</v>
      </c>
      <c r="C56" s="3">
        <v>15655200</v>
      </c>
      <c r="D56" s="3">
        <v>15219108</v>
      </c>
      <c r="E56" s="3">
        <v>15701212</v>
      </c>
      <c r="F56" s="3">
        <v>15481592</v>
      </c>
      <c r="G56" s="39">
        <v>37</v>
      </c>
      <c r="H56" s="39">
        <v>20</v>
      </c>
      <c r="I56" s="39">
        <v>53</v>
      </c>
      <c r="J56" s="39">
        <v>21</v>
      </c>
      <c r="K56" s="39"/>
    </row>
    <row r="57" spans="1:11" x14ac:dyDescent="0.2">
      <c r="A57" s="1" t="s">
        <v>78</v>
      </c>
      <c r="B57" s="31"/>
      <c r="C57" s="31"/>
      <c r="D57" s="31"/>
      <c r="E57" s="31"/>
      <c r="F57" s="31"/>
      <c r="G57" s="1">
        <f>GEOMEAN(G44:G56)</f>
        <v>2.0071073887898203</v>
      </c>
      <c r="H57" s="1">
        <f>GEOMEAN(H44:H56)</f>
        <v>1.6768233082029504</v>
      </c>
      <c r="I57" s="1">
        <f>GEOMEAN(I44:I56)</f>
        <v>3.8633201472775025</v>
      </c>
      <c r="J57" s="1">
        <f>GEOMEAN(J44:J56)</f>
        <v>1.7347434435459339</v>
      </c>
    </row>
    <row r="58" spans="1:11" x14ac:dyDescent="0.2">
      <c r="B58" s="31"/>
      <c r="C58" s="31"/>
      <c r="D58" s="31"/>
      <c r="E58" s="31"/>
      <c r="F58" s="31"/>
    </row>
    <row r="59" spans="1:11" x14ac:dyDescent="0.2">
      <c r="B59" s="31"/>
      <c r="C59" s="31"/>
      <c r="D59" s="31"/>
      <c r="E59" s="31"/>
      <c r="F59" s="31"/>
    </row>
    <row r="61" spans="1:11" x14ac:dyDescent="0.2">
      <c r="A61" s="2" t="s">
        <v>109</v>
      </c>
      <c r="B61" s="32" t="s">
        <v>106</v>
      </c>
      <c r="C61" s="2" t="s">
        <v>134</v>
      </c>
      <c r="D61" s="2" t="s">
        <v>132</v>
      </c>
      <c r="E61" s="2" t="s">
        <v>135</v>
      </c>
      <c r="F61" s="2" t="s">
        <v>133</v>
      </c>
    </row>
    <row r="62" spans="1:11" x14ac:dyDescent="0.2">
      <c r="A62" s="13" t="s">
        <v>138</v>
      </c>
      <c r="B62" s="42">
        <f t="shared" ref="B62:C75" si="8">B43/$B43</f>
        <v>1</v>
      </c>
      <c r="C62" s="42">
        <f t="shared" si="8"/>
        <v>1.0032116002230813</v>
      </c>
      <c r="D62" s="42">
        <f t="shared" ref="D62:F75" si="9">D43/$B43</f>
        <v>1.0029487746559229</v>
      </c>
      <c r="E62" s="42">
        <f t="shared" ref="E62:E75" si="10">E43/$B43</f>
        <v>1.0031731379449604</v>
      </c>
      <c r="F62" s="42">
        <f t="shared" si="9"/>
        <v>1.002910312377802</v>
      </c>
    </row>
    <row r="63" spans="1:11" x14ac:dyDescent="0.2">
      <c r="A63" s="13" t="s">
        <v>139</v>
      </c>
      <c r="B63" s="42">
        <f t="shared" si="8"/>
        <v>1</v>
      </c>
      <c r="C63" s="42">
        <f t="shared" si="8"/>
        <v>1.002810000720513</v>
      </c>
      <c r="D63" s="42">
        <f t="shared" si="9"/>
        <v>1.0031702572231429</v>
      </c>
      <c r="E63" s="42">
        <f t="shared" si="10"/>
        <v>1.0074933352547013</v>
      </c>
      <c r="F63" s="42">
        <f t="shared" si="9"/>
        <v>1.0028340178206883</v>
      </c>
    </row>
    <row r="64" spans="1:11" x14ac:dyDescent="0.2">
      <c r="A64" s="13" t="s">
        <v>140</v>
      </c>
      <c r="B64" s="42">
        <f t="shared" si="8"/>
        <v>1</v>
      </c>
      <c r="C64" s="42">
        <f t="shared" si="8"/>
        <v>1.0036687729887768</v>
      </c>
      <c r="D64" s="42">
        <f t="shared" si="9"/>
        <v>1.0027916627369613</v>
      </c>
      <c r="E64" s="42">
        <f t="shared" si="10"/>
        <v>1.0089502970857305</v>
      </c>
      <c r="F64" s="42">
        <f t="shared" si="9"/>
        <v>1.0028482504951428</v>
      </c>
    </row>
    <row r="65" spans="1:6" x14ac:dyDescent="0.2">
      <c r="A65" s="13" t="s">
        <v>141</v>
      </c>
      <c r="B65" s="42">
        <f t="shared" si="8"/>
        <v>1</v>
      </c>
      <c r="C65" s="42">
        <f t="shared" si="8"/>
        <v>1.0047764488720159</v>
      </c>
      <c r="D65" s="42">
        <f t="shared" si="9"/>
        <v>1.0038725392249213</v>
      </c>
      <c r="E65" s="42">
        <f t="shared" si="10"/>
        <v>1.0049762604782158</v>
      </c>
      <c r="F65" s="42">
        <f t="shared" si="9"/>
        <v>1.0039391430936546</v>
      </c>
    </row>
    <row r="66" spans="1:6" x14ac:dyDescent="0.2">
      <c r="A66" s="13" t="s">
        <v>142</v>
      </c>
      <c r="B66" s="42">
        <f t="shared" si="8"/>
        <v>1</v>
      </c>
      <c r="C66" s="42">
        <f t="shared" si="8"/>
        <v>1.0092776781346813</v>
      </c>
      <c r="D66" s="42">
        <f t="shared" si="9"/>
        <v>1.0076716125876406</v>
      </c>
      <c r="E66" s="42">
        <f t="shared" si="10"/>
        <v>1.0284444806782977</v>
      </c>
      <c r="F66" s="42">
        <f t="shared" si="9"/>
        <v>1.0081852274580141</v>
      </c>
    </row>
    <row r="67" spans="1:6" x14ac:dyDescent="0.2">
      <c r="A67" s="13" t="s">
        <v>143</v>
      </c>
      <c r="B67" s="42">
        <f t="shared" si="8"/>
        <v>1</v>
      </c>
      <c r="C67" s="42">
        <f t="shared" si="8"/>
        <v>1.0167550265079524</v>
      </c>
      <c r="D67" s="42">
        <f t="shared" si="9"/>
        <v>1.015629688906672</v>
      </c>
      <c r="E67" s="42">
        <f t="shared" si="10"/>
        <v>1.0483895168550565</v>
      </c>
      <c r="F67" s="42">
        <f t="shared" si="9"/>
        <v>1.016930079023707</v>
      </c>
    </row>
    <row r="68" spans="1:6" x14ac:dyDescent="0.2">
      <c r="A68" s="13" t="s">
        <v>144</v>
      </c>
      <c r="B68" s="42">
        <f t="shared" si="8"/>
        <v>1</v>
      </c>
      <c r="C68" s="42">
        <f t="shared" si="8"/>
        <v>1.0260454348140646</v>
      </c>
      <c r="D68" s="42">
        <f t="shared" si="9"/>
        <v>1.0240196787729707</v>
      </c>
      <c r="E68" s="42">
        <f t="shared" si="10"/>
        <v>1.072059036318912</v>
      </c>
      <c r="F68" s="42">
        <f t="shared" si="9"/>
        <v>1.0235855881927363</v>
      </c>
    </row>
    <row r="69" spans="1:6" x14ac:dyDescent="0.2">
      <c r="A69" s="13" t="s">
        <v>145</v>
      </c>
      <c r="B69" s="42">
        <f t="shared" si="8"/>
        <v>1</v>
      </c>
      <c r="C69" s="42">
        <f t="shared" si="8"/>
        <v>1.0033162674763527</v>
      </c>
      <c r="D69" s="42">
        <f t="shared" si="9"/>
        <v>1.0032032129032953</v>
      </c>
      <c r="E69" s="42">
        <f t="shared" si="10"/>
        <v>1.0040215126701875</v>
      </c>
      <c r="F69" s="42">
        <f t="shared" si="9"/>
        <v>1.0033916371917244</v>
      </c>
    </row>
    <row r="70" spans="1:6" x14ac:dyDescent="0.2">
      <c r="A70" s="13" t="s">
        <v>0</v>
      </c>
      <c r="B70" s="42">
        <f t="shared" si="8"/>
        <v>1</v>
      </c>
      <c r="C70" s="42">
        <f t="shared" si="8"/>
        <v>1.0004210368550224</v>
      </c>
      <c r="D70" s="42">
        <f t="shared" si="9"/>
        <v>1.0003875116721868</v>
      </c>
      <c r="E70" s="42">
        <f t="shared" si="10"/>
        <v>1.0004427296203864</v>
      </c>
      <c r="F70" s="42">
        <f t="shared" si="9"/>
        <v>1.0004062463331831</v>
      </c>
    </row>
    <row r="71" spans="1:6" x14ac:dyDescent="0.2">
      <c r="A71" s="13" t="s">
        <v>1</v>
      </c>
      <c r="B71" s="42">
        <f t="shared" si="8"/>
        <v>1</v>
      </c>
      <c r="C71" s="42">
        <f t="shared" si="8"/>
        <v>1.0004518145258976</v>
      </c>
      <c r="D71" s="42">
        <f t="shared" si="9"/>
        <v>1.0004324337419448</v>
      </c>
      <c r="E71" s="42">
        <f t="shared" si="10"/>
        <v>1.0005135907747469</v>
      </c>
      <c r="F71" s="42">
        <f t="shared" si="9"/>
        <v>1.0004045738650129</v>
      </c>
    </row>
    <row r="72" spans="1:6" x14ac:dyDescent="0.2">
      <c r="A72" s="13" t="s">
        <v>2</v>
      </c>
      <c r="B72" s="42">
        <f t="shared" si="8"/>
        <v>1</v>
      </c>
      <c r="C72" s="42">
        <f t="shared" si="8"/>
        <v>1.0083256621019445</v>
      </c>
      <c r="D72" s="42">
        <f t="shared" si="9"/>
        <v>1.0070059387550609</v>
      </c>
      <c r="E72" s="42">
        <f t="shared" si="10"/>
        <v>1.0275431150358851</v>
      </c>
      <c r="F72" s="42">
        <f t="shared" si="9"/>
        <v>1.0074377000969426</v>
      </c>
    </row>
    <row r="73" spans="1:6" x14ac:dyDescent="0.2">
      <c r="A73" s="13" t="s">
        <v>3</v>
      </c>
      <c r="B73" s="42">
        <f t="shared" si="8"/>
        <v>1</v>
      </c>
      <c r="C73" s="42">
        <f t="shared" si="8"/>
        <v>1.0153558052434457</v>
      </c>
      <c r="D73" s="42">
        <f t="shared" si="9"/>
        <v>1.0150062421972534</v>
      </c>
      <c r="E73" s="42">
        <f t="shared" si="10"/>
        <v>1.0461423220973782</v>
      </c>
      <c r="F73" s="42">
        <f t="shared" si="9"/>
        <v>1.0151310861423222</v>
      </c>
    </row>
    <row r="74" spans="1:6" x14ac:dyDescent="0.2">
      <c r="A74" s="13" t="s">
        <v>4</v>
      </c>
      <c r="B74" s="42">
        <f t="shared" si="8"/>
        <v>1</v>
      </c>
      <c r="C74" s="42">
        <f t="shared" si="8"/>
        <v>1.013550135501355</v>
      </c>
      <c r="D74" s="42">
        <f t="shared" si="9"/>
        <v>1.0069890172585936</v>
      </c>
      <c r="E74" s="42">
        <f t="shared" si="10"/>
        <v>1.0196833547282842</v>
      </c>
      <c r="F74" s="42">
        <f t="shared" si="9"/>
        <v>1.0088432463272001</v>
      </c>
    </row>
    <row r="75" spans="1:6" x14ac:dyDescent="0.2">
      <c r="A75" s="13" t="s">
        <v>5</v>
      </c>
      <c r="B75" s="42">
        <f t="shared" si="8"/>
        <v>1</v>
      </c>
      <c r="C75" s="42">
        <f t="shared" si="8"/>
        <v>1.0294970989004282</v>
      </c>
      <c r="D75" s="42">
        <f t="shared" si="9"/>
        <v>1.0008193784718369</v>
      </c>
      <c r="E75" s="42">
        <f t="shared" si="10"/>
        <v>1.032522880782142</v>
      </c>
      <c r="F75" s="42">
        <f t="shared" si="9"/>
        <v>1.0180805132071185</v>
      </c>
    </row>
    <row r="76" spans="1:6" x14ac:dyDescent="0.2">
      <c r="A76" s="2" t="s">
        <v>105</v>
      </c>
      <c r="B76" s="42">
        <f>GEOMEAN(B62:B75)</f>
        <v>1</v>
      </c>
      <c r="C76" s="42">
        <f t="shared" ref="C76" si="11">GEOMEAN(C62:C75)</f>
        <v>1.0097793737615448</v>
      </c>
      <c r="D76" s="42">
        <f>GEOMEAN(D62:D75)</f>
        <v>1.0066885036996243</v>
      </c>
      <c r="E76" s="42">
        <f>GEOMEAN(E62:E75)</f>
        <v>1.0215239857027005</v>
      </c>
      <c r="F76" s="42">
        <f>GEOMEAN(F62:F75)</f>
        <v>1.0081841357978394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903A9-3F83-6C49-99EA-B094B22E50E7}">
  <dimension ref="A1:K66"/>
  <sheetViews>
    <sheetView zoomScale="80" zoomScaleNormal="80" workbookViewId="0">
      <selection activeCell="C28" sqref="C28"/>
    </sheetView>
  </sheetViews>
  <sheetFormatPr baseColWidth="10" defaultRowHeight="18" x14ac:dyDescent="0.2"/>
  <cols>
    <col min="1" max="1" width="27.83203125" style="1" bestFit="1" customWidth="1"/>
    <col min="2" max="2" width="14.1640625" style="1" bestFit="1" customWidth="1"/>
    <col min="3" max="3" width="25.6640625" style="1" bestFit="1" customWidth="1"/>
    <col min="4" max="4" width="20.6640625" style="1" bestFit="1" customWidth="1"/>
    <col min="5" max="5" width="35.1640625" style="1" bestFit="1" customWidth="1"/>
    <col min="6" max="6" width="30.1640625" style="1" bestFit="1" customWidth="1"/>
    <col min="7" max="7" width="25.6640625" style="1" bestFit="1" customWidth="1"/>
    <col min="8" max="8" width="20.6640625" style="1" bestFit="1" customWidth="1"/>
    <col min="9" max="9" width="35.1640625" style="1" bestFit="1" customWidth="1"/>
    <col min="10" max="10" width="30.1640625" style="1" bestFit="1" customWidth="1"/>
    <col min="11" max="16384" width="10.83203125" style="1"/>
  </cols>
  <sheetData>
    <row r="1" spans="1:10" x14ac:dyDescent="0.2">
      <c r="A1" s="2" t="s">
        <v>125</v>
      </c>
      <c r="B1" s="2" t="s">
        <v>106</v>
      </c>
      <c r="C1" s="2" t="s">
        <v>134</v>
      </c>
      <c r="D1" s="2" t="s">
        <v>132</v>
      </c>
      <c r="E1" s="2" t="s">
        <v>135</v>
      </c>
      <c r="F1" s="2" t="s">
        <v>133</v>
      </c>
    </row>
    <row r="2" spans="1:10" x14ac:dyDescent="0.2">
      <c r="A2" s="2" t="s">
        <v>87</v>
      </c>
      <c r="B2" s="3">
        <v>26</v>
      </c>
      <c r="C2" s="3">
        <v>57</v>
      </c>
      <c r="D2" s="3">
        <v>71</v>
      </c>
      <c r="E2" s="3">
        <v>410</v>
      </c>
      <c r="F2" s="3">
        <v>74</v>
      </c>
      <c r="G2" s="30" t="s">
        <v>131</v>
      </c>
      <c r="J2" s="1" t="s">
        <v>130</v>
      </c>
    </row>
    <row r="3" spans="1:10" x14ac:dyDescent="0.2">
      <c r="A3" s="2" t="s">
        <v>88</v>
      </c>
      <c r="B3" s="3">
        <v>22</v>
      </c>
      <c r="C3" s="3">
        <v>23</v>
      </c>
      <c r="D3" s="3">
        <v>24</v>
      </c>
      <c r="E3" s="3">
        <v>58</v>
      </c>
      <c r="F3" s="3">
        <v>25</v>
      </c>
      <c r="G3" s="30"/>
    </row>
    <row r="4" spans="1:10" x14ac:dyDescent="0.2">
      <c r="A4" s="2" t="s">
        <v>89</v>
      </c>
      <c r="B4" s="3">
        <v>5557</v>
      </c>
      <c r="C4" s="3">
        <v>5691</v>
      </c>
      <c r="D4" s="3">
        <v>6498</v>
      </c>
      <c r="E4" s="3">
        <v>14340</v>
      </c>
      <c r="F4" s="3">
        <v>6214</v>
      </c>
      <c r="G4" s="30"/>
    </row>
    <row r="5" spans="1:10" x14ac:dyDescent="0.2">
      <c r="A5" s="2" t="s">
        <v>90</v>
      </c>
      <c r="B5" s="3">
        <v>44</v>
      </c>
      <c r="C5" s="34">
        <v>41</v>
      </c>
      <c r="D5" s="3">
        <v>42</v>
      </c>
      <c r="E5" s="3">
        <v>75</v>
      </c>
      <c r="F5" s="34">
        <v>43</v>
      </c>
      <c r="G5" s="30" t="s">
        <v>131</v>
      </c>
    </row>
    <row r="6" spans="1:10" x14ac:dyDescent="0.2">
      <c r="A6" s="2" t="s">
        <v>91</v>
      </c>
      <c r="B6" s="3">
        <v>2625</v>
      </c>
      <c r="C6" s="3">
        <v>4677</v>
      </c>
      <c r="D6" s="3">
        <v>4781</v>
      </c>
      <c r="E6" s="3">
        <v>29042</v>
      </c>
      <c r="F6" s="3">
        <v>4553</v>
      </c>
      <c r="G6" s="30"/>
    </row>
    <row r="7" spans="1:10" x14ac:dyDescent="0.2">
      <c r="A7" s="2" t="s">
        <v>92</v>
      </c>
      <c r="B7" s="3">
        <v>3865</v>
      </c>
      <c r="C7" s="3">
        <v>5879</v>
      </c>
      <c r="D7" s="3">
        <v>5516</v>
      </c>
      <c r="E7" s="3">
        <v>30555</v>
      </c>
      <c r="F7" s="3">
        <v>5821</v>
      </c>
      <c r="G7" s="30"/>
    </row>
    <row r="8" spans="1:10" x14ac:dyDescent="0.2">
      <c r="A8" s="2" t="s">
        <v>93</v>
      </c>
      <c r="B8" s="3">
        <v>1809</v>
      </c>
      <c r="C8" s="3">
        <v>1821</v>
      </c>
      <c r="D8" s="3">
        <v>1822</v>
      </c>
      <c r="E8" s="3">
        <v>1842</v>
      </c>
      <c r="F8" s="3">
        <v>1823</v>
      </c>
      <c r="G8" s="30"/>
    </row>
    <row r="9" spans="1:10" x14ac:dyDescent="0.2">
      <c r="A9" s="2" t="s">
        <v>94</v>
      </c>
      <c r="B9" s="3">
        <v>3764</v>
      </c>
      <c r="C9" s="3">
        <v>3685</v>
      </c>
      <c r="D9" s="3">
        <v>3711</v>
      </c>
      <c r="E9" s="3">
        <v>3712</v>
      </c>
      <c r="F9" s="3">
        <v>3799</v>
      </c>
      <c r="G9" s="30"/>
    </row>
    <row r="10" spans="1:10" x14ac:dyDescent="0.2">
      <c r="A10" s="2" t="s">
        <v>95</v>
      </c>
      <c r="B10" s="3">
        <v>31</v>
      </c>
      <c r="C10" s="34">
        <v>83</v>
      </c>
      <c r="D10" s="34">
        <v>98</v>
      </c>
      <c r="E10" s="3">
        <v>894</v>
      </c>
      <c r="F10" s="34">
        <v>106</v>
      </c>
      <c r="G10" s="30" t="s">
        <v>131</v>
      </c>
    </row>
    <row r="11" spans="1:10" x14ac:dyDescent="0.2">
      <c r="A11" s="2" t="s">
        <v>96</v>
      </c>
      <c r="B11" s="3">
        <v>949</v>
      </c>
      <c r="C11" s="3">
        <v>1284</v>
      </c>
      <c r="D11" s="3">
        <v>1289</v>
      </c>
      <c r="E11" s="3">
        <v>7754</v>
      </c>
      <c r="F11" s="3">
        <v>1320</v>
      </c>
    </row>
    <row r="12" spans="1:10" x14ac:dyDescent="0.2">
      <c r="A12" s="2" t="s">
        <v>97</v>
      </c>
      <c r="B12" s="3">
        <v>472</v>
      </c>
      <c r="C12" s="3">
        <v>650</v>
      </c>
      <c r="D12" s="3">
        <v>693</v>
      </c>
      <c r="E12" s="3">
        <v>3253</v>
      </c>
      <c r="F12" s="3">
        <v>768</v>
      </c>
    </row>
    <row r="13" spans="1:10" x14ac:dyDescent="0.2">
      <c r="A13" s="2" t="s">
        <v>98</v>
      </c>
      <c r="B13" s="3">
        <v>54</v>
      </c>
      <c r="C13" s="3">
        <v>81</v>
      </c>
      <c r="D13" s="3">
        <v>83</v>
      </c>
      <c r="E13" s="3">
        <v>339</v>
      </c>
      <c r="F13" s="3">
        <v>91</v>
      </c>
    </row>
    <row r="16" spans="1:10" x14ac:dyDescent="0.2">
      <c r="A16" s="2" t="s">
        <v>108</v>
      </c>
      <c r="B16" s="2" t="s">
        <v>106</v>
      </c>
      <c r="C16" s="2" t="s">
        <v>134</v>
      </c>
      <c r="D16" s="2" t="s">
        <v>132</v>
      </c>
      <c r="E16" s="2" t="s">
        <v>135</v>
      </c>
      <c r="F16" s="2" t="s">
        <v>133</v>
      </c>
    </row>
    <row r="17" spans="1:11" x14ac:dyDescent="0.2">
      <c r="A17" s="2" t="s">
        <v>113</v>
      </c>
      <c r="B17" s="29">
        <f>B2/$B2</f>
        <v>1</v>
      </c>
      <c r="C17" s="29">
        <f t="shared" ref="C17" si="0">C2/$B2</f>
        <v>2.1923076923076925</v>
      </c>
      <c r="D17" s="29">
        <f t="shared" ref="D17:F28" si="1">D2/$B2</f>
        <v>2.7307692307692308</v>
      </c>
      <c r="E17" s="29">
        <f t="shared" ref="E17:E28" si="2">E2/$B2</f>
        <v>15.76923076923077</v>
      </c>
      <c r="F17" s="29">
        <f t="shared" si="1"/>
        <v>2.8461538461538463</v>
      </c>
      <c r="G17" s="30"/>
      <c r="H17" s="30"/>
      <c r="I17" s="30"/>
      <c r="J17" s="30"/>
      <c r="K17" s="30"/>
    </row>
    <row r="18" spans="1:11" x14ac:dyDescent="0.2">
      <c r="A18" s="2" t="s">
        <v>114</v>
      </c>
      <c r="B18" s="29">
        <f t="shared" ref="B18:C28" si="3">B3/$B3</f>
        <v>1</v>
      </c>
      <c r="C18" s="29">
        <f t="shared" si="3"/>
        <v>1.0454545454545454</v>
      </c>
      <c r="D18" s="29">
        <f t="shared" si="1"/>
        <v>1.0909090909090908</v>
      </c>
      <c r="E18" s="29">
        <f t="shared" si="2"/>
        <v>2.6363636363636362</v>
      </c>
      <c r="F18" s="29">
        <f t="shared" si="1"/>
        <v>1.1363636363636365</v>
      </c>
      <c r="G18" s="30"/>
      <c r="H18" s="30"/>
      <c r="I18" s="30"/>
      <c r="J18" s="30"/>
      <c r="K18" s="30"/>
    </row>
    <row r="19" spans="1:11" x14ac:dyDescent="0.2">
      <c r="A19" s="2" t="s">
        <v>115</v>
      </c>
      <c r="B19" s="29">
        <f t="shared" si="3"/>
        <v>1</v>
      </c>
      <c r="C19" s="29">
        <f t="shared" si="3"/>
        <v>1.0241137304300882</v>
      </c>
      <c r="D19" s="29">
        <f t="shared" si="1"/>
        <v>1.1693359726471118</v>
      </c>
      <c r="E19" s="29">
        <f t="shared" si="2"/>
        <v>2.5805290624437647</v>
      </c>
      <c r="F19" s="29">
        <f t="shared" si="1"/>
        <v>1.1182292603922981</v>
      </c>
      <c r="G19" s="30"/>
      <c r="H19" s="30"/>
      <c r="I19" s="30"/>
      <c r="J19" s="30"/>
      <c r="K19" s="30"/>
    </row>
    <row r="20" spans="1:11" x14ac:dyDescent="0.2">
      <c r="A20" s="2" t="s">
        <v>116</v>
      </c>
      <c r="B20" s="29">
        <f t="shared" si="3"/>
        <v>1</v>
      </c>
      <c r="C20" s="29">
        <f t="shared" si="3"/>
        <v>0.93181818181818177</v>
      </c>
      <c r="D20" s="29">
        <f t="shared" si="1"/>
        <v>0.95454545454545459</v>
      </c>
      <c r="E20" s="29">
        <f t="shared" si="2"/>
        <v>1.7045454545454546</v>
      </c>
      <c r="F20" s="29">
        <f t="shared" si="1"/>
        <v>0.97727272727272729</v>
      </c>
      <c r="G20" s="30"/>
      <c r="H20" s="30"/>
      <c r="I20" s="30"/>
      <c r="J20" s="30"/>
      <c r="K20" s="30"/>
    </row>
    <row r="21" spans="1:11" x14ac:dyDescent="0.2">
      <c r="A21" s="2" t="s">
        <v>117</v>
      </c>
      <c r="B21" s="29">
        <f t="shared" si="3"/>
        <v>1</v>
      </c>
      <c r="C21" s="29">
        <f t="shared" si="3"/>
        <v>1.7817142857142858</v>
      </c>
      <c r="D21" s="29">
        <f t="shared" si="1"/>
        <v>1.8213333333333332</v>
      </c>
      <c r="E21" s="29">
        <f t="shared" si="2"/>
        <v>11.063619047619047</v>
      </c>
      <c r="F21" s="29">
        <f t="shared" si="1"/>
        <v>1.7344761904761905</v>
      </c>
      <c r="G21" s="30"/>
      <c r="H21" s="30"/>
      <c r="I21" s="30"/>
      <c r="J21" s="30"/>
      <c r="K21" s="30"/>
    </row>
    <row r="22" spans="1:11" x14ac:dyDescent="0.2">
      <c r="A22" s="2" t="s">
        <v>118</v>
      </c>
      <c r="B22" s="29">
        <f t="shared" si="3"/>
        <v>1</v>
      </c>
      <c r="C22" s="29">
        <f t="shared" si="3"/>
        <v>1.5210866752910737</v>
      </c>
      <c r="D22" s="29">
        <f t="shared" si="1"/>
        <v>1.4271668822768435</v>
      </c>
      <c r="E22" s="29">
        <f t="shared" si="2"/>
        <v>7.9055627425614485</v>
      </c>
      <c r="F22" s="29">
        <f t="shared" si="1"/>
        <v>1.5060802069857697</v>
      </c>
      <c r="G22" s="30"/>
      <c r="H22" s="30"/>
      <c r="I22" s="30"/>
      <c r="J22" s="30"/>
      <c r="K22" s="30"/>
    </row>
    <row r="23" spans="1:11" x14ac:dyDescent="0.2">
      <c r="A23" s="2" t="s">
        <v>119</v>
      </c>
      <c r="B23" s="29">
        <f t="shared" si="3"/>
        <v>1</v>
      </c>
      <c r="C23" s="29">
        <f t="shared" si="3"/>
        <v>1.0066334991708126</v>
      </c>
      <c r="D23" s="29">
        <f t="shared" si="1"/>
        <v>1.0071862907683804</v>
      </c>
      <c r="E23" s="29">
        <f t="shared" si="2"/>
        <v>1.0182421227197347</v>
      </c>
      <c r="F23" s="29">
        <f t="shared" si="1"/>
        <v>1.007739082365948</v>
      </c>
      <c r="G23" s="30"/>
      <c r="H23" s="30"/>
      <c r="I23" s="30"/>
      <c r="J23" s="30"/>
      <c r="K23" s="30"/>
    </row>
    <row r="24" spans="1:11" x14ac:dyDescent="0.2">
      <c r="A24" s="2" t="s">
        <v>120</v>
      </c>
      <c r="B24" s="29">
        <f t="shared" si="3"/>
        <v>1</v>
      </c>
      <c r="C24" s="29">
        <f t="shared" si="3"/>
        <v>0.97901168969181718</v>
      </c>
      <c r="D24" s="29">
        <f t="shared" si="1"/>
        <v>0.98591923485653565</v>
      </c>
      <c r="E24" s="29">
        <f t="shared" si="2"/>
        <v>0.98618490967056327</v>
      </c>
      <c r="F24" s="29">
        <f t="shared" si="1"/>
        <v>1.0092986184909671</v>
      </c>
      <c r="G24" s="30"/>
      <c r="H24" s="30"/>
      <c r="I24" s="30"/>
      <c r="J24" s="30"/>
      <c r="K24" s="30"/>
    </row>
    <row r="25" spans="1:11" x14ac:dyDescent="0.2">
      <c r="A25" s="2" t="s">
        <v>121</v>
      </c>
      <c r="B25" s="29">
        <f t="shared" si="3"/>
        <v>1</v>
      </c>
      <c r="C25" s="29">
        <f t="shared" si="3"/>
        <v>2.6774193548387095</v>
      </c>
      <c r="D25" s="29">
        <f t="shared" si="1"/>
        <v>3.161290322580645</v>
      </c>
      <c r="E25" s="29">
        <f t="shared" si="2"/>
        <v>28.838709677419356</v>
      </c>
      <c r="F25" s="29">
        <f t="shared" si="1"/>
        <v>3.4193548387096775</v>
      </c>
      <c r="G25" s="30"/>
      <c r="H25" s="30"/>
      <c r="I25" s="30"/>
      <c r="J25" s="30"/>
      <c r="K25" s="30"/>
    </row>
    <row r="26" spans="1:11" x14ac:dyDescent="0.2">
      <c r="A26" s="2" t="s">
        <v>122</v>
      </c>
      <c r="B26" s="29">
        <f t="shared" si="3"/>
        <v>1</v>
      </c>
      <c r="C26" s="29">
        <f t="shared" si="3"/>
        <v>1.3530031612223392</v>
      </c>
      <c r="D26" s="29">
        <f t="shared" si="1"/>
        <v>1.3582718651211803</v>
      </c>
      <c r="E26" s="29">
        <f t="shared" si="2"/>
        <v>8.1707060063224439</v>
      </c>
      <c r="F26" s="29">
        <f t="shared" si="1"/>
        <v>1.3909378292939938</v>
      </c>
      <c r="G26" s="30"/>
      <c r="H26" s="30"/>
      <c r="I26" s="30"/>
      <c r="J26" s="30"/>
      <c r="K26" s="30"/>
    </row>
    <row r="27" spans="1:11" x14ac:dyDescent="0.2">
      <c r="A27" s="2" t="s">
        <v>123</v>
      </c>
      <c r="B27" s="29">
        <f t="shared" si="3"/>
        <v>1</v>
      </c>
      <c r="C27" s="29">
        <f t="shared" si="3"/>
        <v>1.3771186440677967</v>
      </c>
      <c r="D27" s="29">
        <f t="shared" si="1"/>
        <v>1.4682203389830508</v>
      </c>
      <c r="E27" s="29">
        <f t="shared" si="2"/>
        <v>6.8919491525423728</v>
      </c>
      <c r="F27" s="29">
        <f t="shared" si="1"/>
        <v>1.6271186440677967</v>
      </c>
      <c r="G27" s="30"/>
      <c r="H27" s="30"/>
      <c r="I27" s="30"/>
      <c r="J27" s="30"/>
      <c r="K27" s="30"/>
    </row>
    <row r="28" spans="1:11" x14ac:dyDescent="0.2">
      <c r="A28" s="2" t="s">
        <v>124</v>
      </c>
      <c r="B28" s="29">
        <f t="shared" si="3"/>
        <v>1</v>
      </c>
      <c r="C28" s="29">
        <f t="shared" si="3"/>
        <v>1.5</v>
      </c>
      <c r="D28" s="29">
        <f t="shared" si="1"/>
        <v>1.537037037037037</v>
      </c>
      <c r="E28" s="29">
        <f t="shared" si="2"/>
        <v>6.2777777777777777</v>
      </c>
      <c r="F28" s="29">
        <f t="shared" si="1"/>
        <v>1.6851851851851851</v>
      </c>
      <c r="G28" s="30"/>
      <c r="H28" s="30"/>
      <c r="I28" s="30"/>
      <c r="J28" s="30"/>
      <c r="K28" s="30"/>
    </row>
    <row r="29" spans="1:11" x14ac:dyDescent="0.2">
      <c r="A29" s="2" t="s">
        <v>105</v>
      </c>
      <c r="B29" s="29">
        <f>GEOMEAN(B17:B28)</f>
        <v>1</v>
      </c>
      <c r="C29" s="29">
        <f t="shared" ref="C29" si="4">GEOMEAN(C17:C28)</f>
        <v>1.3699916755751029</v>
      </c>
      <c r="D29" s="29">
        <f>GEOMEAN(D17:D28)</f>
        <v>1.4454263140532051</v>
      </c>
      <c r="E29" s="29">
        <f>GEOMEAN(E17:E28)</f>
        <v>4.8362973995012819</v>
      </c>
      <c r="F29" s="29">
        <f>GEOMEAN(F17:F28)</f>
        <v>1.4928016562932125</v>
      </c>
      <c r="G29" s="1">
        <f>E29/F29</f>
        <v>3.2397454672647736</v>
      </c>
    </row>
    <row r="30" spans="1:11" x14ac:dyDescent="0.2">
      <c r="B30" s="30"/>
      <c r="C30" s="30"/>
      <c r="D30" s="30"/>
      <c r="E30" s="30"/>
      <c r="F30" s="30"/>
    </row>
    <row r="31" spans="1:11" x14ac:dyDescent="0.2">
      <c r="B31" s="30"/>
      <c r="C31" s="30"/>
      <c r="D31" s="30"/>
      <c r="E31" s="30"/>
      <c r="F31" s="30"/>
    </row>
    <row r="32" spans="1:11" x14ac:dyDescent="0.2">
      <c r="B32" s="30"/>
      <c r="C32" s="30"/>
      <c r="D32" s="30"/>
      <c r="E32" s="30"/>
      <c r="F32" s="30"/>
    </row>
    <row r="33" spans="1:11" x14ac:dyDescent="0.2">
      <c r="B33" s="30"/>
      <c r="C33" s="30"/>
      <c r="D33" s="30"/>
      <c r="E33" s="30"/>
      <c r="F33" s="30"/>
      <c r="G33" s="1">
        <f>D29/C29</f>
        <v>1.0550621144806853</v>
      </c>
    </row>
    <row r="37" spans="1:11" x14ac:dyDescent="0.2">
      <c r="A37" s="2" t="s">
        <v>109</v>
      </c>
      <c r="B37" s="32" t="s">
        <v>106</v>
      </c>
      <c r="C37" s="2" t="s">
        <v>134</v>
      </c>
      <c r="D37" s="2" t="s">
        <v>132</v>
      </c>
      <c r="E37" s="2" t="s">
        <v>135</v>
      </c>
      <c r="F37" s="2" t="s">
        <v>133</v>
      </c>
      <c r="G37" s="2" t="s">
        <v>134</v>
      </c>
      <c r="H37" s="2" t="s">
        <v>132</v>
      </c>
      <c r="I37" s="2" t="s">
        <v>135</v>
      </c>
      <c r="J37" s="2" t="s">
        <v>133</v>
      </c>
    </row>
    <row r="38" spans="1:11" x14ac:dyDescent="0.2">
      <c r="A38" s="2" t="s">
        <v>113</v>
      </c>
      <c r="B38" s="3">
        <v>5360</v>
      </c>
      <c r="C38" s="3">
        <v>7224</v>
      </c>
      <c r="D38" s="3">
        <v>6888</v>
      </c>
      <c r="E38" s="3">
        <v>7156</v>
      </c>
      <c r="F38" s="3">
        <v>6884</v>
      </c>
      <c r="G38" s="36">
        <f>(C38-$B38)/1024</f>
        <v>1.8203125</v>
      </c>
      <c r="H38" s="36">
        <f>(D38-$B38)/1024</f>
        <v>1.4921875</v>
      </c>
      <c r="I38" s="36">
        <f>(E38-$B38)/1024</f>
        <v>1.75390625</v>
      </c>
      <c r="J38" s="36">
        <f>(F38-$B38)/1024</f>
        <v>1.48828125</v>
      </c>
      <c r="K38" s="35">
        <f t="shared" ref="K38:K49" si="5">I38-J38</f>
        <v>0.265625</v>
      </c>
    </row>
    <row r="39" spans="1:11" x14ac:dyDescent="0.2">
      <c r="A39" s="2" t="s">
        <v>114</v>
      </c>
      <c r="B39" s="3">
        <v>41536</v>
      </c>
      <c r="C39" s="3">
        <v>44076</v>
      </c>
      <c r="D39" s="3">
        <v>44008</v>
      </c>
      <c r="E39" s="3">
        <v>43832</v>
      </c>
      <c r="F39" s="3">
        <v>43944</v>
      </c>
      <c r="G39" s="36">
        <f t="shared" ref="G39:G49" si="6">(C39-$B39)/1024</f>
        <v>2.48046875</v>
      </c>
      <c r="H39" s="36">
        <f t="shared" ref="H39:H49" si="7">(D39-$B39)/1024</f>
        <v>2.4140625</v>
      </c>
      <c r="I39" s="36">
        <f t="shared" ref="I39:I49" si="8">(E39-$B39)/1024</f>
        <v>2.2421875</v>
      </c>
      <c r="J39" s="36">
        <f t="shared" ref="J39:J49" si="9">(F39-$B39)/1024</f>
        <v>2.3515625</v>
      </c>
      <c r="K39" s="35">
        <f t="shared" si="5"/>
        <v>-0.109375</v>
      </c>
    </row>
    <row r="40" spans="1:11" x14ac:dyDescent="0.2">
      <c r="A40" s="2" t="s">
        <v>115</v>
      </c>
      <c r="B40" s="3">
        <v>12587144</v>
      </c>
      <c r="C40" s="3">
        <v>12589148</v>
      </c>
      <c r="D40" s="3">
        <v>12589072</v>
      </c>
      <c r="E40" s="3">
        <v>12589168</v>
      </c>
      <c r="F40" s="3">
        <v>12588864</v>
      </c>
      <c r="G40" s="36">
        <f t="shared" si="6"/>
        <v>1.95703125</v>
      </c>
      <c r="H40" s="36">
        <f t="shared" si="7"/>
        <v>1.8828125</v>
      </c>
      <c r="I40" s="36">
        <f t="shared" si="8"/>
        <v>1.9765625</v>
      </c>
      <c r="J40" s="36">
        <f t="shared" si="9"/>
        <v>1.6796875</v>
      </c>
      <c r="K40" s="35">
        <f t="shared" si="5"/>
        <v>0.296875</v>
      </c>
    </row>
    <row r="41" spans="1:11" x14ac:dyDescent="0.2">
      <c r="A41" s="2" t="s">
        <v>116</v>
      </c>
      <c r="B41" s="3">
        <v>26204</v>
      </c>
      <c r="C41" s="3">
        <v>27948</v>
      </c>
      <c r="D41" s="3">
        <v>27652</v>
      </c>
      <c r="E41" s="3">
        <v>27920</v>
      </c>
      <c r="F41" s="3">
        <v>27744</v>
      </c>
      <c r="G41" s="36">
        <f t="shared" si="6"/>
        <v>1.703125</v>
      </c>
      <c r="H41" s="36">
        <f t="shared" si="7"/>
        <v>1.4140625</v>
      </c>
      <c r="I41" s="36">
        <f t="shared" si="8"/>
        <v>1.67578125</v>
      </c>
      <c r="J41" s="36">
        <f t="shared" si="9"/>
        <v>1.50390625</v>
      </c>
      <c r="K41" s="35">
        <f t="shared" si="5"/>
        <v>0.171875</v>
      </c>
    </row>
    <row r="42" spans="1:11" x14ac:dyDescent="0.2">
      <c r="A42" s="2" t="s">
        <v>117</v>
      </c>
      <c r="B42" s="3">
        <v>133964</v>
      </c>
      <c r="C42" s="3">
        <v>135920</v>
      </c>
      <c r="D42" s="3">
        <v>135776</v>
      </c>
      <c r="E42" s="3">
        <v>135900</v>
      </c>
      <c r="F42" s="3">
        <v>135804</v>
      </c>
      <c r="G42" s="36">
        <f t="shared" si="6"/>
        <v>1.91015625</v>
      </c>
      <c r="H42" s="36">
        <f t="shared" si="7"/>
        <v>1.76953125</v>
      </c>
      <c r="I42" s="36">
        <f t="shared" si="8"/>
        <v>1.890625</v>
      </c>
      <c r="J42" s="36">
        <f t="shared" si="9"/>
        <v>1.796875</v>
      </c>
      <c r="K42" s="35">
        <f t="shared" si="5"/>
        <v>9.375E-2</v>
      </c>
    </row>
    <row r="43" spans="1:11" x14ac:dyDescent="0.2">
      <c r="A43" s="2" t="s">
        <v>118</v>
      </c>
      <c r="B43" s="3">
        <v>133440</v>
      </c>
      <c r="C43" s="3">
        <v>135404</v>
      </c>
      <c r="D43" s="3">
        <v>135256</v>
      </c>
      <c r="E43" s="3">
        <v>135540</v>
      </c>
      <c r="F43" s="3">
        <v>135344</v>
      </c>
      <c r="G43" s="36">
        <f t="shared" si="6"/>
        <v>1.91796875</v>
      </c>
      <c r="H43" s="36">
        <f t="shared" si="7"/>
        <v>1.7734375</v>
      </c>
      <c r="I43" s="36">
        <f t="shared" si="8"/>
        <v>2.05078125</v>
      </c>
      <c r="J43" s="36">
        <f t="shared" si="9"/>
        <v>1.859375</v>
      </c>
      <c r="K43" s="35">
        <f t="shared" si="5"/>
        <v>0.19140625</v>
      </c>
    </row>
    <row r="44" spans="1:11" x14ac:dyDescent="0.2">
      <c r="A44" s="2" t="s">
        <v>119</v>
      </c>
      <c r="B44" s="3">
        <v>3629736</v>
      </c>
      <c r="C44" s="3">
        <v>3631776</v>
      </c>
      <c r="D44" s="3">
        <v>3631788</v>
      </c>
      <c r="E44" s="3">
        <v>3631860</v>
      </c>
      <c r="F44" s="3">
        <v>3631688</v>
      </c>
      <c r="G44" s="36">
        <f t="shared" si="6"/>
        <v>1.9921875</v>
      </c>
      <c r="H44" s="36">
        <f t="shared" si="7"/>
        <v>2.00390625</v>
      </c>
      <c r="I44" s="36">
        <f t="shared" si="8"/>
        <v>2.07421875</v>
      </c>
      <c r="J44" s="36">
        <f t="shared" si="9"/>
        <v>1.90625</v>
      </c>
      <c r="K44" s="35">
        <f t="shared" si="5"/>
        <v>0.16796875</v>
      </c>
    </row>
    <row r="45" spans="1:11" x14ac:dyDescent="0.2">
      <c r="A45" s="2" t="s">
        <v>120</v>
      </c>
      <c r="B45" s="3">
        <v>4092668</v>
      </c>
      <c r="C45" s="3">
        <v>4094604</v>
      </c>
      <c r="D45" s="3">
        <v>4094596</v>
      </c>
      <c r="E45" s="3">
        <v>4094656</v>
      </c>
      <c r="F45" s="3">
        <v>4094376</v>
      </c>
      <c r="G45" s="36">
        <f t="shared" si="6"/>
        <v>1.890625</v>
      </c>
      <c r="H45" s="36">
        <f t="shared" si="7"/>
        <v>1.8828125</v>
      </c>
      <c r="I45" s="36">
        <f t="shared" si="8"/>
        <v>1.94140625</v>
      </c>
      <c r="J45" s="36">
        <f t="shared" si="9"/>
        <v>1.66796875</v>
      </c>
      <c r="K45" s="35">
        <f t="shared" si="5"/>
        <v>0.2734375</v>
      </c>
    </row>
    <row r="46" spans="1:11" x14ac:dyDescent="0.2">
      <c r="A46" s="2" t="s">
        <v>121</v>
      </c>
      <c r="B46" s="3">
        <v>219128</v>
      </c>
      <c r="C46" s="3">
        <v>220972</v>
      </c>
      <c r="D46" s="3">
        <v>220688</v>
      </c>
      <c r="E46" s="3">
        <v>221176</v>
      </c>
      <c r="F46" s="3">
        <v>220900</v>
      </c>
      <c r="G46" s="36">
        <f t="shared" si="6"/>
        <v>1.80078125</v>
      </c>
      <c r="H46" s="36">
        <f t="shared" si="7"/>
        <v>1.5234375</v>
      </c>
      <c r="I46" s="36">
        <f t="shared" si="8"/>
        <v>2</v>
      </c>
      <c r="J46" s="36">
        <f t="shared" si="9"/>
        <v>1.73046875</v>
      </c>
      <c r="K46" s="35">
        <f t="shared" si="5"/>
        <v>0.26953125</v>
      </c>
    </row>
    <row r="47" spans="1:11" x14ac:dyDescent="0.2">
      <c r="A47" s="2" t="s">
        <v>122</v>
      </c>
      <c r="B47" s="3">
        <v>1440684</v>
      </c>
      <c r="C47" s="3">
        <v>1442876</v>
      </c>
      <c r="D47" s="3">
        <v>1442688</v>
      </c>
      <c r="E47" s="3">
        <v>1442708</v>
      </c>
      <c r="F47" s="3">
        <v>1442508</v>
      </c>
      <c r="G47" s="36">
        <f t="shared" si="6"/>
        <v>2.140625</v>
      </c>
      <c r="H47" s="36">
        <f t="shared" si="7"/>
        <v>1.95703125</v>
      </c>
      <c r="I47" s="36">
        <f t="shared" si="8"/>
        <v>1.9765625</v>
      </c>
      <c r="J47" s="36">
        <f t="shared" si="9"/>
        <v>1.78125</v>
      </c>
      <c r="K47" s="35">
        <f t="shared" si="5"/>
        <v>0.1953125</v>
      </c>
    </row>
    <row r="48" spans="1:11" x14ac:dyDescent="0.2">
      <c r="A48" s="2" t="s">
        <v>123</v>
      </c>
      <c r="B48" s="3">
        <v>6708</v>
      </c>
      <c r="C48" s="3">
        <v>8700</v>
      </c>
      <c r="D48" s="3">
        <v>8532</v>
      </c>
      <c r="E48" s="3">
        <v>8736</v>
      </c>
      <c r="F48" s="3">
        <v>8488</v>
      </c>
      <c r="G48" s="36">
        <f t="shared" si="6"/>
        <v>1.9453125</v>
      </c>
      <c r="H48" s="36">
        <f t="shared" si="7"/>
        <v>1.78125</v>
      </c>
      <c r="I48" s="36">
        <f t="shared" si="8"/>
        <v>1.98046875</v>
      </c>
      <c r="J48" s="36">
        <f t="shared" si="9"/>
        <v>1.73828125</v>
      </c>
      <c r="K48" s="35">
        <f t="shared" si="5"/>
        <v>0.2421875</v>
      </c>
    </row>
    <row r="49" spans="1:11" x14ac:dyDescent="0.2">
      <c r="A49" s="2" t="s">
        <v>124</v>
      </c>
      <c r="B49" s="3">
        <v>5508</v>
      </c>
      <c r="C49" s="3">
        <v>7580</v>
      </c>
      <c r="D49" s="3">
        <v>7444</v>
      </c>
      <c r="E49" s="3">
        <v>7592</v>
      </c>
      <c r="F49" s="3">
        <v>7320</v>
      </c>
      <c r="G49" s="36">
        <f t="shared" si="6"/>
        <v>2.0234375</v>
      </c>
      <c r="H49" s="36">
        <f t="shared" si="7"/>
        <v>1.890625</v>
      </c>
      <c r="I49" s="36">
        <f t="shared" si="8"/>
        <v>2.03515625</v>
      </c>
      <c r="J49" s="36">
        <f t="shared" si="9"/>
        <v>1.76953125</v>
      </c>
      <c r="K49" s="35">
        <f t="shared" si="5"/>
        <v>0.265625</v>
      </c>
    </row>
    <row r="50" spans="1:11" x14ac:dyDescent="0.2">
      <c r="A50" s="2" t="s">
        <v>78</v>
      </c>
      <c r="B50" s="2"/>
      <c r="C50" s="2"/>
      <c r="D50" s="2"/>
      <c r="E50" s="2"/>
      <c r="F50" s="2"/>
      <c r="G50" s="37">
        <f>GEOMEAN(G38:G49)</f>
        <v>1.956760001985304</v>
      </c>
      <c r="H50" s="37">
        <f>GEOMEAN(H38:H49)</f>
        <v>1.7978215071329293</v>
      </c>
      <c r="I50" s="37">
        <f>GEOMEAN(I38:I49)</f>
        <v>1.9613300523503259</v>
      </c>
      <c r="J50" s="37">
        <f>GEOMEAN(J38:J49)</f>
        <v>1.7611683046832285</v>
      </c>
    </row>
    <row r="53" spans="1:11" x14ac:dyDescent="0.2">
      <c r="A53" s="2" t="s">
        <v>109</v>
      </c>
      <c r="B53" s="32" t="s">
        <v>106</v>
      </c>
      <c r="C53" s="2" t="s">
        <v>134</v>
      </c>
      <c r="D53" s="2" t="s">
        <v>132</v>
      </c>
      <c r="E53" s="2" t="s">
        <v>135</v>
      </c>
      <c r="F53" s="2" t="s">
        <v>133</v>
      </c>
    </row>
    <row r="54" spans="1:11" x14ac:dyDescent="0.2">
      <c r="A54" s="2" t="s">
        <v>113</v>
      </c>
      <c r="B54" s="42">
        <f t="shared" ref="B54:F65" si="10">B38/$B38</f>
        <v>1</v>
      </c>
      <c r="C54" s="42">
        <f t="shared" si="10"/>
        <v>1.3477611940298508</v>
      </c>
      <c r="D54" s="42">
        <f t="shared" si="10"/>
        <v>1.2850746268656716</v>
      </c>
      <c r="E54" s="42">
        <f t="shared" ref="E54:E65" si="11">E38/$B38</f>
        <v>1.3350746268656717</v>
      </c>
      <c r="F54" s="42">
        <f t="shared" si="10"/>
        <v>1.2843283582089553</v>
      </c>
    </row>
    <row r="55" spans="1:11" x14ac:dyDescent="0.2">
      <c r="A55" s="2" t="s">
        <v>114</v>
      </c>
      <c r="B55" s="42">
        <f t="shared" si="10"/>
        <v>1</v>
      </c>
      <c r="C55" s="42">
        <f t="shared" si="10"/>
        <v>1.0611517719568566</v>
      </c>
      <c r="D55" s="42">
        <f t="shared" si="10"/>
        <v>1.0595146379044684</v>
      </c>
      <c r="E55" s="42">
        <f t="shared" si="11"/>
        <v>1.0552773497688752</v>
      </c>
      <c r="F55" s="42">
        <f t="shared" si="10"/>
        <v>1.0579738058551618</v>
      </c>
    </row>
    <row r="56" spans="1:11" x14ac:dyDescent="0.2">
      <c r="A56" s="2" t="s">
        <v>115</v>
      </c>
      <c r="B56" s="42">
        <f t="shared" si="10"/>
        <v>1</v>
      </c>
      <c r="C56" s="42">
        <f t="shared" si="10"/>
        <v>1.0001592100638557</v>
      </c>
      <c r="D56" s="42">
        <f t="shared" si="10"/>
        <v>1.0001531721572423</v>
      </c>
      <c r="E56" s="42">
        <f t="shared" si="11"/>
        <v>1.0001607989866486</v>
      </c>
      <c r="F56" s="42">
        <f t="shared" si="10"/>
        <v>1.0001366473601954</v>
      </c>
    </row>
    <row r="57" spans="1:11" x14ac:dyDescent="0.2">
      <c r="A57" s="2" t="s">
        <v>116</v>
      </c>
      <c r="B57" s="42">
        <f t="shared" si="10"/>
        <v>1</v>
      </c>
      <c r="C57" s="42">
        <f t="shared" si="10"/>
        <v>1.0665547244695466</v>
      </c>
      <c r="D57" s="42">
        <f t="shared" si="10"/>
        <v>1.055258739123798</v>
      </c>
      <c r="E57" s="42">
        <f t="shared" si="11"/>
        <v>1.0654861853152191</v>
      </c>
      <c r="F57" s="42">
        <f t="shared" si="10"/>
        <v>1.0587696534880171</v>
      </c>
    </row>
    <row r="58" spans="1:11" x14ac:dyDescent="0.2">
      <c r="A58" s="2" t="s">
        <v>117</v>
      </c>
      <c r="B58" s="42">
        <f t="shared" si="10"/>
        <v>1</v>
      </c>
      <c r="C58" s="42">
        <f t="shared" si="10"/>
        <v>1.014600937565316</v>
      </c>
      <c r="D58" s="42">
        <f t="shared" si="10"/>
        <v>1.0135260219163358</v>
      </c>
      <c r="E58" s="42">
        <f t="shared" si="11"/>
        <v>1.0144516437251798</v>
      </c>
      <c r="F58" s="42">
        <f t="shared" si="10"/>
        <v>1.0137350332925263</v>
      </c>
    </row>
    <row r="59" spans="1:11" x14ac:dyDescent="0.2">
      <c r="A59" s="2" t="s">
        <v>118</v>
      </c>
      <c r="B59" s="42">
        <f t="shared" si="10"/>
        <v>1</v>
      </c>
      <c r="C59" s="42">
        <f t="shared" si="10"/>
        <v>1.0147182254196643</v>
      </c>
      <c r="D59" s="42">
        <f t="shared" si="10"/>
        <v>1.0136091127098321</v>
      </c>
      <c r="E59" s="42">
        <f t="shared" si="11"/>
        <v>1.0157374100719425</v>
      </c>
      <c r="F59" s="42">
        <f t="shared" si="10"/>
        <v>1.0142685851318944</v>
      </c>
    </row>
    <row r="60" spans="1:11" x14ac:dyDescent="0.2">
      <c r="A60" s="2" t="s">
        <v>119</v>
      </c>
      <c r="B60" s="42">
        <f t="shared" si="10"/>
        <v>1</v>
      </c>
      <c r="C60" s="42">
        <f t="shared" si="10"/>
        <v>1.0005620243455722</v>
      </c>
      <c r="D60" s="42">
        <f t="shared" si="10"/>
        <v>1.0005653303711344</v>
      </c>
      <c r="E60" s="42">
        <f t="shared" si="11"/>
        <v>1.0005851665245076</v>
      </c>
      <c r="F60" s="42">
        <f t="shared" si="10"/>
        <v>1.0005377801581161</v>
      </c>
    </row>
    <row r="61" spans="1:11" x14ac:dyDescent="0.2">
      <c r="A61" s="2" t="s">
        <v>120</v>
      </c>
      <c r="B61" s="42">
        <f t="shared" si="10"/>
        <v>1</v>
      </c>
      <c r="C61" s="42">
        <f t="shared" si="10"/>
        <v>1.0004730410578135</v>
      </c>
      <c r="D61" s="42">
        <f t="shared" si="10"/>
        <v>1.0004710863426987</v>
      </c>
      <c r="E61" s="42">
        <f t="shared" si="11"/>
        <v>1.0004857467060606</v>
      </c>
      <c r="F61" s="42">
        <f t="shared" si="10"/>
        <v>1.0004173316770382</v>
      </c>
    </row>
    <row r="62" spans="1:11" x14ac:dyDescent="0.2">
      <c r="A62" s="2" t="s">
        <v>121</v>
      </c>
      <c r="B62" s="42">
        <f t="shared" si="10"/>
        <v>1</v>
      </c>
      <c r="C62" s="42">
        <f t="shared" si="10"/>
        <v>1.0084151728670001</v>
      </c>
      <c r="D62" s="42">
        <f t="shared" si="10"/>
        <v>1.0071191267204556</v>
      </c>
      <c r="E62" s="42">
        <f t="shared" si="11"/>
        <v>1.0093461355919828</v>
      </c>
      <c r="F62" s="42">
        <f t="shared" si="10"/>
        <v>1.0080865977875946</v>
      </c>
    </row>
    <row r="63" spans="1:11" x14ac:dyDescent="0.2">
      <c r="A63" s="2" t="s">
        <v>122</v>
      </c>
      <c r="B63" s="42">
        <f t="shared" si="10"/>
        <v>1</v>
      </c>
      <c r="C63" s="42">
        <f t="shared" si="10"/>
        <v>1.0015214995099551</v>
      </c>
      <c r="D63" s="42">
        <f t="shared" si="10"/>
        <v>1.0013910059388458</v>
      </c>
      <c r="E63" s="42">
        <f t="shared" si="11"/>
        <v>1.0014048882336446</v>
      </c>
      <c r="F63" s="42">
        <f t="shared" si="10"/>
        <v>1.001266065285656</v>
      </c>
    </row>
    <row r="64" spans="1:11" x14ac:dyDescent="0.2">
      <c r="A64" s="2" t="s">
        <v>123</v>
      </c>
      <c r="B64" s="42">
        <f t="shared" si="10"/>
        <v>1</v>
      </c>
      <c r="C64" s="42">
        <f t="shared" si="10"/>
        <v>1.2969588550983899</v>
      </c>
      <c r="D64" s="42">
        <f t="shared" si="10"/>
        <v>1.2719141323792487</v>
      </c>
      <c r="E64" s="42">
        <f t="shared" si="11"/>
        <v>1.3023255813953489</v>
      </c>
      <c r="F64" s="42">
        <f t="shared" si="10"/>
        <v>1.2653548002385211</v>
      </c>
    </row>
    <row r="65" spans="1:6" x14ac:dyDescent="0.2">
      <c r="A65" s="2" t="s">
        <v>124</v>
      </c>
      <c r="B65" s="42">
        <f t="shared" si="10"/>
        <v>1</v>
      </c>
      <c r="C65" s="42">
        <f t="shared" si="10"/>
        <v>1.3761801016702977</v>
      </c>
      <c r="D65" s="42">
        <f t="shared" si="10"/>
        <v>1.3514887436456064</v>
      </c>
      <c r="E65" s="42">
        <f t="shared" si="11"/>
        <v>1.3783587509077706</v>
      </c>
      <c r="F65" s="42">
        <f t="shared" si="10"/>
        <v>1.3289760348583879</v>
      </c>
    </row>
    <row r="66" spans="1:6" x14ac:dyDescent="0.2">
      <c r="A66" s="2" t="s">
        <v>105</v>
      </c>
      <c r="B66" s="42">
        <f>GEOMEAN(B54:B65)</f>
        <v>1</v>
      </c>
      <c r="C66" s="42">
        <f>GEOMEAN(C54:C65)</f>
        <v>1.0906937681372697</v>
      </c>
      <c r="D66" s="42">
        <f>GEOMEAN(D54:D65)</f>
        <v>1.0815524328338557</v>
      </c>
      <c r="E66" s="42">
        <f>GEOMEAN(E54:E65)</f>
        <v>1.0899124256208585</v>
      </c>
      <c r="F66" s="42">
        <f>GEOMEAN(F54:F65)</f>
        <v>1.0798333317432964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EF309-DB42-5D47-B840-18C61923646E}">
  <dimension ref="A1:O76"/>
  <sheetViews>
    <sheetView zoomScale="80" zoomScaleNormal="80" workbookViewId="0">
      <selection activeCell="A2" sqref="A2:A15"/>
    </sheetView>
  </sheetViews>
  <sheetFormatPr baseColWidth="10" defaultRowHeight="18" x14ac:dyDescent="0.2"/>
  <cols>
    <col min="1" max="1" width="27.83203125" style="1" bestFit="1" customWidth="1"/>
    <col min="2" max="3" width="14.1640625" style="1" bestFit="1" customWidth="1"/>
    <col min="4" max="4" width="25.6640625" style="1" bestFit="1" customWidth="1"/>
    <col min="5" max="5" width="20.6640625" style="1" bestFit="1" customWidth="1"/>
    <col min="6" max="6" width="35.1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20.6640625" style="1" bestFit="1" customWidth="1"/>
    <col min="11" max="11" width="35.1640625" style="1" bestFit="1" customWidth="1"/>
    <col min="12" max="12" width="30.1640625" style="1" bestFit="1" customWidth="1"/>
    <col min="13" max="16384" width="10.83203125" style="1"/>
  </cols>
  <sheetData>
    <row r="1" spans="1:7" x14ac:dyDescent="0.2">
      <c r="A1" s="2" t="s">
        <v>125</v>
      </c>
      <c r="B1" s="2" t="s">
        <v>106</v>
      </c>
      <c r="C1" s="2" t="s">
        <v>126</v>
      </c>
      <c r="D1" s="2" t="s">
        <v>132</v>
      </c>
      <c r="E1" s="2" t="s">
        <v>147</v>
      </c>
      <c r="F1" s="2" t="s">
        <v>136</v>
      </c>
      <c r="G1" s="2" t="s">
        <v>146</v>
      </c>
    </row>
    <row r="2" spans="1:7" x14ac:dyDescent="0.2">
      <c r="A2" s="13" t="s">
        <v>39</v>
      </c>
      <c r="B2" s="3">
        <v>32869</v>
      </c>
      <c r="C2" s="3">
        <v>61249</v>
      </c>
      <c r="D2" s="3">
        <v>393700</v>
      </c>
      <c r="E2" s="3">
        <v>322373</v>
      </c>
      <c r="F2" s="3">
        <v>458800</v>
      </c>
      <c r="G2" s="3">
        <v>388900</v>
      </c>
    </row>
    <row r="3" spans="1:7" x14ac:dyDescent="0.2">
      <c r="A3" s="13" t="s">
        <v>6</v>
      </c>
      <c r="B3" s="3">
        <v>25970</v>
      </c>
      <c r="C3" s="3">
        <v>44619</v>
      </c>
      <c r="D3" s="3">
        <v>56892</v>
      </c>
      <c r="E3" s="3">
        <v>51233</v>
      </c>
      <c r="F3" s="3">
        <v>58866</v>
      </c>
      <c r="G3" s="3">
        <v>52843</v>
      </c>
    </row>
    <row r="4" spans="1:7" x14ac:dyDescent="0.2">
      <c r="A4" s="13" t="s">
        <v>7</v>
      </c>
      <c r="B4" s="3">
        <v>39798</v>
      </c>
      <c r="C4" s="3">
        <v>104067</v>
      </c>
      <c r="D4" s="3">
        <v>181311</v>
      </c>
      <c r="E4" s="3">
        <v>143485</v>
      </c>
      <c r="F4" s="3">
        <v>195831</v>
      </c>
      <c r="G4" s="3">
        <v>157595</v>
      </c>
    </row>
    <row r="5" spans="1:7" x14ac:dyDescent="0.2">
      <c r="A5" s="13" t="s">
        <v>42</v>
      </c>
      <c r="B5" s="3">
        <v>24488</v>
      </c>
      <c r="C5" s="3">
        <v>41939</v>
      </c>
      <c r="D5" s="3">
        <v>41541</v>
      </c>
      <c r="E5" s="3">
        <v>41794</v>
      </c>
      <c r="F5" s="3">
        <v>41833</v>
      </c>
      <c r="G5" s="3">
        <v>41701</v>
      </c>
    </row>
    <row r="6" spans="1:7" x14ac:dyDescent="0.2">
      <c r="A6" s="13" t="s">
        <v>41</v>
      </c>
      <c r="B6" s="3">
        <v>29569</v>
      </c>
      <c r="C6" s="3">
        <v>55325</v>
      </c>
      <c r="D6" s="3">
        <v>226761</v>
      </c>
      <c r="E6" s="3">
        <v>143741</v>
      </c>
      <c r="F6" s="3">
        <v>260709</v>
      </c>
      <c r="G6" s="3">
        <v>176264</v>
      </c>
    </row>
    <row r="7" spans="1:7" x14ac:dyDescent="0.2">
      <c r="A7" s="13" t="s">
        <v>43</v>
      </c>
      <c r="B7" s="3">
        <v>11043</v>
      </c>
      <c r="C7" s="3">
        <v>23148</v>
      </c>
      <c r="D7" s="3">
        <v>80574</v>
      </c>
      <c r="E7" s="3">
        <v>62939</v>
      </c>
      <c r="F7" s="3">
        <v>92039</v>
      </c>
      <c r="G7" s="3">
        <v>73311</v>
      </c>
    </row>
    <row r="8" spans="1:7" x14ac:dyDescent="0.2">
      <c r="A8" s="13" t="s">
        <v>45</v>
      </c>
      <c r="B8" s="3">
        <v>38109</v>
      </c>
      <c r="C8" s="3">
        <v>71140</v>
      </c>
      <c r="D8" s="3">
        <v>277611</v>
      </c>
      <c r="E8" s="3">
        <v>164814</v>
      </c>
      <c r="F8" s="3">
        <v>315309</v>
      </c>
      <c r="G8" s="3">
        <v>196404</v>
      </c>
    </row>
    <row r="9" spans="1:7" x14ac:dyDescent="0.2">
      <c r="A9" s="13" t="s">
        <v>47</v>
      </c>
      <c r="B9" s="3">
        <v>12007</v>
      </c>
      <c r="C9" s="3">
        <v>20963</v>
      </c>
      <c r="D9" s="3">
        <v>27253</v>
      </c>
      <c r="E9" s="3">
        <v>24849</v>
      </c>
      <c r="F9" s="3">
        <v>28443</v>
      </c>
      <c r="G9" s="3">
        <v>25916</v>
      </c>
    </row>
    <row r="10" spans="1:7" x14ac:dyDescent="0.2">
      <c r="A10" s="13" t="s">
        <v>11</v>
      </c>
      <c r="B10" s="3">
        <v>66451</v>
      </c>
      <c r="C10" s="3">
        <v>124404</v>
      </c>
      <c r="D10" s="3">
        <v>766000</v>
      </c>
      <c r="E10" s="3">
        <v>625600</v>
      </c>
      <c r="F10" s="3">
        <v>881100</v>
      </c>
      <c r="G10" s="3">
        <v>754600</v>
      </c>
    </row>
    <row r="11" spans="1:7" x14ac:dyDescent="0.2">
      <c r="A11" s="13" t="s">
        <v>13</v>
      </c>
      <c r="B11" s="3">
        <v>116294</v>
      </c>
      <c r="C11" s="3">
        <v>122291</v>
      </c>
      <c r="D11" s="3">
        <v>118549</v>
      </c>
      <c r="E11" s="3">
        <v>118093</v>
      </c>
      <c r="F11" s="3">
        <v>118090</v>
      </c>
      <c r="G11" s="3">
        <v>118523</v>
      </c>
    </row>
    <row r="12" spans="1:7" x14ac:dyDescent="0.2">
      <c r="A12" s="13" t="s">
        <v>15</v>
      </c>
      <c r="B12" s="3">
        <v>29341</v>
      </c>
      <c r="C12" s="3">
        <v>54869</v>
      </c>
      <c r="D12" s="3">
        <v>226410</v>
      </c>
      <c r="E12" s="3">
        <v>141824</v>
      </c>
      <c r="F12" s="3">
        <v>260330</v>
      </c>
      <c r="G12" s="3">
        <v>174995</v>
      </c>
    </row>
    <row r="13" spans="1:7" x14ac:dyDescent="0.2">
      <c r="A13" s="13" t="s">
        <v>16</v>
      </c>
      <c r="B13" s="3">
        <v>11136</v>
      </c>
      <c r="C13" s="3">
        <v>23149</v>
      </c>
      <c r="D13" s="3">
        <v>80515</v>
      </c>
      <c r="E13" s="3">
        <v>62926</v>
      </c>
      <c r="F13" s="3">
        <v>91966</v>
      </c>
      <c r="G13" s="3">
        <v>73369</v>
      </c>
    </row>
    <row r="14" spans="1:7" x14ac:dyDescent="0.2">
      <c r="A14" s="13" t="s">
        <v>19</v>
      </c>
      <c r="B14" s="3">
        <v>38181</v>
      </c>
      <c r="C14" s="3">
        <v>71419</v>
      </c>
      <c r="D14" s="3">
        <v>275313</v>
      </c>
      <c r="E14" s="3">
        <v>166059</v>
      </c>
      <c r="F14" s="3">
        <v>316958</v>
      </c>
      <c r="G14" s="3">
        <v>197495</v>
      </c>
    </row>
    <row r="15" spans="1:7" x14ac:dyDescent="0.2">
      <c r="A15" s="13" t="s">
        <v>21</v>
      </c>
      <c r="B15" s="3">
        <v>31298</v>
      </c>
      <c r="C15" s="3">
        <v>64447</v>
      </c>
      <c r="D15" s="3">
        <v>81707</v>
      </c>
      <c r="E15" s="3">
        <v>76384</v>
      </c>
      <c r="F15" s="3">
        <v>85929</v>
      </c>
      <c r="G15" s="3">
        <v>80178</v>
      </c>
    </row>
    <row r="16" spans="1:7" x14ac:dyDescent="0.2">
      <c r="B16" s="31"/>
      <c r="C16" s="31"/>
      <c r="D16" s="31"/>
      <c r="E16" s="31"/>
      <c r="F16" s="31"/>
      <c r="G16" s="31"/>
    </row>
    <row r="17" spans="1:15" x14ac:dyDescent="0.2">
      <c r="B17" s="31"/>
      <c r="C17" s="31"/>
      <c r="D17" s="31"/>
      <c r="E17" s="31"/>
      <c r="F17" s="31"/>
      <c r="G17" s="31"/>
    </row>
    <row r="18" spans="1:15" x14ac:dyDescent="0.2">
      <c r="B18" s="31"/>
      <c r="C18" s="31"/>
      <c r="D18" s="31"/>
      <c r="E18" s="31"/>
      <c r="F18" s="31"/>
      <c r="G18" s="31"/>
    </row>
    <row r="21" spans="1:15" x14ac:dyDescent="0.2">
      <c r="A21" s="2" t="s">
        <v>108</v>
      </c>
      <c r="B21" s="2" t="s">
        <v>106</v>
      </c>
      <c r="C21" s="2" t="s">
        <v>126</v>
      </c>
      <c r="D21" s="2" t="s">
        <v>132</v>
      </c>
      <c r="E21" s="2" t="s">
        <v>147</v>
      </c>
      <c r="F21" s="2" t="s">
        <v>136</v>
      </c>
      <c r="G21" s="2" t="s">
        <v>146</v>
      </c>
      <c r="I21" s="2" t="s">
        <v>108</v>
      </c>
      <c r="J21" s="2" t="s">
        <v>126</v>
      </c>
      <c r="K21" s="2" t="s">
        <v>136</v>
      </c>
      <c r="L21" s="2" t="s">
        <v>132</v>
      </c>
      <c r="M21" s="2" t="s">
        <v>146</v>
      </c>
      <c r="N21" s="2" t="s">
        <v>147</v>
      </c>
      <c r="O21" s="2"/>
    </row>
    <row r="22" spans="1:15" x14ac:dyDescent="0.2">
      <c r="A22" s="13" t="s">
        <v>138</v>
      </c>
      <c r="B22" s="29">
        <f t="shared" ref="B22:D35" si="0">B2/$B2</f>
        <v>1</v>
      </c>
      <c r="C22" s="29">
        <f t="shared" si="0"/>
        <v>1.8634275457117648</v>
      </c>
      <c r="D22" s="29">
        <f t="shared" si="0"/>
        <v>11.977851470990903</v>
      </c>
      <c r="E22" s="29">
        <f t="shared" ref="E22:G35" si="1">E2/$B2</f>
        <v>9.8078128327603515</v>
      </c>
      <c r="F22" s="29">
        <f t="shared" ref="F22:F35" si="2">F2/$B2</f>
        <v>13.95844108430436</v>
      </c>
      <c r="G22" s="29">
        <f t="shared" si="1"/>
        <v>11.831817213788067</v>
      </c>
      <c r="I22" s="13" t="s">
        <v>138</v>
      </c>
      <c r="J22" s="29">
        <f>C2/$C2</f>
        <v>1</v>
      </c>
      <c r="K22" s="29">
        <f t="shared" ref="K22:N35" si="3">D2/$C2</f>
        <v>6.4278600466946401</v>
      </c>
      <c r="L22" s="29">
        <f t="shared" si="3"/>
        <v>5.2633185847932209</v>
      </c>
      <c r="M22" s="29">
        <f t="shared" si="3"/>
        <v>7.4907345426047769</v>
      </c>
      <c r="N22" s="29">
        <f t="shared" si="3"/>
        <v>6.3494914202680857</v>
      </c>
      <c r="O22" s="29"/>
    </row>
    <row r="23" spans="1:15" x14ac:dyDescent="0.2">
      <c r="A23" s="13" t="s">
        <v>139</v>
      </c>
      <c r="B23" s="29">
        <f t="shared" si="0"/>
        <v>1</v>
      </c>
      <c r="C23" s="29">
        <f t="shared" si="0"/>
        <v>1.7180978051597997</v>
      </c>
      <c r="D23" s="29">
        <f t="shared" si="0"/>
        <v>2.1906815556411243</v>
      </c>
      <c r="E23" s="29">
        <f t="shared" si="1"/>
        <v>1.9727762803234501</v>
      </c>
      <c r="F23" s="29">
        <f t="shared" si="2"/>
        <v>2.2666923373122834</v>
      </c>
      <c r="G23" s="29">
        <f t="shared" si="1"/>
        <v>2.0347708894878704</v>
      </c>
      <c r="I23" s="13" t="s">
        <v>139</v>
      </c>
      <c r="J23" s="29">
        <f t="shared" ref="J23:J35" si="4">C3/$C3</f>
        <v>1</v>
      </c>
      <c r="K23" s="29">
        <f t="shared" si="3"/>
        <v>1.2750621932360653</v>
      </c>
      <c r="L23" s="29">
        <f t="shared" si="3"/>
        <v>1.1482328156166655</v>
      </c>
      <c r="M23" s="29">
        <f t="shared" si="3"/>
        <v>1.319303435756068</v>
      </c>
      <c r="N23" s="29">
        <f t="shared" si="3"/>
        <v>1.1843160985230508</v>
      </c>
      <c r="O23" s="29"/>
    </row>
    <row r="24" spans="1:15" x14ac:dyDescent="0.2">
      <c r="A24" s="13" t="s">
        <v>140</v>
      </c>
      <c r="B24" s="29">
        <f t="shared" si="0"/>
        <v>1</v>
      </c>
      <c r="C24" s="29">
        <f t="shared" si="0"/>
        <v>2.6148801447308911</v>
      </c>
      <c r="D24" s="29">
        <f t="shared" si="0"/>
        <v>4.5557816975727423</v>
      </c>
      <c r="E24" s="29">
        <f t="shared" si="1"/>
        <v>3.6053319262274486</v>
      </c>
      <c r="F24" s="29">
        <f t="shared" si="2"/>
        <v>4.9206241519674352</v>
      </c>
      <c r="G24" s="29">
        <f t="shared" si="1"/>
        <v>3.9598723553947432</v>
      </c>
      <c r="I24" s="13" t="s">
        <v>140</v>
      </c>
      <c r="J24" s="29">
        <f t="shared" si="4"/>
        <v>1</v>
      </c>
      <c r="K24" s="29">
        <f t="shared" si="3"/>
        <v>1.7422525872755052</v>
      </c>
      <c r="L24" s="29">
        <f t="shared" si="3"/>
        <v>1.3787752121229593</v>
      </c>
      <c r="M24" s="29">
        <f t="shared" si="3"/>
        <v>1.8817780852719883</v>
      </c>
      <c r="N24" s="29">
        <f t="shared" si="3"/>
        <v>1.5143609405479161</v>
      </c>
      <c r="O24" s="29"/>
    </row>
    <row r="25" spans="1:15" x14ac:dyDescent="0.2">
      <c r="A25" s="13" t="s">
        <v>141</v>
      </c>
      <c r="B25" s="29">
        <f t="shared" si="0"/>
        <v>1</v>
      </c>
      <c r="C25" s="29">
        <f t="shared" si="0"/>
        <v>1.7126347598823914</v>
      </c>
      <c r="D25" s="29">
        <f t="shared" si="0"/>
        <v>1.6963819013394315</v>
      </c>
      <c r="E25" s="29">
        <f t="shared" si="1"/>
        <v>1.7067134923227703</v>
      </c>
      <c r="F25" s="29">
        <f t="shared" si="2"/>
        <v>1.7083061091146685</v>
      </c>
      <c r="G25" s="29">
        <f t="shared" si="1"/>
        <v>1.7029157138190134</v>
      </c>
      <c r="I25" s="13" t="s">
        <v>141</v>
      </c>
      <c r="J25" s="29">
        <f t="shared" si="4"/>
        <v>1</v>
      </c>
      <c r="K25" s="29">
        <f t="shared" si="3"/>
        <v>0.99051002646701158</v>
      </c>
      <c r="L25" s="29">
        <f t="shared" si="3"/>
        <v>0.99654259758220276</v>
      </c>
      <c r="M25" s="29">
        <f t="shared" si="3"/>
        <v>0.99747251961181715</v>
      </c>
      <c r="N25" s="29">
        <f t="shared" si="3"/>
        <v>0.99432509120389134</v>
      </c>
      <c r="O25" s="29"/>
    </row>
    <row r="26" spans="1:15" x14ac:dyDescent="0.2">
      <c r="A26" s="13" t="s">
        <v>142</v>
      </c>
      <c r="B26" s="29">
        <f t="shared" si="0"/>
        <v>1</v>
      </c>
      <c r="C26" s="29">
        <f t="shared" si="0"/>
        <v>1.871047380702763</v>
      </c>
      <c r="D26" s="29">
        <f t="shared" si="0"/>
        <v>7.6688761878994898</v>
      </c>
      <c r="E26" s="29">
        <f t="shared" si="1"/>
        <v>4.8612059927626907</v>
      </c>
      <c r="F26" s="29">
        <f t="shared" si="2"/>
        <v>8.8169704758361807</v>
      </c>
      <c r="G26" s="29">
        <f t="shared" si="1"/>
        <v>5.9611079170753154</v>
      </c>
      <c r="I26" s="13" t="s">
        <v>142</v>
      </c>
      <c r="J26" s="29">
        <f t="shared" si="4"/>
        <v>1</v>
      </c>
      <c r="K26" s="29">
        <f t="shared" si="3"/>
        <v>4.0987076366922732</v>
      </c>
      <c r="L26" s="29">
        <f t="shared" si="3"/>
        <v>2.5981201988251241</v>
      </c>
      <c r="M26" s="29">
        <f t="shared" si="3"/>
        <v>4.7123181201988249</v>
      </c>
      <c r="N26" s="29">
        <f t="shared" si="3"/>
        <v>3.1859737912336197</v>
      </c>
      <c r="O26" s="29"/>
    </row>
    <row r="27" spans="1:15" x14ac:dyDescent="0.2">
      <c r="A27" s="13" t="s">
        <v>143</v>
      </c>
      <c r="B27" s="29">
        <f t="shared" si="0"/>
        <v>1</v>
      </c>
      <c r="C27" s="29">
        <f t="shared" si="0"/>
        <v>2.0961695191524043</v>
      </c>
      <c r="D27" s="29">
        <f t="shared" si="0"/>
        <v>7.2963868513990766</v>
      </c>
      <c r="E27" s="29">
        <f t="shared" si="1"/>
        <v>5.6994476138730414</v>
      </c>
      <c r="F27" s="29">
        <f t="shared" si="2"/>
        <v>8.3346011047722541</v>
      </c>
      <c r="G27" s="29">
        <f t="shared" si="1"/>
        <v>6.6386851399076336</v>
      </c>
      <c r="I27" s="13" t="s">
        <v>143</v>
      </c>
      <c r="J27" s="29">
        <f t="shared" si="4"/>
        <v>1</v>
      </c>
      <c r="K27" s="29">
        <f t="shared" si="3"/>
        <v>3.4808190772420944</v>
      </c>
      <c r="L27" s="29">
        <f t="shared" si="3"/>
        <v>2.7189822014860896</v>
      </c>
      <c r="M27" s="29">
        <f t="shared" si="3"/>
        <v>3.9761102471055816</v>
      </c>
      <c r="N27" s="29">
        <f t="shared" si="3"/>
        <v>3.1670554691550028</v>
      </c>
      <c r="O27" s="29"/>
    </row>
    <row r="28" spans="1:15" x14ac:dyDescent="0.2">
      <c r="A28" s="13" t="s">
        <v>144</v>
      </c>
      <c r="B28" s="29">
        <f t="shared" si="0"/>
        <v>1</v>
      </c>
      <c r="C28" s="29">
        <f t="shared" si="0"/>
        <v>1.8667506363326249</v>
      </c>
      <c r="D28" s="29">
        <f t="shared" si="0"/>
        <v>7.2846571675982048</v>
      </c>
      <c r="E28" s="29">
        <f t="shared" si="1"/>
        <v>4.3248051641344567</v>
      </c>
      <c r="F28" s="29">
        <f t="shared" si="2"/>
        <v>8.2738723136267023</v>
      </c>
      <c r="G28" s="29">
        <f t="shared" si="1"/>
        <v>5.1537432102652918</v>
      </c>
      <c r="I28" s="13" t="s">
        <v>144</v>
      </c>
      <c r="J28" s="29">
        <f t="shared" si="4"/>
        <v>1</v>
      </c>
      <c r="K28" s="29">
        <f t="shared" si="3"/>
        <v>3.9023193702558334</v>
      </c>
      <c r="L28" s="29">
        <f t="shared" si="3"/>
        <v>2.3167556929997191</v>
      </c>
      <c r="M28" s="29">
        <f t="shared" si="3"/>
        <v>4.4322322181613716</v>
      </c>
      <c r="N28" s="29">
        <f t="shared" si="3"/>
        <v>2.7608096710711272</v>
      </c>
      <c r="O28" s="29"/>
    </row>
    <row r="29" spans="1:15" x14ac:dyDescent="0.2">
      <c r="A29" s="13" t="s">
        <v>145</v>
      </c>
      <c r="B29" s="29">
        <f t="shared" si="0"/>
        <v>1</v>
      </c>
      <c r="C29" s="29">
        <f t="shared" si="0"/>
        <v>1.745898226034813</v>
      </c>
      <c r="D29" s="29">
        <f t="shared" si="0"/>
        <v>2.2697593070708755</v>
      </c>
      <c r="E29" s="29">
        <f t="shared" si="1"/>
        <v>2.0695427667194135</v>
      </c>
      <c r="F29" s="29">
        <f t="shared" si="2"/>
        <v>2.36886816023986</v>
      </c>
      <c r="G29" s="29">
        <f t="shared" si="1"/>
        <v>2.1584075955692512</v>
      </c>
      <c r="I29" s="13" t="s">
        <v>145</v>
      </c>
      <c r="J29" s="29">
        <f t="shared" si="4"/>
        <v>1</v>
      </c>
      <c r="K29" s="29">
        <f t="shared" si="3"/>
        <v>1.3000524734055241</v>
      </c>
      <c r="L29" s="29">
        <f t="shared" si="3"/>
        <v>1.1853742307875781</v>
      </c>
      <c r="M29" s="29">
        <f t="shared" si="3"/>
        <v>1.3568191575633259</v>
      </c>
      <c r="N29" s="29">
        <f t="shared" si="3"/>
        <v>1.2362734341458761</v>
      </c>
      <c r="O29" s="29"/>
    </row>
    <row r="30" spans="1:15" x14ac:dyDescent="0.2">
      <c r="A30" s="13" t="s">
        <v>0</v>
      </c>
      <c r="B30" s="29">
        <f t="shared" si="0"/>
        <v>1</v>
      </c>
      <c r="C30" s="29">
        <f t="shared" si="0"/>
        <v>1.872116296218266</v>
      </c>
      <c r="D30" s="29">
        <f t="shared" si="0"/>
        <v>11.527290785691713</v>
      </c>
      <c r="E30" s="29">
        <f t="shared" si="1"/>
        <v>9.4144557643978271</v>
      </c>
      <c r="F30" s="29">
        <f t="shared" si="2"/>
        <v>13.259394140043039</v>
      </c>
      <c r="G30" s="29">
        <f t="shared" si="1"/>
        <v>11.355735805330243</v>
      </c>
      <c r="I30" s="13" t="s">
        <v>0</v>
      </c>
      <c r="J30" s="29">
        <f t="shared" si="4"/>
        <v>1</v>
      </c>
      <c r="K30" s="29">
        <f t="shared" si="3"/>
        <v>6.1573582842995398</v>
      </c>
      <c r="L30" s="29">
        <f t="shared" si="3"/>
        <v>5.0287772097360213</v>
      </c>
      <c r="M30" s="29">
        <f t="shared" si="3"/>
        <v>7.0825696922928527</v>
      </c>
      <c r="N30" s="29">
        <f t="shared" si="3"/>
        <v>6.0657213594418184</v>
      </c>
      <c r="O30" s="29"/>
    </row>
    <row r="31" spans="1:15" x14ac:dyDescent="0.2">
      <c r="A31" s="13" t="s">
        <v>1</v>
      </c>
      <c r="B31" s="29">
        <f t="shared" si="0"/>
        <v>1</v>
      </c>
      <c r="C31" s="29">
        <f t="shared" si="0"/>
        <v>1.051567578722892</v>
      </c>
      <c r="D31" s="29">
        <f t="shared" si="0"/>
        <v>1.0193905102584828</v>
      </c>
      <c r="E31" s="29">
        <f t="shared" si="1"/>
        <v>1.0154694137272775</v>
      </c>
      <c r="F31" s="29">
        <f t="shared" si="2"/>
        <v>1.0154436170395722</v>
      </c>
      <c r="G31" s="29">
        <f t="shared" si="1"/>
        <v>1.0191669389650369</v>
      </c>
      <c r="I31" s="13" t="s">
        <v>1</v>
      </c>
      <c r="J31" s="29">
        <f t="shared" si="4"/>
        <v>1</v>
      </c>
      <c r="K31" s="29">
        <f t="shared" si="3"/>
        <v>0.96940085533686049</v>
      </c>
      <c r="L31" s="29">
        <f t="shared" si="3"/>
        <v>0.96567204454947619</v>
      </c>
      <c r="M31" s="29">
        <f t="shared" si="3"/>
        <v>0.9656475128995593</v>
      </c>
      <c r="N31" s="29">
        <f t="shared" si="3"/>
        <v>0.96918824770424639</v>
      </c>
      <c r="O31" s="29"/>
    </row>
    <row r="32" spans="1:15" x14ac:dyDescent="0.2">
      <c r="A32" s="13" t="s">
        <v>2</v>
      </c>
      <c r="B32" s="29">
        <f t="shared" si="0"/>
        <v>1</v>
      </c>
      <c r="C32" s="29">
        <f t="shared" si="0"/>
        <v>1.8700453290617225</v>
      </c>
      <c r="D32" s="29">
        <f t="shared" si="0"/>
        <v>7.7165059132272251</v>
      </c>
      <c r="E32" s="29">
        <f t="shared" si="1"/>
        <v>4.8336457516785387</v>
      </c>
      <c r="F32" s="29">
        <f t="shared" si="2"/>
        <v>8.8725673971575603</v>
      </c>
      <c r="G32" s="29">
        <f t="shared" si="1"/>
        <v>5.9641798166388327</v>
      </c>
      <c r="I32" s="13" t="s">
        <v>2</v>
      </c>
      <c r="J32" s="29">
        <f t="shared" si="4"/>
        <v>1</v>
      </c>
      <c r="K32" s="29">
        <f t="shared" si="3"/>
        <v>4.126373726512238</v>
      </c>
      <c r="L32" s="29">
        <f t="shared" si="3"/>
        <v>2.584774645063697</v>
      </c>
      <c r="M32" s="29">
        <f t="shared" si="3"/>
        <v>4.7445734385536458</v>
      </c>
      <c r="N32" s="29">
        <f t="shared" si="3"/>
        <v>3.189323661812681</v>
      </c>
      <c r="O32" s="29"/>
    </row>
    <row r="33" spans="1:15" x14ac:dyDescent="0.2">
      <c r="A33" s="13" t="s">
        <v>3</v>
      </c>
      <c r="B33" s="29">
        <f t="shared" si="0"/>
        <v>1</v>
      </c>
      <c r="C33" s="29">
        <f t="shared" si="0"/>
        <v>2.078753591954023</v>
      </c>
      <c r="D33" s="29">
        <f t="shared" si="0"/>
        <v>7.2301544540229887</v>
      </c>
      <c r="E33" s="29">
        <f t="shared" si="1"/>
        <v>5.6506824712643677</v>
      </c>
      <c r="F33" s="29">
        <f t="shared" si="2"/>
        <v>8.2584410919540225</v>
      </c>
      <c r="G33" s="29">
        <f t="shared" si="1"/>
        <v>6.5884518678160919</v>
      </c>
      <c r="I33" s="13" t="s">
        <v>3</v>
      </c>
      <c r="J33" s="29">
        <f t="shared" si="4"/>
        <v>1</v>
      </c>
      <c r="K33" s="29">
        <f t="shared" si="3"/>
        <v>3.478120005183809</v>
      </c>
      <c r="L33" s="29">
        <f t="shared" si="3"/>
        <v>2.7183031664434747</v>
      </c>
      <c r="M33" s="29">
        <f t="shared" si="3"/>
        <v>3.9727850015119444</v>
      </c>
      <c r="N33" s="29">
        <f t="shared" si="3"/>
        <v>3.1694241651907209</v>
      </c>
      <c r="O33" s="29"/>
    </row>
    <row r="34" spans="1:15" x14ac:dyDescent="0.2">
      <c r="A34" s="13" t="s">
        <v>4</v>
      </c>
      <c r="B34" s="29">
        <f t="shared" si="0"/>
        <v>1</v>
      </c>
      <c r="C34" s="29">
        <f t="shared" si="0"/>
        <v>1.8705377019983762</v>
      </c>
      <c r="D34" s="29">
        <f t="shared" si="0"/>
        <v>7.2107330871375819</v>
      </c>
      <c r="E34" s="29">
        <f t="shared" si="1"/>
        <v>4.3492574840889446</v>
      </c>
      <c r="F34" s="29">
        <f t="shared" si="2"/>
        <v>8.301458840784683</v>
      </c>
      <c r="G34" s="29">
        <f t="shared" si="1"/>
        <v>5.1725989366438805</v>
      </c>
      <c r="I34" s="13" t="s">
        <v>4</v>
      </c>
      <c r="J34" s="29">
        <f t="shared" si="4"/>
        <v>1</v>
      </c>
      <c r="K34" s="29">
        <f t="shared" si="3"/>
        <v>3.8548985564065585</v>
      </c>
      <c r="L34" s="29">
        <f t="shared" si="3"/>
        <v>2.3251375684341702</v>
      </c>
      <c r="M34" s="29">
        <f t="shared" si="3"/>
        <v>4.438006692896848</v>
      </c>
      <c r="N34" s="29">
        <f t="shared" si="3"/>
        <v>2.7653005502737367</v>
      </c>
      <c r="O34" s="29"/>
    </row>
    <row r="35" spans="1:15" x14ac:dyDescent="0.2">
      <c r="A35" s="13" t="s">
        <v>5</v>
      </c>
      <c r="B35" s="29">
        <f t="shared" si="0"/>
        <v>1</v>
      </c>
      <c r="C35" s="29">
        <f t="shared" si="0"/>
        <v>2.0591411591795001</v>
      </c>
      <c r="D35" s="29">
        <f t="shared" si="0"/>
        <v>2.6106140967473959</v>
      </c>
      <c r="E35" s="29">
        <f t="shared" si="1"/>
        <v>2.4405393315866828</v>
      </c>
      <c r="F35" s="29">
        <f t="shared" si="2"/>
        <v>2.7455108952648732</v>
      </c>
      <c r="G35" s="29">
        <f t="shared" si="1"/>
        <v>2.5617611348967984</v>
      </c>
      <c r="I35" s="13" t="s">
        <v>5</v>
      </c>
      <c r="J35" s="29">
        <f t="shared" si="4"/>
        <v>1</v>
      </c>
      <c r="K35" s="29">
        <f t="shared" si="3"/>
        <v>1.2678169658789393</v>
      </c>
      <c r="L35" s="29">
        <f t="shared" si="3"/>
        <v>1.1852219653358573</v>
      </c>
      <c r="M35" s="29">
        <f t="shared" si="3"/>
        <v>1.333328161124645</v>
      </c>
      <c r="N35" s="29">
        <f t="shared" si="3"/>
        <v>1.2440920446258166</v>
      </c>
      <c r="O35" s="29"/>
    </row>
    <row r="36" spans="1:15" x14ac:dyDescent="0.2">
      <c r="A36" s="2" t="s">
        <v>105</v>
      </c>
      <c r="B36" s="29">
        <f t="shared" ref="B36:D36" si="5">GEOMEAN(B22:B35)</f>
        <v>1</v>
      </c>
      <c r="C36" s="29">
        <f t="shared" si="5"/>
        <v>1.8476181560103755</v>
      </c>
      <c r="D36" s="29">
        <f t="shared" si="5"/>
        <v>4.6655435097550528</v>
      </c>
      <c r="E36" s="29">
        <f>GEOMEAN(E22:E35)</f>
        <v>3.6745826883437345</v>
      </c>
      <c r="F36" s="29">
        <f>GEOMEAN(F22:F35)</f>
        <v>5.1245444978469061</v>
      </c>
      <c r="G36" s="29">
        <f>GEOMEAN(G22:G35)</f>
        <v>4.13737523717624</v>
      </c>
      <c r="H36" s="1">
        <f>F36/G36</f>
        <v>1.2385979525860964</v>
      </c>
      <c r="I36" s="2" t="s">
        <v>105</v>
      </c>
      <c r="J36" s="29">
        <f t="shared" ref="J36:K36" si="6">GEOMEAN(J22:J35)</f>
        <v>1</v>
      </c>
      <c r="K36" s="29">
        <f t="shared" si="6"/>
        <v>2.5251665202454601</v>
      </c>
      <c r="L36" s="29">
        <f>GEOMEAN(L22:L35)</f>
        <v>1.9888214869453251</v>
      </c>
      <c r="M36" s="29">
        <f>GEOMEAN(M22:M35)</f>
        <v>2.7735950099735485</v>
      </c>
      <c r="N36" s="29">
        <f>GEOMEAN(N22:N35)</f>
        <v>2.239302111054275</v>
      </c>
      <c r="O36" s="29"/>
    </row>
    <row r="37" spans="1:15" x14ac:dyDescent="0.2">
      <c r="B37" s="30"/>
      <c r="C37" s="30"/>
      <c r="D37" s="30"/>
      <c r="E37" s="30"/>
      <c r="F37" s="30"/>
      <c r="G37" s="30"/>
    </row>
    <row r="38" spans="1:15" x14ac:dyDescent="0.2">
      <c r="B38" s="30"/>
      <c r="C38" s="30"/>
      <c r="D38" s="30"/>
      <c r="E38" s="30"/>
      <c r="F38" s="30"/>
      <c r="G38" s="30"/>
    </row>
    <row r="42" spans="1:15" x14ac:dyDescent="0.2">
      <c r="A42" s="2" t="s">
        <v>109</v>
      </c>
      <c r="B42" s="32" t="s">
        <v>106</v>
      </c>
      <c r="C42" s="2" t="s">
        <v>126</v>
      </c>
      <c r="D42" s="2" t="s">
        <v>132</v>
      </c>
      <c r="E42" s="2" t="s">
        <v>147</v>
      </c>
      <c r="F42" s="2" t="s">
        <v>136</v>
      </c>
      <c r="G42" s="2" t="s">
        <v>146</v>
      </c>
      <c r="H42" s="2" t="s">
        <v>126</v>
      </c>
      <c r="I42" s="2" t="s">
        <v>132</v>
      </c>
      <c r="J42" s="2" t="s">
        <v>147</v>
      </c>
      <c r="K42" s="2" t="s">
        <v>136</v>
      </c>
      <c r="L42" s="2" t="s">
        <v>146</v>
      </c>
    </row>
    <row r="43" spans="1:15" x14ac:dyDescent="0.2">
      <c r="A43" s="13" t="s">
        <v>138</v>
      </c>
      <c r="B43" s="3">
        <v>623988</v>
      </c>
      <c r="C43" s="3">
        <v>631656</v>
      </c>
      <c r="D43" s="3">
        <v>679972</v>
      </c>
      <c r="E43" s="3">
        <v>632524</v>
      </c>
      <c r="F43" s="3">
        <v>680084</v>
      </c>
      <c r="G43" s="3">
        <v>632620</v>
      </c>
      <c r="H43" s="3">
        <f>(C43-$B43)/1024</f>
        <v>7.48828125</v>
      </c>
      <c r="I43" s="3">
        <f>(D43-$B43)/1024</f>
        <v>54.671875</v>
      </c>
      <c r="J43" s="3">
        <f>(E43-$B43)/1024</f>
        <v>8.3359375</v>
      </c>
      <c r="K43" s="3">
        <f>(F43-$B43)/1024</f>
        <v>54.78125</v>
      </c>
      <c r="L43" s="3">
        <f>(G43-$B43)/1024</f>
        <v>8.4296875</v>
      </c>
      <c r="M43" s="35">
        <f t="shared" ref="M43:M56" si="7">K43-L43</f>
        <v>46.3515625</v>
      </c>
    </row>
    <row r="44" spans="1:15" x14ac:dyDescent="0.2">
      <c r="A44" s="13" t="s">
        <v>139</v>
      </c>
      <c r="B44" s="3">
        <v>166548</v>
      </c>
      <c r="C44" s="3">
        <v>174952</v>
      </c>
      <c r="D44" s="3">
        <v>235356</v>
      </c>
      <c r="E44" s="3">
        <v>176120</v>
      </c>
      <c r="F44" s="3">
        <v>235524</v>
      </c>
      <c r="G44" s="3">
        <v>176192</v>
      </c>
      <c r="H44" s="3">
        <f t="shared" ref="H44:H55" si="8">(C44-$B44)/1024</f>
        <v>8.20703125</v>
      </c>
      <c r="I44" s="3">
        <f t="shared" ref="I44:I55" si="9">(D44-$B44)/1024</f>
        <v>67.1953125</v>
      </c>
      <c r="J44" s="3">
        <f t="shared" ref="J44:J55" si="10">(E44-$B44)/1024</f>
        <v>9.34765625</v>
      </c>
      <c r="K44" s="3">
        <f t="shared" ref="K44:K56" si="11">(F44-$B44)/1024</f>
        <v>67.359375</v>
      </c>
      <c r="L44" s="3">
        <f t="shared" ref="L44:L56" si="12">(G44-$B44)/1024</f>
        <v>9.41796875</v>
      </c>
      <c r="M44" s="35">
        <f t="shared" si="7"/>
        <v>57.94140625</v>
      </c>
    </row>
    <row r="45" spans="1:15" x14ac:dyDescent="0.2">
      <c r="A45" s="13" t="s">
        <v>140</v>
      </c>
      <c r="B45" s="3">
        <v>424120</v>
      </c>
      <c r="C45" s="3">
        <v>532096</v>
      </c>
      <c r="D45" s="3">
        <v>1837868</v>
      </c>
      <c r="E45" s="3">
        <v>535876</v>
      </c>
      <c r="F45" s="3">
        <v>1839932</v>
      </c>
      <c r="G45" s="3">
        <v>537444</v>
      </c>
      <c r="H45" s="3">
        <f t="shared" si="8"/>
        <v>105.4453125</v>
      </c>
      <c r="I45" s="3">
        <f t="shared" si="9"/>
        <v>1380.61328125</v>
      </c>
      <c r="J45" s="3">
        <f t="shared" si="10"/>
        <v>109.13671875</v>
      </c>
      <c r="K45" s="3">
        <f t="shared" si="11"/>
        <v>1382.62890625</v>
      </c>
      <c r="L45" s="3">
        <f t="shared" si="12"/>
        <v>110.66796875</v>
      </c>
      <c r="M45" s="35">
        <f t="shared" si="7"/>
        <v>1271.9609375</v>
      </c>
    </row>
    <row r="46" spans="1:15" x14ac:dyDescent="0.2">
      <c r="A46" s="13" t="s">
        <v>141</v>
      </c>
      <c r="B46" s="3">
        <v>420396</v>
      </c>
      <c r="C46" s="3">
        <v>427684</v>
      </c>
      <c r="D46" s="3">
        <v>472928</v>
      </c>
      <c r="E46" s="3">
        <v>428808</v>
      </c>
      <c r="F46" s="3">
        <v>473264</v>
      </c>
      <c r="G46" s="3">
        <v>428680</v>
      </c>
      <c r="H46" s="3">
        <f t="shared" si="8"/>
        <v>7.1171875</v>
      </c>
      <c r="I46" s="3">
        <f t="shared" si="9"/>
        <v>51.30078125</v>
      </c>
      <c r="J46" s="3">
        <f t="shared" si="10"/>
        <v>8.21484375</v>
      </c>
      <c r="K46" s="3">
        <f t="shared" si="11"/>
        <v>51.62890625</v>
      </c>
      <c r="L46" s="3">
        <f t="shared" si="12"/>
        <v>8.08984375</v>
      </c>
      <c r="M46" s="35">
        <f t="shared" si="7"/>
        <v>43.5390625</v>
      </c>
    </row>
    <row r="47" spans="1:15" x14ac:dyDescent="0.2">
      <c r="A47" s="13" t="s">
        <v>142</v>
      </c>
      <c r="B47" s="3">
        <v>490640</v>
      </c>
      <c r="C47" s="3">
        <v>508848</v>
      </c>
      <c r="D47" s="3">
        <v>739320</v>
      </c>
      <c r="E47" s="3">
        <v>511764</v>
      </c>
      <c r="F47" s="3">
        <v>741216</v>
      </c>
      <c r="G47" s="3">
        <v>513348</v>
      </c>
      <c r="H47" s="3">
        <f t="shared" si="8"/>
        <v>17.78125</v>
      </c>
      <c r="I47" s="3">
        <f t="shared" si="9"/>
        <v>242.8515625</v>
      </c>
      <c r="J47" s="3">
        <f t="shared" si="10"/>
        <v>20.62890625</v>
      </c>
      <c r="K47" s="3">
        <f t="shared" si="11"/>
        <v>244.703125</v>
      </c>
      <c r="L47" s="3">
        <f t="shared" si="12"/>
        <v>22.17578125</v>
      </c>
      <c r="M47" s="35">
        <f t="shared" si="7"/>
        <v>222.52734375</v>
      </c>
    </row>
    <row r="48" spans="1:15" x14ac:dyDescent="0.2">
      <c r="A48" s="13" t="s">
        <v>143</v>
      </c>
      <c r="B48" s="3">
        <v>159952</v>
      </c>
      <c r="C48" s="3">
        <v>172224</v>
      </c>
      <c r="D48" s="3">
        <v>275884</v>
      </c>
      <c r="E48" s="3">
        <v>176780</v>
      </c>
      <c r="F48" s="3">
        <v>273232</v>
      </c>
      <c r="G48" s="3">
        <v>177136</v>
      </c>
      <c r="H48" s="3">
        <f t="shared" si="8"/>
        <v>11.984375</v>
      </c>
      <c r="I48" s="3">
        <f t="shared" si="9"/>
        <v>113.21484375</v>
      </c>
      <c r="J48" s="3">
        <f t="shared" si="10"/>
        <v>16.43359375</v>
      </c>
      <c r="K48" s="3">
        <f t="shared" si="11"/>
        <v>110.625</v>
      </c>
      <c r="L48" s="3">
        <f t="shared" si="12"/>
        <v>16.78125</v>
      </c>
      <c r="M48" s="35">
        <f t="shared" si="7"/>
        <v>93.84375</v>
      </c>
    </row>
    <row r="49" spans="1:13" x14ac:dyDescent="0.2">
      <c r="A49" s="13" t="s">
        <v>144</v>
      </c>
      <c r="B49" s="3">
        <v>27644</v>
      </c>
      <c r="C49" s="3">
        <v>86128</v>
      </c>
      <c r="D49" s="3">
        <v>333520</v>
      </c>
      <c r="E49" s="3">
        <v>87252</v>
      </c>
      <c r="F49" s="3">
        <v>333976</v>
      </c>
      <c r="G49" s="3">
        <v>87420</v>
      </c>
      <c r="H49" s="3">
        <f t="shared" si="8"/>
        <v>57.11328125</v>
      </c>
      <c r="I49" s="3">
        <f t="shared" si="9"/>
        <v>298.70703125</v>
      </c>
      <c r="J49" s="3">
        <f t="shared" si="10"/>
        <v>58.2109375</v>
      </c>
      <c r="K49" s="3">
        <f t="shared" si="11"/>
        <v>299.15234375</v>
      </c>
      <c r="L49" s="3">
        <f t="shared" si="12"/>
        <v>58.375</v>
      </c>
      <c r="M49" s="35">
        <f t="shared" si="7"/>
        <v>240.77734375</v>
      </c>
    </row>
    <row r="50" spans="1:13" x14ac:dyDescent="0.2">
      <c r="A50" s="13" t="s">
        <v>145</v>
      </c>
      <c r="B50" s="3">
        <v>743004</v>
      </c>
      <c r="C50" s="3">
        <v>751400</v>
      </c>
      <c r="D50" s="3">
        <v>797204</v>
      </c>
      <c r="E50" s="3">
        <v>752772</v>
      </c>
      <c r="F50" s="3">
        <v>797372</v>
      </c>
      <c r="G50" s="3">
        <v>752864</v>
      </c>
      <c r="H50" s="3">
        <f t="shared" si="8"/>
        <v>8.19921875</v>
      </c>
      <c r="I50" s="3">
        <f t="shared" si="9"/>
        <v>52.9296875</v>
      </c>
      <c r="J50" s="3">
        <f t="shared" si="10"/>
        <v>9.5390625</v>
      </c>
      <c r="K50" s="3">
        <f t="shared" si="11"/>
        <v>53.09375</v>
      </c>
      <c r="L50" s="3">
        <f t="shared" si="12"/>
        <v>9.62890625</v>
      </c>
      <c r="M50" s="35">
        <f t="shared" si="7"/>
        <v>43.46484375</v>
      </c>
    </row>
    <row r="51" spans="1:13" x14ac:dyDescent="0.2">
      <c r="A51" s="13" t="s">
        <v>0</v>
      </c>
      <c r="B51" s="3">
        <v>4056652</v>
      </c>
      <c r="C51" s="3">
        <v>4064044</v>
      </c>
      <c r="D51" s="3">
        <v>4111984</v>
      </c>
      <c r="E51" s="3">
        <v>4064964</v>
      </c>
      <c r="F51" s="3">
        <v>4112300</v>
      </c>
      <c r="G51" s="3">
        <v>4065020</v>
      </c>
      <c r="H51" s="3">
        <f t="shared" si="8"/>
        <v>7.21875</v>
      </c>
      <c r="I51" s="3">
        <f t="shared" si="9"/>
        <v>54.03515625</v>
      </c>
      <c r="J51" s="3">
        <f t="shared" si="10"/>
        <v>8.1171875</v>
      </c>
      <c r="K51" s="3">
        <f t="shared" si="11"/>
        <v>54.34375</v>
      </c>
      <c r="L51" s="3">
        <f t="shared" si="12"/>
        <v>8.171875</v>
      </c>
      <c r="M51" s="35">
        <f t="shared" si="7"/>
        <v>46.171875</v>
      </c>
    </row>
    <row r="52" spans="1:13" x14ac:dyDescent="0.2">
      <c r="A52" s="13" t="s">
        <v>1</v>
      </c>
      <c r="B52" s="3">
        <v>3302240</v>
      </c>
      <c r="C52" s="3">
        <v>3310468</v>
      </c>
      <c r="D52" s="3">
        <v>3370548</v>
      </c>
      <c r="E52" s="3">
        <v>3312568</v>
      </c>
      <c r="F52" s="3">
        <v>3370436</v>
      </c>
      <c r="G52" s="3">
        <v>3312784</v>
      </c>
      <c r="H52" s="3">
        <f t="shared" si="8"/>
        <v>8.03515625</v>
      </c>
      <c r="I52" s="3">
        <f t="shared" si="9"/>
        <v>66.70703125</v>
      </c>
      <c r="J52" s="3">
        <f t="shared" si="10"/>
        <v>10.0859375</v>
      </c>
      <c r="K52" s="3">
        <f t="shared" si="11"/>
        <v>66.59765625</v>
      </c>
      <c r="L52" s="3">
        <f t="shared" si="12"/>
        <v>10.296875</v>
      </c>
      <c r="M52" s="35">
        <f t="shared" si="7"/>
        <v>56.30078125</v>
      </c>
    </row>
    <row r="53" spans="1:13" x14ac:dyDescent="0.2">
      <c r="A53" s="13" t="s">
        <v>2</v>
      </c>
      <c r="B53" s="3">
        <v>491012</v>
      </c>
      <c r="C53" s="3">
        <v>508752</v>
      </c>
      <c r="D53" s="3">
        <v>738776</v>
      </c>
      <c r="E53" s="3">
        <v>511668</v>
      </c>
      <c r="F53" s="3">
        <v>740612</v>
      </c>
      <c r="G53" s="3">
        <v>513236</v>
      </c>
      <c r="H53" s="3">
        <f t="shared" si="8"/>
        <v>17.32421875</v>
      </c>
      <c r="I53" s="3">
        <f t="shared" si="9"/>
        <v>241.95703125</v>
      </c>
      <c r="J53" s="3">
        <f t="shared" si="10"/>
        <v>20.171875</v>
      </c>
      <c r="K53" s="3">
        <f t="shared" si="11"/>
        <v>243.75</v>
      </c>
      <c r="L53" s="3">
        <f t="shared" si="12"/>
        <v>21.703125</v>
      </c>
      <c r="M53" s="35">
        <f t="shared" si="7"/>
        <v>222.046875</v>
      </c>
    </row>
    <row r="54" spans="1:13" x14ac:dyDescent="0.2">
      <c r="A54" s="13" t="s">
        <v>3</v>
      </c>
      <c r="B54" s="3">
        <v>160200</v>
      </c>
      <c r="C54" s="3">
        <v>172196</v>
      </c>
      <c r="D54" s="3">
        <v>275840</v>
      </c>
      <c r="E54" s="3">
        <v>176796</v>
      </c>
      <c r="F54" s="3">
        <v>273264</v>
      </c>
      <c r="G54" s="3">
        <v>177152</v>
      </c>
      <c r="H54" s="3">
        <f t="shared" si="8"/>
        <v>11.71484375</v>
      </c>
      <c r="I54" s="3">
        <f t="shared" si="9"/>
        <v>112.9296875</v>
      </c>
      <c r="J54" s="3">
        <f t="shared" si="10"/>
        <v>16.20703125</v>
      </c>
      <c r="K54" s="3">
        <f t="shared" si="11"/>
        <v>110.4140625</v>
      </c>
      <c r="L54" s="3">
        <f t="shared" si="12"/>
        <v>16.5546875</v>
      </c>
      <c r="M54" s="35">
        <f t="shared" si="7"/>
        <v>93.859375</v>
      </c>
    </row>
    <row r="55" spans="1:13" x14ac:dyDescent="0.2">
      <c r="A55" s="13" t="s">
        <v>4</v>
      </c>
      <c r="B55" s="3">
        <v>28044</v>
      </c>
      <c r="C55" s="3">
        <v>86228</v>
      </c>
      <c r="D55" s="3">
        <v>333404</v>
      </c>
      <c r="E55" s="3">
        <v>87204</v>
      </c>
      <c r="F55" s="3">
        <v>333948</v>
      </c>
      <c r="G55" s="3">
        <v>87464</v>
      </c>
      <c r="H55" s="3">
        <f t="shared" si="8"/>
        <v>56.8203125</v>
      </c>
      <c r="I55" s="3">
        <f t="shared" si="9"/>
        <v>298.203125</v>
      </c>
      <c r="J55" s="3">
        <f t="shared" si="10"/>
        <v>57.7734375</v>
      </c>
      <c r="K55" s="3">
        <f t="shared" si="11"/>
        <v>298.734375</v>
      </c>
      <c r="L55" s="3">
        <f t="shared" si="12"/>
        <v>58.02734375</v>
      </c>
      <c r="M55" s="35">
        <f t="shared" si="7"/>
        <v>240.70703125</v>
      </c>
    </row>
    <row r="56" spans="1:13" x14ac:dyDescent="0.2">
      <c r="A56" s="13" t="s">
        <v>5</v>
      </c>
      <c r="B56" s="3">
        <v>15741624</v>
      </c>
      <c r="C56" s="3">
        <v>15706200</v>
      </c>
      <c r="D56" s="3">
        <v>15779704</v>
      </c>
      <c r="E56" s="3">
        <v>15744700</v>
      </c>
      <c r="F56" s="3">
        <v>15795580</v>
      </c>
      <c r="G56" s="3">
        <v>15763444</v>
      </c>
      <c r="H56" s="3">
        <v>19</v>
      </c>
      <c r="I56" s="3">
        <f>(D56-$B56)/1024</f>
        <v>37.1875</v>
      </c>
      <c r="J56" s="3">
        <v>20</v>
      </c>
      <c r="K56" s="3">
        <f t="shared" si="11"/>
        <v>52.69140625</v>
      </c>
      <c r="L56" s="3">
        <f t="shared" si="12"/>
        <v>21.30859375</v>
      </c>
      <c r="M56" s="35">
        <f t="shared" si="7"/>
        <v>31.3828125</v>
      </c>
    </row>
    <row r="57" spans="1:13" x14ac:dyDescent="0.2">
      <c r="A57" s="1" t="s">
        <v>78</v>
      </c>
      <c r="B57" s="31"/>
      <c r="C57" s="31"/>
      <c r="D57" s="31"/>
      <c r="E57" s="31"/>
      <c r="F57" s="31"/>
      <c r="G57" s="31"/>
      <c r="H57" s="31">
        <f>GEOMEAN(H43:H56)</f>
        <v>15.763390524474127</v>
      </c>
      <c r="I57" s="31">
        <f>GEOMEAN(I43:I56)</f>
        <v>119.66995116169697</v>
      </c>
      <c r="J57" s="31">
        <f>GEOMEAN(J43:J56)</f>
        <v>18.105288259872243</v>
      </c>
      <c r="K57" s="31">
        <f>GEOMEAN(K43:K56)</f>
        <v>122.61599360895013</v>
      </c>
      <c r="L57" s="31">
        <f>GEOMEAN(L43:L56)</f>
        <v>18.513671580555755</v>
      </c>
    </row>
    <row r="58" spans="1:13" x14ac:dyDescent="0.2">
      <c r="B58" s="31"/>
      <c r="C58" s="31"/>
      <c r="D58" s="31"/>
      <c r="E58" s="31"/>
      <c r="F58" s="31"/>
      <c r="G58" s="31"/>
      <c r="H58" s="31"/>
    </row>
    <row r="59" spans="1:13" x14ac:dyDescent="0.2">
      <c r="B59" s="31"/>
      <c r="C59" s="31"/>
      <c r="D59" s="31"/>
      <c r="E59" s="31"/>
      <c r="F59" s="31"/>
      <c r="G59" s="31"/>
      <c r="H59" s="31"/>
    </row>
    <row r="61" spans="1:13" x14ac:dyDescent="0.2">
      <c r="A61" s="2" t="s">
        <v>109</v>
      </c>
      <c r="B61" s="32" t="s">
        <v>106</v>
      </c>
      <c r="C61" s="2" t="s">
        <v>126</v>
      </c>
      <c r="D61" s="2" t="s">
        <v>132</v>
      </c>
      <c r="E61" s="2" t="s">
        <v>147</v>
      </c>
      <c r="F61" s="2" t="s">
        <v>136</v>
      </c>
      <c r="G61" s="2" t="s">
        <v>146</v>
      </c>
    </row>
    <row r="62" spans="1:13" x14ac:dyDescent="0.2">
      <c r="A62" s="13" t="s">
        <v>39</v>
      </c>
      <c r="B62" s="42">
        <f t="shared" ref="B62:B73" si="13">B43/$B43</f>
        <v>1</v>
      </c>
      <c r="C62" s="42">
        <f t="shared" ref="C62:D62" si="14">C43/$B43</f>
        <v>1.0122886978595742</v>
      </c>
      <c r="D62" s="42">
        <f t="shared" si="14"/>
        <v>1.0897196740962967</v>
      </c>
      <c r="E62" s="42">
        <f t="shared" ref="E62:G75" si="15">E43/$B43</f>
        <v>1.0136797502516075</v>
      </c>
      <c r="F62" s="42">
        <f t="shared" ref="F62:F75" si="16">F43/$B43</f>
        <v>1.0898991647275269</v>
      </c>
      <c r="G62" s="42">
        <f t="shared" si="15"/>
        <v>1.0138335993640903</v>
      </c>
    </row>
    <row r="63" spans="1:13" x14ac:dyDescent="0.2">
      <c r="A63" s="13" t="s">
        <v>6</v>
      </c>
      <c r="B63" s="42">
        <f t="shared" si="13"/>
        <v>1</v>
      </c>
      <c r="C63" s="42">
        <f t="shared" ref="C63:D63" si="17">C44/$B44</f>
        <v>1.0504599274683575</v>
      </c>
      <c r="D63" s="42">
        <f t="shared" si="17"/>
        <v>1.4131421572159377</v>
      </c>
      <c r="E63" s="42">
        <f t="shared" si="15"/>
        <v>1.0574729207195523</v>
      </c>
      <c r="F63" s="42">
        <f t="shared" si="16"/>
        <v>1.4141508754233014</v>
      </c>
      <c r="G63" s="42">
        <f t="shared" si="15"/>
        <v>1.0579052285227082</v>
      </c>
    </row>
    <row r="64" spans="1:13" x14ac:dyDescent="0.2">
      <c r="A64" s="13" t="s">
        <v>7</v>
      </c>
      <c r="B64" s="42">
        <f t="shared" si="13"/>
        <v>1</v>
      </c>
      <c r="C64" s="42">
        <f t="shared" ref="C64:D64" si="18">C45/$B45</f>
        <v>1.2545883240592286</v>
      </c>
      <c r="D64" s="42">
        <f t="shared" si="18"/>
        <v>4.3333679147411113</v>
      </c>
      <c r="E64" s="42">
        <f t="shared" si="15"/>
        <v>1.2635008959728378</v>
      </c>
      <c r="F64" s="42">
        <f t="shared" si="16"/>
        <v>4.3382344619447331</v>
      </c>
      <c r="G64" s="42">
        <f t="shared" si="15"/>
        <v>1.2671979628407055</v>
      </c>
    </row>
    <row r="65" spans="1:7" x14ac:dyDescent="0.2">
      <c r="A65" s="13" t="s">
        <v>42</v>
      </c>
      <c r="B65" s="42">
        <f t="shared" si="13"/>
        <v>1</v>
      </c>
      <c r="C65" s="42">
        <f t="shared" ref="C65:D65" si="19">C46/$B46</f>
        <v>1.0173360355474361</v>
      </c>
      <c r="D65" s="42">
        <f t="shared" si="19"/>
        <v>1.1249583725820418</v>
      </c>
      <c r="E65" s="42">
        <f t="shared" si="15"/>
        <v>1.0200097051351582</v>
      </c>
      <c r="F65" s="42">
        <f t="shared" si="16"/>
        <v>1.1257576190068412</v>
      </c>
      <c r="G65" s="42">
        <f t="shared" si="15"/>
        <v>1.0197052303066632</v>
      </c>
    </row>
    <row r="66" spans="1:7" x14ac:dyDescent="0.2">
      <c r="A66" s="13" t="s">
        <v>41</v>
      </c>
      <c r="B66" s="42">
        <f t="shared" si="13"/>
        <v>1</v>
      </c>
      <c r="C66" s="42">
        <f t="shared" ref="C66:D66" si="20">C47/$B47</f>
        <v>1.0371107125387249</v>
      </c>
      <c r="D66" s="42">
        <f t="shared" si="20"/>
        <v>1.5068481982716453</v>
      </c>
      <c r="E66" s="42">
        <f t="shared" si="15"/>
        <v>1.0430539703244741</v>
      </c>
      <c r="F66" s="42">
        <f t="shared" si="16"/>
        <v>1.5107125387249307</v>
      </c>
      <c r="G66" s="42">
        <f t="shared" si="15"/>
        <v>1.0462824066525354</v>
      </c>
    </row>
    <row r="67" spans="1:7" x14ac:dyDescent="0.2">
      <c r="A67" s="13" t="s">
        <v>43</v>
      </c>
      <c r="B67" s="42">
        <f t="shared" si="13"/>
        <v>1</v>
      </c>
      <c r="C67" s="42">
        <f t="shared" ref="C67:D67" si="21">C48/$B48</f>
        <v>1.0767230169050714</v>
      </c>
      <c r="D67" s="42">
        <f t="shared" si="21"/>
        <v>1.7247924377313193</v>
      </c>
      <c r="E67" s="42">
        <f t="shared" si="15"/>
        <v>1.1052065619685907</v>
      </c>
      <c r="F67" s="42">
        <f t="shared" si="16"/>
        <v>1.7082124637391218</v>
      </c>
      <c r="G67" s="42">
        <f t="shared" si="15"/>
        <v>1.1074322296689008</v>
      </c>
    </row>
    <row r="68" spans="1:7" x14ac:dyDescent="0.2">
      <c r="A68" s="13" t="s">
        <v>45</v>
      </c>
      <c r="B68" s="42">
        <f t="shared" si="13"/>
        <v>1</v>
      </c>
      <c r="C68" s="42">
        <f t="shared" ref="C68:D68" si="22">C49/$B49</f>
        <v>3.1156127912024307</v>
      </c>
      <c r="D68" s="42">
        <f t="shared" si="22"/>
        <v>12.064824193315005</v>
      </c>
      <c r="E68" s="42">
        <f t="shared" si="15"/>
        <v>3.1562726088843873</v>
      </c>
      <c r="F68" s="42">
        <f t="shared" si="16"/>
        <v>12.081319635363913</v>
      </c>
      <c r="G68" s="42">
        <f t="shared" si="15"/>
        <v>3.162349877007669</v>
      </c>
    </row>
    <row r="69" spans="1:7" x14ac:dyDescent="0.2">
      <c r="A69" s="13" t="s">
        <v>47</v>
      </c>
      <c r="B69" s="42">
        <f t="shared" si="13"/>
        <v>1</v>
      </c>
      <c r="C69" s="42">
        <f t="shared" ref="C69:D69" si="23">C50/$B50</f>
        <v>1.01130007375465</v>
      </c>
      <c r="D69" s="42">
        <f t="shared" si="23"/>
        <v>1.0729471173775647</v>
      </c>
      <c r="E69" s="42">
        <f t="shared" si="15"/>
        <v>1.0131466317812556</v>
      </c>
      <c r="F69" s="42">
        <f t="shared" si="16"/>
        <v>1.0731732265236795</v>
      </c>
      <c r="G69" s="42">
        <f t="shared" si="15"/>
        <v>1.0132704534565089</v>
      </c>
    </row>
    <row r="70" spans="1:7" x14ac:dyDescent="0.2">
      <c r="A70" s="13" t="s">
        <v>11</v>
      </c>
      <c r="B70" s="42">
        <f t="shared" si="13"/>
        <v>1</v>
      </c>
      <c r="C70" s="42">
        <f t="shared" ref="C70:D70" si="24">C51/$B51</f>
        <v>1.0018221922905883</v>
      </c>
      <c r="D70" s="42">
        <f t="shared" si="24"/>
        <v>1.0136398192401024</v>
      </c>
      <c r="E70" s="42">
        <f t="shared" si="15"/>
        <v>1.0020489802921226</v>
      </c>
      <c r="F70" s="42">
        <f t="shared" si="16"/>
        <v>1.0137177159884556</v>
      </c>
      <c r="G70" s="42">
        <f t="shared" si="15"/>
        <v>1.0020627847791725</v>
      </c>
    </row>
    <row r="71" spans="1:7" x14ac:dyDescent="0.2">
      <c r="A71" s="13" t="s">
        <v>13</v>
      </c>
      <c r="B71" s="42">
        <f t="shared" si="13"/>
        <v>1</v>
      </c>
      <c r="C71" s="42">
        <f t="shared" ref="C71:D71" si="25">C52/$B52</f>
        <v>1.0024916420369203</v>
      </c>
      <c r="D71" s="42">
        <f t="shared" si="25"/>
        <v>1.0206853529725277</v>
      </c>
      <c r="E71" s="42">
        <f t="shared" si="15"/>
        <v>1.0031275740103687</v>
      </c>
      <c r="F71" s="42">
        <f t="shared" si="16"/>
        <v>1.0206514366006105</v>
      </c>
      <c r="G71" s="42">
        <f t="shared" si="15"/>
        <v>1.0031929841562091</v>
      </c>
    </row>
    <row r="72" spans="1:7" x14ac:dyDescent="0.2">
      <c r="A72" s="13" t="s">
        <v>15</v>
      </c>
      <c r="B72" s="42">
        <f t="shared" si="13"/>
        <v>1</v>
      </c>
      <c r="C72" s="42">
        <f t="shared" ref="C72:D72" si="26">C53/$B53</f>
        <v>1.0361294632310412</v>
      </c>
      <c r="D72" s="42">
        <f t="shared" si="26"/>
        <v>1.5045986656130603</v>
      </c>
      <c r="E72" s="42">
        <f t="shared" si="15"/>
        <v>1.0420682182920173</v>
      </c>
      <c r="F72" s="42">
        <f t="shared" si="16"/>
        <v>1.5083378817625639</v>
      </c>
      <c r="G72" s="42">
        <f t="shared" si="15"/>
        <v>1.0452616229338592</v>
      </c>
    </row>
    <row r="73" spans="1:7" x14ac:dyDescent="0.2">
      <c r="A73" s="13" t="s">
        <v>16</v>
      </c>
      <c r="B73" s="42">
        <f t="shared" si="13"/>
        <v>1</v>
      </c>
      <c r="C73" s="42">
        <f t="shared" ref="C73:D73" si="27">C54/$B54</f>
        <v>1.0748813982521848</v>
      </c>
      <c r="D73" s="42">
        <f t="shared" si="27"/>
        <v>1.7218476903870161</v>
      </c>
      <c r="E73" s="42">
        <f t="shared" si="15"/>
        <v>1.1035955056179776</v>
      </c>
      <c r="F73" s="42">
        <f t="shared" si="16"/>
        <v>1.7057677902621722</v>
      </c>
      <c r="G73" s="42">
        <f t="shared" si="15"/>
        <v>1.1058177278401997</v>
      </c>
    </row>
    <row r="74" spans="1:7" x14ac:dyDescent="0.2">
      <c r="A74" s="13" t="s">
        <v>19</v>
      </c>
      <c r="B74" s="42">
        <f t="shared" ref="B74" si="28">B55/$B55</f>
        <v>1</v>
      </c>
      <c r="C74" s="42">
        <f t="shared" ref="C74:D74" si="29">C55/$B55</f>
        <v>3.0747396947653689</v>
      </c>
      <c r="D74" s="42">
        <f t="shared" si="29"/>
        <v>11.888603622878334</v>
      </c>
      <c r="E74" s="42">
        <f t="shared" si="15"/>
        <v>3.1095421480530594</v>
      </c>
      <c r="F74" s="42">
        <f t="shared" si="16"/>
        <v>11.908001711596063</v>
      </c>
      <c r="G74" s="42">
        <f t="shared" si="15"/>
        <v>3.1188132933960917</v>
      </c>
    </row>
    <row r="75" spans="1:7" x14ac:dyDescent="0.2">
      <c r="A75" s="13" t="s">
        <v>21</v>
      </c>
      <c r="B75" s="42">
        <f t="shared" ref="B75" si="30">B56/$B56</f>
        <v>1</v>
      </c>
      <c r="C75" s="42">
        <f t="shared" ref="C75:D75" si="31">C56/$B56</f>
        <v>0.99774966039082114</v>
      </c>
      <c r="D75" s="42">
        <f t="shared" si="31"/>
        <v>1.0024190642591895</v>
      </c>
      <c r="E75" s="42">
        <f t="shared" si="15"/>
        <v>1.0001954055058107</v>
      </c>
      <c r="F75" s="42">
        <f t="shared" si="16"/>
        <v>1.0034276006084251</v>
      </c>
      <c r="G75" s="42">
        <f t="shared" si="15"/>
        <v>1.001386133984651</v>
      </c>
    </row>
    <row r="76" spans="1:7" x14ac:dyDescent="0.2">
      <c r="A76" s="2" t="s">
        <v>105</v>
      </c>
      <c r="B76" s="42">
        <f>GEOMEAN(B62:B75)</f>
        <v>1</v>
      </c>
      <c r="C76" s="42">
        <f t="shared" ref="C76:D76" si="32">GEOMEAN(C62:C75)</f>
        <v>1.2210921406382136</v>
      </c>
      <c r="D76" s="42">
        <f t="shared" si="32"/>
        <v>1.9013094932587031</v>
      </c>
      <c r="E76" s="42">
        <f>GEOMEAN(E62:E75)</f>
        <v>1.2308110528355438</v>
      </c>
      <c r="F76" s="42">
        <f>GEOMEAN(F62:F75)</f>
        <v>1.9003548568054989</v>
      </c>
      <c r="G76" s="42">
        <f>GEOMEAN(G62:G75)</f>
        <v>1.2325397047224376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A4696-2C82-B041-BC40-27ED715ED08E}">
  <dimension ref="A1:M61"/>
  <sheetViews>
    <sheetView zoomScale="70" zoomScaleNormal="70" workbookViewId="0">
      <selection activeCell="G2" sqref="G2:G13"/>
    </sheetView>
  </sheetViews>
  <sheetFormatPr baseColWidth="10" defaultRowHeight="18" x14ac:dyDescent="0.2"/>
  <cols>
    <col min="1" max="1" width="27.83203125" style="1" customWidth="1"/>
    <col min="2" max="3" width="15.33203125" style="1" bestFit="1" customWidth="1"/>
    <col min="4" max="4" width="25.6640625" style="1" bestFit="1" customWidth="1"/>
    <col min="5" max="5" width="35.1640625" style="1" bestFit="1" customWidth="1"/>
    <col min="6" max="6" width="20.6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35.1640625" style="1" bestFit="1" customWidth="1"/>
    <col min="11" max="11" width="20.6640625" style="1" bestFit="1" customWidth="1"/>
    <col min="12" max="12" width="32.83203125" style="1" bestFit="1" customWidth="1"/>
    <col min="13" max="16384" width="10.83203125" style="1"/>
  </cols>
  <sheetData>
    <row r="1" spans="1:13" x14ac:dyDescent="0.2">
      <c r="A1" s="2" t="s">
        <v>125</v>
      </c>
      <c r="B1" s="2" t="s">
        <v>106</v>
      </c>
      <c r="C1" s="2" t="s">
        <v>126</v>
      </c>
      <c r="D1" s="2" t="s">
        <v>132</v>
      </c>
      <c r="E1" s="2" t="s">
        <v>133</v>
      </c>
      <c r="F1" s="2" t="s">
        <v>136</v>
      </c>
      <c r="G1" s="2" t="s">
        <v>137</v>
      </c>
    </row>
    <row r="2" spans="1:13" x14ac:dyDescent="0.2">
      <c r="A2" s="2" t="s">
        <v>87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  <c r="I2" s="3"/>
      <c r="J2" s="3"/>
      <c r="K2" s="3"/>
      <c r="L2" s="3"/>
      <c r="M2" s="3"/>
    </row>
    <row r="3" spans="1:13" x14ac:dyDescent="0.2">
      <c r="A3" s="2" t="s">
        <v>88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  <c r="I3" s="3"/>
      <c r="J3" s="3"/>
      <c r="K3" s="3"/>
      <c r="L3" s="3"/>
    </row>
    <row r="4" spans="1:13" x14ac:dyDescent="0.2">
      <c r="A4" s="2" t="s">
        <v>89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  <c r="I4" s="3"/>
      <c r="J4" s="3"/>
      <c r="K4" s="3"/>
      <c r="L4" s="3"/>
    </row>
    <row r="5" spans="1:13" x14ac:dyDescent="0.2">
      <c r="A5" s="2" t="s">
        <v>90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  <c r="I5" s="3"/>
      <c r="J5" s="3"/>
      <c r="K5" s="3"/>
      <c r="L5" s="3"/>
    </row>
    <row r="6" spans="1:13" x14ac:dyDescent="0.2">
      <c r="A6" s="2" t="s">
        <v>91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  <c r="I6" s="3"/>
      <c r="J6" s="3"/>
      <c r="K6" s="3"/>
      <c r="L6" s="3"/>
    </row>
    <row r="7" spans="1:13" x14ac:dyDescent="0.2">
      <c r="A7" s="2" t="s">
        <v>92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  <c r="I7" s="3"/>
      <c r="J7" s="3"/>
      <c r="K7" s="3"/>
      <c r="L7" s="3"/>
    </row>
    <row r="8" spans="1:13" x14ac:dyDescent="0.2">
      <c r="A8" s="2" t="s">
        <v>93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  <c r="I8" s="3"/>
      <c r="J8" s="3"/>
      <c r="K8" s="3"/>
      <c r="L8" s="3"/>
    </row>
    <row r="9" spans="1:13" x14ac:dyDescent="0.2">
      <c r="A9" s="2" t="s">
        <v>94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  <c r="I9" s="3"/>
      <c r="J9" s="3"/>
      <c r="K9" s="3"/>
      <c r="L9" s="3"/>
    </row>
    <row r="10" spans="1:13" x14ac:dyDescent="0.2">
      <c r="A10" s="2" t="s">
        <v>95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  <c r="I10" s="3"/>
      <c r="J10" s="3"/>
      <c r="K10" s="3"/>
      <c r="L10" s="3"/>
    </row>
    <row r="11" spans="1:13" x14ac:dyDescent="0.2">
      <c r="A11" s="2" t="s">
        <v>96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  <c r="I11" s="3"/>
      <c r="J11" s="3"/>
      <c r="K11" s="3"/>
      <c r="L11" s="3"/>
    </row>
    <row r="12" spans="1:13" x14ac:dyDescent="0.2">
      <c r="A12" s="2" t="s">
        <v>97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  <c r="I12" s="3"/>
      <c r="J12" s="3"/>
      <c r="K12" s="3"/>
      <c r="L12" s="3"/>
    </row>
    <row r="13" spans="1:13" x14ac:dyDescent="0.2">
      <c r="A13" s="2" t="s">
        <v>98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  <c r="I13" s="3"/>
      <c r="J13" s="3"/>
      <c r="K13" s="3"/>
      <c r="L13" s="3"/>
    </row>
    <row r="16" spans="1:13" x14ac:dyDescent="0.2">
      <c r="A16" s="2" t="s">
        <v>108</v>
      </c>
      <c r="B16" s="2" t="s">
        <v>106</v>
      </c>
      <c r="C16" s="2" t="s">
        <v>126</v>
      </c>
      <c r="D16" s="2" t="s">
        <v>132</v>
      </c>
      <c r="E16" s="2" t="s">
        <v>147</v>
      </c>
      <c r="F16" s="2" t="s">
        <v>136</v>
      </c>
      <c r="G16" s="2" t="s">
        <v>146</v>
      </c>
    </row>
    <row r="17" spans="1:13" x14ac:dyDescent="0.2">
      <c r="A17" s="2" t="s">
        <v>113</v>
      </c>
      <c r="B17" s="29">
        <f>B2/$B2</f>
        <v>1</v>
      </c>
      <c r="C17" s="29">
        <f t="shared" ref="C17:E17" si="0">C2/$B2</f>
        <v>1.1153846153846154</v>
      </c>
      <c r="D17" s="29">
        <f>D2/$B2</f>
        <v>14.76923076923077</v>
      </c>
      <c r="E17" s="29">
        <f t="shared" si="0"/>
        <v>14.23076923076923</v>
      </c>
      <c r="F17" s="29">
        <f t="shared" ref="F17:G28" si="1">F2/$B2</f>
        <v>20.846153846153847</v>
      </c>
      <c r="G17" s="29">
        <f t="shared" si="1"/>
        <v>17.73076923076923</v>
      </c>
      <c r="I17" s="30"/>
      <c r="J17" s="30">
        <v>110745362652</v>
      </c>
      <c r="K17" s="30"/>
      <c r="L17" s="30"/>
      <c r="M17" s="30"/>
    </row>
    <row r="18" spans="1:13" x14ac:dyDescent="0.2">
      <c r="A18" s="2" t="s">
        <v>114</v>
      </c>
      <c r="B18" s="29">
        <f t="shared" ref="B18:E28" si="2">B3/$B3</f>
        <v>1</v>
      </c>
      <c r="C18" s="29">
        <f t="shared" si="2"/>
        <v>1.4090909090909092</v>
      </c>
      <c r="D18" s="29">
        <f t="shared" si="2"/>
        <v>3.3636363636363638</v>
      </c>
      <c r="E18" s="29">
        <f t="shared" si="2"/>
        <v>3.0909090909090908</v>
      </c>
      <c r="F18" s="29">
        <f t="shared" si="1"/>
        <v>4.5</v>
      </c>
      <c r="G18" s="29">
        <f t="shared" si="1"/>
        <v>3.9545454545454546</v>
      </c>
      <c r="I18" s="30"/>
      <c r="J18" s="30">
        <v>166250210566</v>
      </c>
      <c r="K18" s="30"/>
      <c r="L18" s="30"/>
      <c r="M18" s="30"/>
    </row>
    <row r="19" spans="1:13" x14ac:dyDescent="0.2">
      <c r="A19" s="2" t="s">
        <v>115</v>
      </c>
      <c r="B19" s="29">
        <f t="shared" si="2"/>
        <v>1</v>
      </c>
      <c r="C19" s="29">
        <f t="shared" si="2"/>
        <v>1.5463379521324456</v>
      </c>
      <c r="D19" s="29">
        <f t="shared" si="2"/>
        <v>7.2513946373942773</v>
      </c>
      <c r="E19" s="29">
        <f t="shared" si="2"/>
        <v>6.1943494691380243</v>
      </c>
      <c r="F19" s="29">
        <f t="shared" si="1"/>
        <v>10.853158178873493</v>
      </c>
      <c r="G19" s="29">
        <f t="shared" si="1"/>
        <v>9.534640993341732</v>
      </c>
      <c r="I19" s="30"/>
      <c r="J19" s="30"/>
      <c r="K19" s="30"/>
      <c r="L19" s="30"/>
      <c r="M19" s="30"/>
    </row>
    <row r="20" spans="1:13" x14ac:dyDescent="0.2">
      <c r="A20" s="2" t="s">
        <v>116</v>
      </c>
      <c r="B20" s="29">
        <f t="shared" si="2"/>
        <v>1</v>
      </c>
      <c r="C20" s="29">
        <f t="shared" si="2"/>
        <v>1.2727272727272727</v>
      </c>
      <c r="D20" s="29">
        <f t="shared" si="2"/>
        <v>2.3409090909090908</v>
      </c>
      <c r="E20" s="29">
        <f t="shared" si="2"/>
        <v>2.1363636363636362</v>
      </c>
      <c r="F20" s="29">
        <f t="shared" si="1"/>
        <v>3.1363636363636362</v>
      </c>
      <c r="G20" s="29">
        <f t="shared" si="1"/>
        <v>2.7954545454545454</v>
      </c>
      <c r="I20" s="30"/>
      <c r="J20" s="30"/>
      <c r="K20" s="30"/>
      <c r="L20" s="30"/>
      <c r="M20" s="30"/>
    </row>
    <row r="21" spans="1:13" x14ac:dyDescent="0.2">
      <c r="A21" s="2" t="s">
        <v>117</v>
      </c>
      <c r="B21" s="29">
        <f t="shared" si="2"/>
        <v>1</v>
      </c>
      <c r="C21" s="29">
        <f t="shared" si="2"/>
        <v>1.0331428571428571</v>
      </c>
      <c r="D21" s="29">
        <f t="shared" si="2"/>
        <v>6.5039999999999996</v>
      </c>
      <c r="E21" s="29">
        <f t="shared" si="2"/>
        <v>5.7344761904761903</v>
      </c>
      <c r="F21" s="29">
        <f t="shared" si="1"/>
        <v>9.0712380952380958</v>
      </c>
      <c r="G21" s="29">
        <f t="shared" si="1"/>
        <v>6.8994285714285715</v>
      </c>
      <c r="I21" s="30"/>
      <c r="J21" s="30"/>
      <c r="K21" s="30"/>
      <c r="L21" s="30"/>
      <c r="M21" s="30"/>
    </row>
    <row r="22" spans="1:13" x14ac:dyDescent="0.2">
      <c r="A22" s="2" t="s">
        <v>118</v>
      </c>
      <c r="B22" s="29">
        <f t="shared" si="2"/>
        <v>1</v>
      </c>
      <c r="C22" s="29">
        <f t="shared" si="2"/>
        <v>1.0388098318240622</v>
      </c>
      <c r="D22" s="29">
        <f t="shared" si="2"/>
        <v>5.0623544631306601</v>
      </c>
      <c r="E22" s="29">
        <f t="shared" si="2"/>
        <v>4.5068564036222512</v>
      </c>
      <c r="F22" s="29">
        <f t="shared" si="1"/>
        <v>6.6631306597671411</v>
      </c>
      <c r="G22" s="29">
        <f t="shared" si="1"/>
        <v>5.0401034928848638</v>
      </c>
      <c r="I22" s="30"/>
      <c r="J22" s="30"/>
      <c r="K22" s="30"/>
      <c r="L22" s="30"/>
      <c r="M22" s="30"/>
    </row>
    <row r="23" spans="1:13" x14ac:dyDescent="0.2">
      <c r="A23" s="2" t="s">
        <v>119</v>
      </c>
      <c r="B23" s="29">
        <f t="shared" si="2"/>
        <v>1</v>
      </c>
      <c r="C23" s="29">
        <f t="shared" si="2"/>
        <v>1.0334821428571428</v>
      </c>
      <c r="D23" s="29">
        <f t="shared" si="2"/>
        <v>1.0758928571428572</v>
      </c>
      <c r="E23" s="29">
        <f t="shared" si="2"/>
        <v>1.0714285714285714</v>
      </c>
      <c r="F23" s="29">
        <f t="shared" si="1"/>
        <v>1.1551339285714286</v>
      </c>
      <c r="G23" s="29">
        <f t="shared" si="1"/>
        <v>1.1238839285714286</v>
      </c>
      <c r="I23" s="30"/>
      <c r="J23" s="30"/>
      <c r="K23" s="30"/>
      <c r="L23" s="30"/>
      <c r="M23" s="30"/>
    </row>
    <row r="24" spans="1:13" x14ac:dyDescent="0.2">
      <c r="A24" s="2" t="s">
        <v>120</v>
      </c>
      <c r="B24" s="29">
        <f t="shared" si="2"/>
        <v>1</v>
      </c>
      <c r="C24" s="29">
        <f t="shared" si="2"/>
        <v>1.0154091392136027</v>
      </c>
      <c r="D24" s="29">
        <f t="shared" si="2"/>
        <v>1.0162061636556854</v>
      </c>
      <c r="E24" s="29">
        <f t="shared" si="2"/>
        <v>1.0185972369819341</v>
      </c>
      <c r="F24" s="29">
        <f t="shared" si="1"/>
        <v>1.0209883103081827</v>
      </c>
      <c r="G24" s="29">
        <f t="shared" si="1"/>
        <v>0.99123273113708821</v>
      </c>
      <c r="I24" s="30"/>
      <c r="J24" s="30"/>
      <c r="K24" s="30"/>
      <c r="L24" s="30"/>
      <c r="M24" s="30"/>
    </row>
    <row r="25" spans="1:13" x14ac:dyDescent="0.2">
      <c r="A25" s="2" t="s">
        <v>121</v>
      </c>
      <c r="B25" s="29">
        <f t="shared" si="2"/>
        <v>1</v>
      </c>
      <c r="C25" s="29">
        <f t="shared" si="2"/>
        <v>1.3225806451612903</v>
      </c>
      <c r="D25" s="29">
        <f t="shared" si="2"/>
        <v>14</v>
      </c>
      <c r="E25" s="29">
        <f t="shared" si="2"/>
        <v>12.096774193548388</v>
      </c>
      <c r="F25" s="29">
        <f t="shared" si="1"/>
        <v>21.516129032258064</v>
      </c>
      <c r="G25" s="29">
        <f t="shared" si="1"/>
        <v>16.903225806451612</v>
      </c>
      <c r="I25" s="30"/>
      <c r="J25" s="30"/>
      <c r="K25" s="30"/>
      <c r="L25" s="30"/>
      <c r="M25" s="30"/>
    </row>
    <row r="26" spans="1:13" x14ac:dyDescent="0.2">
      <c r="A26" s="2" t="s">
        <v>122</v>
      </c>
      <c r="B26" s="29">
        <f t="shared" si="2"/>
        <v>1</v>
      </c>
      <c r="C26" s="29">
        <f t="shared" si="2"/>
        <v>1.0147523709167545</v>
      </c>
      <c r="D26" s="29">
        <f t="shared" si="2"/>
        <v>4.7692307692307692</v>
      </c>
      <c r="E26" s="29">
        <f t="shared" si="2"/>
        <v>4.3076923076923075</v>
      </c>
      <c r="F26" s="29">
        <f t="shared" si="1"/>
        <v>6.3308746048472075</v>
      </c>
      <c r="G26" s="29">
        <f t="shared" si="1"/>
        <v>5.8177028451001052</v>
      </c>
      <c r="I26" s="30"/>
      <c r="J26" s="30"/>
      <c r="K26" s="30"/>
      <c r="L26" s="30"/>
      <c r="M26" s="30"/>
    </row>
    <row r="27" spans="1:13" x14ac:dyDescent="0.2">
      <c r="A27" s="2" t="s">
        <v>123</v>
      </c>
      <c r="B27" s="29">
        <f t="shared" si="2"/>
        <v>1</v>
      </c>
      <c r="C27" s="29">
        <f t="shared" si="2"/>
        <v>1.097457627118644</v>
      </c>
      <c r="D27" s="29">
        <f t="shared" si="2"/>
        <v>4.6207627118644066</v>
      </c>
      <c r="E27" s="29">
        <f t="shared" si="2"/>
        <v>4.1716101694915251</v>
      </c>
      <c r="F27" s="29">
        <f t="shared" si="1"/>
        <v>6.1652542372881358</v>
      </c>
      <c r="G27" s="29">
        <f t="shared" si="1"/>
        <v>4.9110169491525424</v>
      </c>
      <c r="I27" s="30"/>
      <c r="J27" s="30"/>
      <c r="K27" s="30"/>
      <c r="L27" s="30"/>
      <c r="M27" s="30"/>
    </row>
    <row r="28" spans="1:13" x14ac:dyDescent="0.2">
      <c r="A28" s="2" t="s">
        <v>124</v>
      </c>
      <c r="B28" s="29">
        <f t="shared" si="2"/>
        <v>1</v>
      </c>
      <c r="C28" s="29">
        <f t="shared" si="2"/>
        <v>1.4259259259259258</v>
      </c>
      <c r="D28" s="29">
        <f t="shared" si="2"/>
        <v>6.4814814814814818</v>
      </c>
      <c r="E28" s="29">
        <f t="shared" si="2"/>
        <v>5.7777777777777777</v>
      </c>
      <c r="F28" s="29">
        <f t="shared" si="1"/>
        <v>9.3148148148148149</v>
      </c>
      <c r="G28" s="29">
        <f t="shared" si="1"/>
        <v>7.5185185185185182</v>
      </c>
      <c r="I28" s="30"/>
      <c r="J28" s="30"/>
      <c r="K28" s="30"/>
      <c r="L28" s="30"/>
      <c r="M28" s="30"/>
    </row>
    <row r="29" spans="1:13" x14ac:dyDescent="0.2">
      <c r="A29" s="2" t="s">
        <v>105</v>
      </c>
      <c r="B29" s="29">
        <f>GEOMEAN(B17:B28)</f>
        <v>1</v>
      </c>
      <c r="C29" s="29">
        <f t="shared" ref="C29:E29" si="3">GEOMEAN(C17:C28)</f>
        <v>1.1803910434964764</v>
      </c>
      <c r="D29" s="29">
        <f t="shared" si="3"/>
        <v>4.4524778925966091</v>
      </c>
      <c r="E29" s="29">
        <f t="shared" si="3"/>
        <v>4.0693476148817931</v>
      </c>
      <c r="F29" s="29">
        <f>GEOMEAN(F17:F28)</f>
        <v>5.9003939039676796</v>
      </c>
      <c r="G29" s="29">
        <f>GEOMEAN(G17:G28)</f>
        <v>5.0309069677068088</v>
      </c>
      <c r="H29" s="1">
        <f>E29/G29</f>
        <v>0.80886958176781509</v>
      </c>
    </row>
    <row r="33" spans="1:13" x14ac:dyDescent="0.2">
      <c r="A33" s="2" t="s">
        <v>109</v>
      </c>
      <c r="B33" s="32" t="s">
        <v>106</v>
      </c>
      <c r="C33" s="32" t="s">
        <v>126</v>
      </c>
      <c r="D33" s="2" t="s">
        <v>132</v>
      </c>
      <c r="E33" s="2" t="s">
        <v>147</v>
      </c>
      <c r="F33" s="2" t="s">
        <v>136</v>
      </c>
      <c r="G33" s="2" t="s">
        <v>146</v>
      </c>
      <c r="H33" s="2" t="s">
        <v>126</v>
      </c>
      <c r="I33" s="2" t="s">
        <v>132</v>
      </c>
      <c r="J33" s="2" t="s">
        <v>147</v>
      </c>
      <c r="K33" s="2" t="s">
        <v>136</v>
      </c>
      <c r="L33" s="2" t="s">
        <v>146</v>
      </c>
    </row>
    <row r="34" spans="1:13" x14ac:dyDescent="0.2">
      <c r="A34" s="2" t="s">
        <v>113</v>
      </c>
      <c r="B34" s="3">
        <v>5360</v>
      </c>
      <c r="C34" s="3">
        <v>13144</v>
      </c>
      <c r="D34" s="3">
        <v>62824</v>
      </c>
      <c r="E34" s="3">
        <v>63072</v>
      </c>
      <c r="F34" s="3">
        <v>13904</v>
      </c>
      <c r="G34" s="3">
        <v>13916</v>
      </c>
      <c r="H34" s="36">
        <f>(C34-$B34)/1024</f>
        <v>7.6015625</v>
      </c>
      <c r="I34" s="36">
        <f>(D34-$B34)/1024</f>
        <v>56.1171875</v>
      </c>
      <c r="J34" s="36">
        <f>(E34-$B34)/1024</f>
        <v>56.359375</v>
      </c>
      <c r="K34" s="36">
        <f>(F34-$B34)/1024</f>
        <v>8.34375</v>
      </c>
      <c r="L34" s="36">
        <f>(G34-$B34)/1024</f>
        <v>8.35546875</v>
      </c>
      <c r="M34" s="35">
        <f>J34-L34</f>
        <v>48.00390625</v>
      </c>
    </row>
    <row r="35" spans="1:13" x14ac:dyDescent="0.2">
      <c r="A35" s="2" t="s">
        <v>114</v>
      </c>
      <c r="B35" s="3">
        <v>41536</v>
      </c>
      <c r="C35" s="3">
        <v>50052</v>
      </c>
      <c r="D35" s="3">
        <v>108036</v>
      </c>
      <c r="E35" s="3">
        <v>108204</v>
      </c>
      <c r="F35" s="3">
        <v>51204</v>
      </c>
      <c r="G35" s="3">
        <v>51220</v>
      </c>
      <c r="H35" s="36">
        <f t="shared" ref="H35:H45" si="4">(C35-$B35)/1024</f>
        <v>8.31640625</v>
      </c>
      <c r="I35" s="36">
        <f t="shared" ref="I35:I45" si="5">(D35-$B35)/1024</f>
        <v>64.94140625</v>
      </c>
      <c r="J35" s="36">
        <f t="shared" ref="J35:J45" si="6">(E35-$B35)/1024</f>
        <v>65.10546875</v>
      </c>
      <c r="K35" s="36">
        <f t="shared" ref="K35:K45" si="7">(F35-$B35)/1024</f>
        <v>9.44140625</v>
      </c>
      <c r="L35" s="36">
        <f t="shared" ref="L35:L45" si="8">(G35-$B35)/1024</f>
        <v>9.45703125</v>
      </c>
      <c r="M35" s="35">
        <f t="shared" ref="M35:M45" si="9">J35-L35</f>
        <v>55.6484375</v>
      </c>
    </row>
    <row r="36" spans="1:13" x14ac:dyDescent="0.2">
      <c r="A36" s="2" t="s">
        <v>115</v>
      </c>
      <c r="B36" s="3">
        <v>12587144</v>
      </c>
      <c r="C36" s="3">
        <v>12594744</v>
      </c>
      <c r="D36" s="3">
        <v>12641892</v>
      </c>
      <c r="E36" s="3">
        <v>12641952</v>
      </c>
      <c r="F36" s="3">
        <v>12595580</v>
      </c>
      <c r="G36" s="3">
        <v>12595564</v>
      </c>
      <c r="H36" s="36">
        <f t="shared" si="4"/>
        <v>7.421875</v>
      </c>
      <c r="I36" s="36">
        <f t="shared" si="5"/>
        <v>53.46484375</v>
      </c>
      <c r="J36" s="36">
        <f t="shared" si="6"/>
        <v>53.5234375</v>
      </c>
      <c r="K36" s="36">
        <f t="shared" si="7"/>
        <v>8.23828125</v>
      </c>
      <c r="L36" s="36">
        <f t="shared" si="8"/>
        <v>8.22265625</v>
      </c>
      <c r="M36" s="35">
        <f t="shared" si="9"/>
        <v>45.30078125</v>
      </c>
    </row>
    <row r="37" spans="1:13" x14ac:dyDescent="0.2">
      <c r="A37" s="2" t="s">
        <v>116</v>
      </c>
      <c r="B37" s="3">
        <v>26204</v>
      </c>
      <c r="C37" s="3">
        <v>34308</v>
      </c>
      <c r="D37" s="3">
        <v>90500</v>
      </c>
      <c r="E37" s="3">
        <v>90780</v>
      </c>
      <c r="F37" s="3">
        <v>35160</v>
      </c>
      <c r="G37" s="3">
        <v>35204</v>
      </c>
      <c r="H37" s="36">
        <f t="shared" si="4"/>
        <v>7.9140625</v>
      </c>
      <c r="I37" s="36">
        <f t="shared" si="5"/>
        <v>62.7890625</v>
      </c>
      <c r="J37" s="36">
        <f t="shared" si="6"/>
        <v>63.0625</v>
      </c>
      <c r="K37" s="36">
        <f t="shared" si="7"/>
        <v>8.74609375</v>
      </c>
      <c r="L37" s="36">
        <f t="shared" si="8"/>
        <v>8.7890625</v>
      </c>
      <c r="M37" s="35">
        <f t="shared" si="9"/>
        <v>54.2734375</v>
      </c>
    </row>
    <row r="38" spans="1:13" x14ac:dyDescent="0.2">
      <c r="A38" s="2" t="s">
        <v>117</v>
      </c>
      <c r="B38" s="3">
        <v>133964</v>
      </c>
      <c r="C38" s="3">
        <v>141596</v>
      </c>
      <c r="D38" s="3">
        <v>189824</v>
      </c>
      <c r="E38" s="3">
        <v>190160</v>
      </c>
      <c r="F38" s="3">
        <v>142304</v>
      </c>
      <c r="G38" s="3">
        <v>142360</v>
      </c>
      <c r="H38" s="36">
        <f t="shared" si="4"/>
        <v>7.453125</v>
      </c>
      <c r="I38" s="36">
        <f t="shared" si="5"/>
        <v>54.55078125</v>
      </c>
      <c r="J38" s="36">
        <f t="shared" si="6"/>
        <v>54.87890625</v>
      </c>
      <c r="K38" s="36">
        <f t="shared" si="7"/>
        <v>8.14453125</v>
      </c>
      <c r="L38" s="36">
        <f t="shared" si="8"/>
        <v>8.19921875</v>
      </c>
      <c r="M38" s="35">
        <f t="shared" si="9"/>
        <v>46.6796875</v>
      </c>
    </row>
    <row r="39" spans="1:13" x14ac:dyDescent="0.2">
      <c r="A39" s="2" t="s">
        <v>118</v>
      </c>
      <c r="B39" s="3">
        <v>133440</v>
      </c>
      <c r="C39" s="3">
        <v>141076</v>
      </c>
      <c r="D39" s="3">
        <v>189404</v>
      </c>
      <c r="E39" s="3">
        <v>189292</v>
      </c>
      <c r="F39" s="3">
        <v>141808</v>
      </c>
      <c r="G39" s="3">
        <v>141944</v>
      </c>
      <c r="H39" s="36">
        <f t="shared" si="4"/>
        <v>7.45703125</v>
      </c>
      <c r="I39" s="36">
        <f t="shared" si="5"/>
        <v>54.65234375</v>
      </c>
      <c r="J39" s="36">
        <f t="shared" si="6"/>
        <v>54.54296875</v>
      </c>
      <c r="K39" s="36">
        <f t="shared" si="7"/>
        <v>8.171875</v>
      </c>
      <c r="L39" s="36">
        <f t="shared" si="8"/>
        <v>8.3046875</v>
      </c>
      <c r="M39" s="35">
        <f t="shared" si="9"/>
        <v>46.23828125</v>
      </c>
    </row>
    <row r="40" spans="1:13" x14ac:dyDescent="0.2">
      <c r="A40" s="2" t="s">
        <v>119</v>
      </c>
      <c r="B40" s="3">
        <v>3629736</v>
      </c>
      <c r="C40" s="3">
        <v>3638004</v>
      </c>
      <c r="D40" s="3">
        <v>3689212</v>
      </c>
      <c r="E40" s="3">
        <v>3689200</v>
      </c>
      <c r="F40" s="3">
        <v>3639052</v>
      </c>
      <c r="G40" s="3">
        <v>3639068</v>
      </c>
      <c r="H40" s="36">
        <f t="shared" si="4"/>
        <v>8.07421875</v>
      </c>
      <c r="I40" s="36">
        <f t="shared" si="5"/>
        <v>58.08203125</v>
      </c>
      <c r="J40" s="36">
        <f t="shared" si="6"/>
        <v>58.0703125</v>
      </c>
      <c r="K40" s="36">
        <f t="shared" si="7"/>
        <v>9.09765625</v>
      </c>
      <c r="L40" s="36">
        <f t="shared" si="8"/>
        <v>9.11328125</v>
      </c>
      <c r="M40" s="35">
        <f t="shared" si="9"/>
        <v>48.95703125</v>
      </c>
    </row>
    <row r="41" spans="1:13" x14ac:dyDescent="0.2">
      <c r="A41" s="2" t="s">
        <v>120</v>
      </c>
      <c r="B41" s="3">
        <v>4092668</v>
      </c>
      <c r="C41" s="3">
        <v>4100588</v>
      </c>
      <c r="D41" s="3">
        <v>4150416</v>
      </c>
      <c r="E41" s="3">
        <v>4150508</v>
      </c>
      <c r="F41" s="3">
        <v>4101716</v>
      </c>
      <c r="G41" s="3">
        <v>4101748</v>
      </c>
      <c r="H41" s="36">
        <f t="shared" si="4"/>
        <v>7.734375</v>
      </c>
      <c r="I41" s="36">
        <f t="shared" si="5"/>
        <v>56.39453125</v>
      </c>
      <c r="J41" s="36">
        <f t="shared" si="6"/>
        <v>56.484375</v>
      </c>
      <c r="K41" s="36">
        <f t="shared" si="7"/>
        <v>8.8359375</v>
      </c>
      <c r="L41" s="36">
        <f t="shared" si="8"/>
        <v>8.8671875</v>
      </c>
      <c r="M41" s="35">
        <f t="shared" si="9"/>
        <v>47.6171875</v>
      </c>
    </row>
    <row r="42" spans="1:13" x14ac:dyDescent="0.2">
      <c r="A42" s="2" t="s">
        <v>121</v>
      </c>
      <c r="B42" s="3">
        <v>219128</v>
      </c>
      <c r="C42" s="3">
        <v>227168</v>
      </c>
      <c r="D42" s="3">
        <v>530128</v>
      </c>
      <c r="E42" s="3">
        <v>530852</v>
      </c>
      <c r="F42" s="3">
        <v>228484</v>
      </c>
      <c r="G42" s="3">
        <v>228536</v>
      </c>
      <c r="H42" s="36">
        <f t="shared" si="4"/>
        <v>7.8515625</v>
      </c>
      <c r="I42" s="36">
        <f t="shared" si="5"/>
        <v>303.7109375</v>
      </c>
      <c r="J42" s="36">
        <f t="shared" si="6"/>
        <v>304.41796875</v>
      </c>
      <c r="K42" s="36">
        <f t="shared" si="7"/>
        <v>9.13671875</v>
      </c>
      <c r="L42" s="36">
        <f t="shared" si="8"/>
        <v>9.1875</v>
      </c>
      <c r="M42" s="35">
        <f t="shared" si="9"/>
        <v>295.23046875</v>
      </c>
    </row>
    <row r="43" spans="1:13" x14ac:dyDescent="0.2">
      <c r="A43" s="2" t="s">
        <v>122</v>
      </c>
      <c r="B43" s="3">
        <v>1440684</v>
      </c>
      <c r="C43" s="3">
        <v>1448396</v>
      </c>
      <c r="D43" s="3">
        <v>1494912</v>
      </c>
      <c r="E43" s="3">
        <v>1495092</v>
      </c>
      <c r="F43" s="3">
        <v>1449048</v>
      </c>
      <c r="G43" s="3">
        <v>1449148</v>
      </c>
      <c r="H43" s="36">
        <f t="shared" si="4"/>
        <v>7.53125</v>
      </c>
      <c r="I43" s="36">
        <f t="shared" si="5"/>
        <v>52.95703125</v>
      </c>
      <c r="J43" s="36">
        <f t="shared" si="6"/>
        <v>53.1328125</v>
      </c>
      <c r="K43" s="36">
        <f t="shared" si="7"/>
        <v>8.16796875</v>
      </c>
      <c r="L43" s="36">
        <f t="shared" si="8"/>
        <v>8.265625</v>
      </c>
      <c r="M43" s="35">
        <f t="shared" si="9"/>
        <v>44.8671875</v>
      </c>
    </row>
    <row r="44" spans="1:13" x14ac:dyDescent="0.2">
      <c r="A44" s="2" t="s">
        <v>123</v>
      </c>
      <c r="B44" s="3">
        <v>6708</v>
      </c>
      <c r="C44" s="3">
        <v>14652</v>
      </c>
      <c r="D44" s="3">
        <v>65744</v>
      </c>
      <c r="E44" s="3">
        <v>65864</v>
      </c>
      <c r="F44" s="3">
        <v>15340</v>
      </c>
      <c r="G44" s="3">
        <v>15520</v>
      </c>
      <c r="H44" s="36">
        <f t="shared" si="4"/>
        <v>7.7578125</v>
      </c>
      <c r="I44" s="36">
        <f t="shared" si="5"/>
        <v>57.65234375</v>
      </c>
      <c r="J44" s="36">
        <f t="shared" si="6"/>
        <v>57.76953125</v>
      </c>
      <c r="K44" s="36">
        <f t="shared" si="7"/>
        <v>8.4296875</v>
      </c>
      <c r="L44" s="36">
        <f t="shared" si="8"/>
        <v>8.60546875</v>
      </c>
      <c r="M44" s="35">
        <f t="shared" si="9"/>
        <v>49.1640625</v>
      </c>
    </row>
    <row r="45" spans="1:13" x14ac:dyDescent="0.2">
      <c r="A45" s="2" t="s">
        <v>124</v>
      </c>
      <c r="B45" s="3">
        <v>5508</v>
      </c>
      <c r="C45" s="3">
        <v>13740</v>
      </c>
      <c r="D45" s="3">
        <v>65380</v>
      </c>
      <c r="E45" s="3">
        <v>65616</v>
      </c>
      <c r="F45" s="3">
        <v>14548</v>
      </c>
      <c r="G45" s="3">
        <v>14544</v>
      </c>
      <c r="H45" s="36">
        <f t="shared" si="4"/>
        <v>8.0390625</v>
      </c>
      <c r="I45" s="36">
        <f t="shared" si="5"/>
        <v>58.46875</v>
      </c>
      <c r="J45" s="36">
        <f t="shared" si="6"/>
        <v>58.69921875</v>
      </c>
      <c r="K45" s="36">
        <f t="shared" si="7"/>
        <v>8.828125</v>
      </c>
      <c r="L45" s="36">
        <f t="shared" si="8"/>
        <v>8.82421875</v>
      </c>
      <c r="M45" s="35">
        <f t="shared" si="9"/>
        <v>49.875</v>
      </c>
    </row>
    <row r="46" spans="1:13" x14ac:dyDescent="0.2">
      <c r="A46" s="1" t="s">
        <v>78</v>
      </c>
      <c r="H46" s="38">
        <f>GEOMEAN(H34:H45)</f>
        <v>7.7579290223578559</v>
      </c>
      <c r="I46" s="38">
        <f t="shared" ref="I46:L46" si="10">GEOMEAN(I34:I45)</f>
        <v>65.707549857590024</v>
      </c>
      <c r="J46" s="38">
        <f t="shared" si="10"/>
        <v>65.867950232364592</v>
      </c>
      <c r="K46" s="38">
        <f t="shared" si="10"/>
        <v>8.6215148237372947</v>
      </c>
      <c r="L46" s="38">
        <f t="shared" si="10"/>
        <v>8.6732137773689146</v>
      </c>
    </row>
    <row r="48" spans="1:13" x14ac:dyDescent="0.2">
      <c r="A48" s="2" t="s">
        <v>109</v>
      </c>
      <c r="B48" s="32" t="s">
        <v>106</v>
      </c>
      <c r="C48" s="32" t="s">
        <v>126</v>
      </c>
      <c r="D48" s="2" t="s">
        <v>132</v>
      </c>
      <c r="E48" s="2" t="s">
        <v>147</v>
      </c>
      <c r="F48" s="2" t="s">
        <v>136</v>
      </c>
      <c r="G48" s="2" t="s">
        <v>146</v>
      </c>
    </row>
    <row r="49" spans="1:7" x14ac:dyDescent="0.2">
      <c r="A49" s="2" t="s">
        <v>113</v>
      </c>
      <c r="B49" s="42">
        <f t="shared" ref="B49:G60" si="11">B34/$B34</f>
        <v>1</v>
      </c>
      <c r="C49" s="42">
        <f t="shared" si="11"/>
        <v>2.4522388059701492</v>
      </c>
      <c r="D49" s="42">
        <f t="shared" si="11"/>
        <v>11.72089552238806</v>
      </c>
      <c r="E49" s="42">
        <f t="shared" si="11"/>
        <v>11.767164179104478</v>
      </c>
      <c r="F49" s="42">
        <f t="shared" si="11"/>
        <v>2.5940298507462685</v>
      </c>
      <c r="G49" s="42">
        <f t="shared" si="11"/>
        <v>2.5962686567164179</v>
      </c>
    </row>
    <row r="50" spans="1:7" x14ac:dyDescent="0.2">
      <c r="A50" s="2" t="s">
        <v>114</v>
      </c>
      <c r="B50" s="42">
        <f t="shared" si="11"/>
        <v>1</v>
      </c>
      <c r="C50" s="42">
        <f t="shared" si="11"/>
        <v>1.2050269645608629</v>
      </c>
      <c r="D50" s="42">
        <f t="shared" si="11"/>
        <v>2.6010208012326657</v>
      </c>
      <c r="E50" s="42">
        <f t="shared" si="11"/>
        <v>2.6050654853620956</v>
      </c>
      <c r="F50" s="42">
        <f t="shared" si="11"/>
        <v>1.2327619414483821</v>
      </c>
      <c r="G50" s="42">
        <f t="shared" si="11"/>
        <v>1.2331471494607087</v>
      </c>
    </row>
    <row r="51" spans="1:7" x14ac:dyDescent="0.2">
      <c r="A51" s="2" t="s">
        <v>115</v>
      </c>
      <c r="B51" s="42">
        <f t="shared" si="11"/>
        <v>1</v>
      </c>
      <c r="C51" s="42">
        <f t="shared" si="11"/>
        <v>1.0006037906613288</v>
      </c>
      <c r="D51" s="42">
        <f t="shared" si="11"/>
        <v>1.0043495172534771</v>
      </c>
      <c r="E51" s="42">
        <f t="shared" si="11"/>
        <v>1.004354284021856</v>
      </c>
      <c r="F51" s="42">
        <f t="shared" si="11"/>
        <v>1.000670207634075</v>
      </c>
      <c r="G51" s="42">
        <f t="shared" si="11"/>
        <v>1.0006689364958405</v>
      </c>
    </row>
    <row r="52" spans="1:7" x14ac:dyDescent="0.2">
      <c r="A52" s="2" t="s">
        <v>116</v>
      </c>
      <c r="B52" s="42">
        <f t="shared" si="11"/>
        <v>1</v>
      </c>
      <c r="C52" s="42">
        <f t="shared" si="11"/>
        <v>1.3092657609525262</v>
      </c>
      <c r="D52" s="42">
        <f t="shared" si="11"/>
        <v>3.4536711952373684</v>
      </c>
      <c r="E52" s="42">
        <f t="shared" si="11"/>
        <v>3.4643565867806441</v>
      </c>
      <c r="F52" s="42">
        <f t="shared" si="11"/>
        <v>1.3417798809342085</v>
      </c>
      <c r="G52" s="42">
        <f t="shared" si="11"/>
        <v>1.343459013891009</v>
      </c>
    </row>
    <row r="53" spans="1:7" x14ac:dyDescent="0.2">
      <c r="A53" s="2" t="s">
        <v>117</v>
      </c>
      <c r="B53" s="42">
        <f t="shared" si="11"/>
        <v>1</v>
      </c>
      <c r="C53" s="42">
        <f t="shared" si="11"/>
        <v>1.056970529395957</v>
      </c>
      <c r="D53" s="42">
        <f t="shared" si="11"/>
        <v>1.4169776955002837</v>
      </c>
      <c r="E53" s="42">
        <f t="shared" si="11"/>
        <v>1.4194858320145711</v>
      </c>
      <c r="F53" s="42">
        <f t="shared" si="11"/>
        <v>1.062255531336777</v>
      </c>
      <c r="G53" s="42">
        <f t="shared" si="11"/>
        <v>1.0626735540891583</v>
      </c>
    </row>
    <row r="54" spans="1:7" x14ac:dyDescent="0.2">
      <c r="A54" s="2" t="s">
        <v>118</v>
      </c>
      <c r="B54" s="42">
        <f t="shared" si="11"/>
        <v>1</v>
      </c>
      <c r="C54" s="42">
        <f t="shared" si="11"/>
        <v>1.0572242206235012</v>
      </c>
      <c r="D54" s="42">
        <f t="shared" si="11"/>
        <v>1.41939448441247</v>
      </c>
      <c r="E54" s="42">
        <f t="shared" si="11"/>
        <v>1.4185551558752998</v>
      </c>
      <c r="F54" s="42">
        <f t="shared" si="11"/>
        <v>1.0627098321342925</v>
      </c>
      <c r="G54" s="42">
        <f t="shared" si="11"/>
        <v>1.0637290167865707</v>
      </c>
    </row>
    <row r="55" spans="1:7" x14ac:dyDescent="0.2">
      <c r="A55" s="2" t="s">
        <v>119</v>
      </c>
      <c r="B55" s="42">
        <f t="shared" si="11"/>
        <v>1</v>
      </c>
      <c r="C55" s="42">
        <f t="shared" si="11"/>
        <v>1.0022778516123487</v>
      </c>
      <c r="D55" s="42">
        <f t="shared" si="11"/>
        <v>1.0163857646947325</v>
      </c>
      <c r="E55" s="42">
        <f t="shared" si="11"/>
        <v>1.0163824586691705</v>
      </c>
      <c r="F55" s="42">
        <f t="shared" si="11"/>
        <v>1.0025665778447799</v>
      </c>
      <c r="G55" s="42">
        <f t="shared" si="11"/>
        <v>1.0025709858788627</v>
      </c>
    </row>
    <row r="56" spans="1:7" x14ac:dyDescent="0.2">
      <c r="A56" s="2" t="s">
        <v>120</v>
      </c>
      <c r="B56" s="42">
        <f t="shared" si="11"/>
        <v>1</v>
      </c>
      <c r="C56" s="42">
        <f t="shared" si="11"/>
        <v>1.0019351679637831</v>
      </c>
      <c r="D56" s="42">
        <f t="shared" si="11"/>
        <v>1.0141101110571393</v>
      </c>
      <c r="E56" s="42">
        <f t="shared" si="11"/>
        <v>1.014132590280961</v>
      </c>
      <c r="F56" s="42">
        <f t="shared" si="11"/>
        <v>1.0022107827949884</v>
      </c>
      <c r="G56" s="42">
        <f t="shared" si="11"/>
        <v>1.0022186016554482</v>
      </c>
    </row>
    <row r="57" spans="1:7" x14ac:dyDescent="0.2">
      <c r="A57" s="2" t="s">
        <v>121</v>
      </c>
      <c r="B57" s="42">
        <f t="shared" si="11"/>
        <v>1</v>
      </c>
      <c r="C57" s="42">
        <f t="shared" si="11"/>
        <v>1.0366908838669635</v>
      </c>
      <c r="D57" s="42">
        <f t="shared" si="11"/>
        <v>2.4192618013216021</v>
      </c>
      <c r="E57" s="42">
        <f t="shared" si="11"/>
        <v>2.4225658062867366</v>
      </c>
      <c r="F57" s="42">
        <f t="shared" si="11"/>
        <v>1.0426965061516555</v>
      </c>
      <c r="G57" s="42">
        <f t="shared" si="11"/>
        <v>1.0429338103756709</v>
      </c>
    </row>
    <row r="58" spans="1:7" x14ac:dyDescent="0.2">
      <c r="A58" s="2" t="s">
        <v>122</v>
      </c>
      <c r="B58" s="42">
        <f t="shared" si="11"/>
        <v>1</v>
      </c>
      <c r="C58" s="42">
        <f t="shared" si="11"/>
        <v>1.0053530128744401</v>
      </c>
      <c r="D58" s="42">
        <f t="shared" si="11"/>
        <v>1.0376404541176274</v>
      </c>
      <c r="E58" s="42">
        <f t="shared" si="11"/>
        <v>1.0377653947708172</v>
      </c>
      <c r="F58" s="42">
        <f t="shared" si="11"/>
        <v>1.0058055756848829</v>
      </c>
      <c r="G58" s="42">
        <f t="shared" si="11"/>
        <v>1.0058749871588772</v>
      </c>
    </row>
    <row r="59" spans="1:7" x14ac:dyDescent="0.2">
      <c r="A59" s="2" t="s">
        <v>123</v>
      </c>
      <c r="B59" s="42">
        <f t="shared" si="11"/>
        <v>1</v>
      </c>
      <c r="C59" s="42">
        <f t="shared" si="11"/>
        <v>2.184257602862254</v>
      </c>
      <c r="D59" s="42">
        <f t="shared" si="11"/>
        <v>9.8008348240906376</v>
      </c>
      <c r="E59" s="42">
        <f t="shared" si="11"/>
        <v>9.818723911747167</v>
      </c>
      <c r="F59" s="42">
        <f t="shared" si="11"/>
        <v>2.2868217054263567</v>
      </c>
      <c r="G59" s="42">
        <f t="shared" si="11"/>
        <v>2.3136553369111508</v>
      </c>
    </row>
    <row r="60" spans="1:7" x14ac:dyDescent="0.2">
      <c r="A60" s="2" t="s">
        <v>124</v>
      </c>
      <c r="B60" s="42">
        <f t="shared" si="11"/>
        <v>1</v>
      </c>
      <c r="C60" s="42">
        <f t="shared" si="11"/>
        <v>2.494553376906318</v>
      </c>
      <c r="D60" s="42">
        <f t="shared" si="11"/>
        <v>11.870007262164124</v>
      </c>
      <c r="E60" s="42">
        <f t="shared" si="11"/>
        <v>11.912854030501089</v>
      </c>
      <c r="F60" s="42">
        <f t="shared" si="11"/>
        <v>2.6412490922294842</v>
      </c>
      <c r="G60" s="42">
        <f t="shared" si="11"/>
        <v>2.6405228758169934</v>
      </c>
    </row>
    <row r="61" spans="1:7" x14ac:dyDescent="0.2">
      <c r="A61" s="2" t="s">
        <v>105</v>
      </c>
      <c r="B61" s="42">
        <f>GEOMEAN(B49:B60)</f>
        <v>1</v>
      </c>
      <c r="C61" s="42">
        <f t="shared" ref="C61:E61" si="12">GEOMEAN(C49:C60)</f>
        <v>1.3062139315258672</v>
      </c>
      <c r="D61" s="42">
        <f t="shared" si="12"/>
        <v>2.5149364170687911</v>
      </c>
      <c r="E61" s="42">
        <f t="shared" si="12"/>
        <v>2.5184378277716348</v>
      </c>
      <c r="F61" s="42">
        <f>GEOMEAN(F49:F60)</f>
        <v>1.3307751141660851</v>
      </c>
      <c r="G61" s="42">
        <f>GEOMEAN(G49:G60)</f>
        <v>1.3324924789728769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672B7-3141-764F-8839-FE1737BC8DEB}">
  <dimension ref="A1:G29"/>
  <sheetViews>
    <sheetView workbookViewId="0">
      <selection activeCell="I22" sqref="I22"/>
    </sheetView>
  </sheetViews>
  <sheetFormatPr baseColWidth="10" defaultColWidth="11.1640625" defaultRowHeight="16" x14ac:dyDescent="0.2"/>
  <cols>
    <col min="1" max="1" width="24.33203125" bestFit="1" customWidth="1"/>
    <col min="2" max="2" width="8.33203125" bestFit="1" customWidth="1"/>
    <col min="3" max="3" width="12.1640625" bestFit="1" customWidth="1"/>
    <col min="4" max="4" width="20.6640625" bestFit="1" customWidth="1"/>
    <col min="5" max="5" width="31.5" bestFit="1" customWidth="1"/>
    <col min="6" max="6" width="25.6640625" bestFit="1" customWidth="1"/>
    <col min="7" max="7" width="36.5" bestFit="1" customWidth="1"/>
  </cols>
  <sheetData>
    <row r="1" spans="1:7" ht="18" x14ac:dyDescent="0.2">
      <c r="A1" s="2" t="s">
        <v>125</v>
      </c>
      <c r="B1" s="2" t="s">
        <v>106</v>
      </c>
      <c r="C1" s="2" t="s">
        <v>126</v>
      </c>
      <c r="D1" s="2" t="s">
        <v>132</v>
      </c>
      <c r="E1" s="2" t="s">
        <v>133</v>
      </c>
      <c r="F1" s="2" t="s">
        <v>136</v>
      </c>
      <c r="G1" s="2" t="s">
        <v>137</v>
      </c>
    </row>
    <row r="2" spans="1:7" ht="18" x14ac:dyDescent="0.2">
      <c r="A2" s="2" t="s">
        <v>87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</row>
    <row r="3" spans="1:7" ht="18" x14ac:dyDescent="0.2">
      <c r="A3" s="2" t="s">
        <v>88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</row>
    <row r="4" spans="1:7" ht="18" x14ac:dyDescent="0.2">
      <c r="A4" s="2" t="s">
        <v>89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</row>
    <row r="5" spans="1:7" ht="18" x14ac:dyDescent="0.2">
      <c r="A5" s="2" t="s">
        <v>90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</row>
    <row r="6" spans="1:7" ht="18" x14ac:dyDescent="0.2">
      <c r="A6" s="2" t="s">
        <v>91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</row>
    <row r="7" spans="1:7" ht="18" x14ac:dyDescent="0.2">
      <c r="A7" s="2" t="s">
        <v>92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</row>
    <row r="8" spans="1:7" ht="18" x14ac:dyDescent="0.2">
      <c r="A8" s="2" t="s">
        <v>93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</row>
    <row r="9" spans="1:7" ht="18" x14ac:dyDescent="0.2">
      <c r="A9" s="2" t="s">
        <v>94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</row>
    <row r="10" spans="1:7" ht="18" x14ac:dyDescent="0.2">
      <c r="A10" s="2" t="s">
        <v>95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</row>
    <row r="11" spans="1:7" ht="18" x14ac:dyDescent="0.2">
      <c r="A11" s="2" t="s">
        <v>96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</row>
    <row r="12" spans="1:7" ht="18" x14ac:dyDescent="0.2">
      <c r="A12" s="2" t="s">
        <v>97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</row>
    <row r="13" spans="1:7" ht="18" x14ac:dyDescent="0.2">
      <c r="A13" s="2" t="s">
        <v>98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</row>
    <row r="14" spans="1:7" ht="18" x14ac:dyDescent="0.2">
      <c r="A14" s="1"/>
      <c r="B14" s="1"/>
      <c r="C14" s="1"/>
      <c r="D14" s="1"/>
      <c r="E14" s="1"/>
      <c r="F14" s="1"/>
      <c r="G14" s="1"/>
    </row>
    <row r="15" spans="1:7" ht="18" x14ac:dyDescent="0.2">
      <c r="A15" s="1"/>
      <c r="B15" s="1"/>
      <c r="C15" s="1"/>
      <c r="D15" s="1"/>
      <c r="E15" s="1"/>
      <c r="F15" s="1"/>
      <c r="G15" s="1"/>
    </row>
    <row r="16" spans="1:7" ht="18" x14ac:dyDescent="0.2">
      <c r="A16" s="2" t="s">
        <v>108</v>
      </c>
      <c r="B16" s="2" t="s">
        <v>106</v>
      </c>
      <c r="C16" s="2" t="s">
        <v>126</v>
      </c>
      <c r="D16" s="2" t="s">
        <v>132</v>
      </c>
      <c r="E16" s="2" t="s">
        <v>147</v>
      </c>
      <c r="F16" s="2" t="s">
        <v>136</v>
      </c>
      <c r="G16" s="2" t="s">
        <v>146</v>
      </c>
    </row>
    <row r="17" spans="1:7" ht="18" x14ac:dyDescent="0.2">
      <c r="A17" s="2" t="s">
        <v>113</v>
      </c>
      <c r="B17" s="29">
        <f>B2/$B2</f>
        <v>1</v>
      </c>
      <c r="C17" s="29">
        <f t="shared" ref="C17:G28" si="0">C2/$B2</f>
        <v>1.1153846153846154</v>
      </c>
      <c r="D17" s="29">
        <f>D2/$B2</f>
        <v>14.76923076923077</v>
      </c>
      <c r="E17" s="29">
        <f t="shared" si="0"/>
        <v>14.23076923076923</v>
      </c>
      <c r="F17" s="29">
        <f t="shared" si="0"/>
        <v>20.846153846153847</v>
      </c>
      <c r="G17" s="29">
        <f t="shared" si="0"/>
        <v>17.73076923076923</v>
      </c>
    </row>
    <row r="18" spans="1:7" ht="18" x14ac:dyDescent="0.2">
      <c r="A18" s="2" t="s">
        <v>114</v>
      </c>
      <c r="B18" s="29">
        <f t="shared" ref="B18:E28" si="1">B3/$B3</f>
        <v>1</v>
      </c>
      <c r="C18" s="29">
        <f t="shared" si="1"/>
        <v>1.4090909090909092</v>
      </c>
      <c r="D18" s="29">
        <f t="shared" si="1"/>
        <v>3.3636363636363638</v>
      </c>
      <c r="E18" s="29">
        <f t="shared" si="1"/>
        <v>3.0909090909090908</v>
      </c>
      <c r="F18" s="29">
        <f t="shared" si="0"/>
        <v>4.5</v>
      </c>
      <c r="G18" s="29">
        <f t="shared" si="0"/>
        <v>3.9545454545454546</v>
      </c>
    </row>
    <row r="19" spans="1:7" ht="18" x14ac:dyDescent="0.2">
      <c r="A19" s="2" t="s">
        <v>115</v>
      </c>
      <c r="B19" s="29">
        <f t="shared" si="1"/>
        <v>1</v>
      </c>
      <c r="C19" s="29">
        <f t="shared" si="1"/>
        <v>1.5463379521324456</v>
      </c>
      <c r="D19" s="29">
        <f t="shared" si="1"/>
        <v>7.2513946373942773</v>
      </c>
      <c r="E19" s="29">
        <f t="shared" si="1"/>
        <v>6.1943494691380243</v>
      </c>
      <c r="F19" s="29">
        <f t="shared" si="0"/>
        <v>10.853158178873493</v>
      </c>
      <c r="G19" s="29">
        <f t="shared" si="0"/>
        <v>9.534640993341732</v>
      </c>
    </row>
    <row r="20" spans="1:7" ht="18" x14ac:dyDescent="0.2">
      <c r="A20" s="2" t="s">
        <v>116</v>
      </c>
      <c r="B20" s="29">
        <f t="shared" si="1"/>
        <v>1</v>
      </c>
      <c r="C20" s="29">
        <f t="shared" si="1"/>
        <v>1.2727272727272727</v>
      </c>
      <c r="D20" s="29">
        <f t="shared" si="1"/>
        <v>2.3409090909090908</v>
      </c>
      <c r="E20" s="29">
        <f t="shared" si="1"/>
        <v>2.1363636363636362</v>
      </c>
      <c r="F20" s="29">
        <f t="shared" si="0"/>
        <v>3.1363636363636362</v>
      </c>
      <c r="G20" s="29">
        <f t="shared" si="0"/>
        <v>2.7954545454545454</v>
      </c>
    </row>
    <row r="21" spans="1:7" ht="18" x14ac:dyDescent="0.2">
      <c r="A21" s="2" t="s">
        <v>117</v>
      </c>
      <c r="B21" s="29">
        <f t="shared" si="1"/>
        <v>1</v>
      </c>
      <c r="C21" s="29">
        <f t="shared" si="1"/>
        <v>1.0331428571428571</v>
      </c>
      <c r="D21" s="29">
        <f t="shared" si="1"/>
        <v>6.5039999999999996</v>
      </c>
      <c r="E21" s="29">
        <f t="shared" si="1"/>
        <v>5.7344761904761903</v>
      </c>
      <c r="F21" s="29">
        <f t="shared" si="0"/>
        <v>9.0712380952380958</v>
      </c>
      <c r="G21" s="29">
        <f t="shared" si="0"/>
        <v>6.8994285714285715</v>
      </c>
    </row>
    <row r="22" spans="1:7" ht="18" x14ac:dyDescent="0.2">
      <c r="A22" s="2" t="s">
        <v>118</v>
      </c>
      <c r="B22" s="29">
        <f t="shared" si="1"/>
        <v>1</v>
      </c>
      <c r="C22" s="29">
        <f t="shared" si="1"/>
        <v>1.0388098318240622</v>
      </c>
      <c r="D22" s="29">
        <f t="shared" si="1"/>
        <v>5.0623544631306601</v>
      </c>
      <c r="E22" s="29">
        <f t="shared" si="1"/>
        <v>4.5068564036222512</v>
      </c>
      <c r="F22" s="29">
        <f t="shared" si="0"/>
        <v>6.6631306597671411</v>
      </c>
      <c r="G22" s="29">
        <f t="shared" si="0"/>
        <v>5.0401034928848638</v>
      </c>
    </row>
    <row r="23" spans="1:7" ht="18" x14ac:dyDescent="0.2">
      <c r="A23" s="2" t="s">
        <v>119</v>
      </c>
      <c r="B23" s="29">
        <f t="shared" si="1"/>
        <v>1</v>
      </c>
      <c r="C23" s="29">
        <f t="shared" si="1"/>
        <v>1.0334821428571428</v>
      </c>
      <c r="D23" s="29">
        <f t="shared" si="1"/>
        <v>1.0758928571428572</v>
      </c>
      <c r="E23" s="29">
        <f t="shared" si="1"/>
        <v>1.0714285714285714</v>
      </c>
      <c r="F23" s="29">
        <f t="shared" si="0"/>
        <v>1.1551339285714286</v>
      </c>
      <c r="G23" s="29">
        <f t="shared" si="0"/>
        <v>1.1238839285714286</v>
      </c>
    </row>
    <row r="24" spans="1:7" ht="18" x14ac:dyDescent="0.2">
      <c r="A24" s="2" t="s">
        <v>120</v>
      </c>
      <c r="B24" s="29">
        <f t="shared" si="1"/>
        <v>1</v>
      </c>
      <c r="C24" s="29">
        <f t="shared" si="1"/>
        <v>1.0154091392136027</v>
      </c>
      <c r="D24" s="29">
        <f t="shared" si="1"/>
        <v>1.0162061636556854</v>
      </c>
      <c r="E24" s="29">
        <f t="shared" si="1"/>
        <v>1.0185972369819341</v>
      </c>
      <c r="F24" s="29">
        <f t="shared" si="0"/>
        <v>1.0209883103081827</v>
      </c>
      <c r="G24" s="29">
        <f t="shared" si="0"/>
        <v>0.99123273113708821</v>
      </c>
    </row>
    <row r="25" spans="1:7" ht="18" x14ac:dyDescent="0.2">
      <c r="A25" s="2" t="s">
        <v>121</v>
      </c>
      <c r="B25" s="29">
        <f t="shared" si="1"/>
        <v>1</v>
      </c>
      <c r="C25" s="29">
        <f t="shared" si="1"/>
        <v>1.3225806451612903</v>
      </c>
      <c r="D25" s="29">
        <f t="shared" si="1"/>
        <v>14</v>
      </c>
      <c r="E25" s="29">
        <f t="shared" si="1"/>
        <v>12.096774193548388</v>
      </c>
      <c r="F25" s="29">
        <f t="shared" si="0"/>
        <v>21.516129032258064</v>
      </c>
      <c r="G25" s="29">
        <f t="shared" si="0"/>
        <v>16.903225806451612</v>
      </c>
    </row>
    <row r="26" spans="1:7" ht="18" x14ac:dyDescent="0.2">
      <c r="A26" s="2" t="s">
        <v>122</v>
      </c>
      <c r="B26" s="29">
        <f t="shared" si="1"/>
        <v>1</v>
      </c>
      <c r="C26" s="29">
        <f t="shared" si="1"/>
        <v>1.0147523709167545</v>
      </c>
      <c r="D26" s="29">
        <f t="shared" si="1"/>
        <v>4.7692307692307692</v>
      </c>
      <c r="E26" s="29">
        <f t="shared" si="1"/>
        <v>4.3076923076923075</v>
      </c>
      <c r="F26" s="29">
        <f t="shared" si="0"/>
        <v>6.3308746048472075</v>
      </c>
      <c r="G26" s="29">
        <f t="shared" si="0"/>
        <v>5.8177028451001052</v>
      </c>
    </row>
    <row r="27" spans="1:7" ht="18" x14ac:dyDescent="0.2">
      <c r="A27" s="2" t="s">
        <v>123</v>
      </c>
      <c r="B27" s="29">
        <f t="shared" si="1"/>
        <v>1</v>
      </c>
      <c r="C27" s="29">
        <f t="shared" si="1"/>
        <v>1.097457627118644</v>
      </c>
      <c r="D27" s="29">
        <f t="shared" si="1"/>
        <v>4.6207627118644066</v>
      </c>
      <c r="E27" s="29">
        <f t="shared" si="1"/>
        <v>4.1716101694915251</v>
      </c>
      <c r="F27" s="29">
        <f t="shared" si="0"/>
        <v>6.1652542372881358</v>
      </c>
      <c r="G27" s="29">
        <f t="shared" si="0"/>
        <v>4.9110169491525424</v>
      </c>
    </row>
    <row r="28" spans="1:7" ht="18" x14ac:dyDescent="0.2">
      <c r="A28" s="2" t="s">
        <v>124</v>
      </c>
      <c r="B28" s="29">
        <f t="shared" si="1"/>
        <v>1</v>
      </c>
      <c r="C28" s="29">
        <f t="shared" si="1"/>
        <v>1.4259259259259258</v>
      </c>
      <c r="D28" s="29">
        <f t="shared" si="1"/>
        <v>6.4814814814814818</v>
      </c>
      <c r="E28" s="29">
        <f t="shared" si="1"/>
        <v>5.7777777777777777</v>
      </c>
      <c r="F28" s="29">
        <f t="shared" si="0"/>
        <v>9.3148148148148149</v>
      </c>
      <c r="G28" s="29">
        <f t="shared" si="0"/>
        <v>7.5185185185185182</v>
      </c>
    </row>
    <row r="29" spans="1:7" ht="18" x14ac:dyDescent="0.2">
      <c r="A29" s="2" t="s">
        <v>105</v>
      </c>
      <c r="B29" s="29">
        <f>GEOMEAN(B17:B28)</f>
        <v>1</v>
      </c>
      <c r="C29" s="29">
        <f t="shared" ref="C29:E29" si="2">GEOMEAN(C17:C28)</f>
        <v>1.1803910434964764</v>
      </c>
      <c r="D29" s="29">
        <f t="shared" si="2"/>
        <v>4.4524778925966091</v>
      </c>
      <c r="E29" s="29">
        <f t="shared" si="2"/>
        <v>4.0693476148817931</v>
      </c>
      <c r="F29" s="29">
        <f>GEOMEAN(F17:F28)</f>
        <v>5.9003939039676796</v>
      </c>
      <c r="G29" s="29">
        <f>GEOMEAN(G17:G28)</f>
        <v>5.0309069677068088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4C2A-913D-8646-8556-196DD650FBFC}">
  <dimension ref="A1:M61"/>
  <sheetViews>
    <sheetView zoomScale="70" zoomScaleNormal="70" workbookViewId="0">
      <selection activeCell="A2" sqref="A2:A13"/>
    </sheetView>
  </sheetViews>
  <sheetFormatPr baseColWidth="10" defaultRowHeight="18" x14ac:dyDescent="0.2"/>
  <cols>
    <col min="1" max="1" width="27.83203125" style="1" customWidth="1"/>
    <col min="2" max="3" width="15.33203125" style="1" bestFit="1" customWidth="1"/>
    <col min="4" max="4" width="25.6640625" style="1" bestFit="1" customWidth="1"/>
    <col min="5" max="5" width="35.1640625" style="1" bestFit="1" customWidth="1"/>
    <col min="6" max="6" width="20.6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35.1640625" style="1" bestFit="1" customWidth="1"/>
    <col min="11" max="11" width="20.6640625" style="1" bestFit="1" customWidth="1"/>
    <col min="12" max="12" width="32.83203125" style="1" bestFit="1" customWidth="1"/>
    <col min="13" max="16384" width="10.83203125" style="1"/>
  </cols>
  <sheetData>
    <row r="1" spans="1:13" x14ac:dyDescent="0.2">
      <c r="A1" s="2" t="s">
        <v>125</v>
      </c>
      <c r="B1" s="2" t="s">
        <v>106</v>
      </c>
      <c r="C1" s="2" t="s">
        <v>126</v>
      </c>
      <c r="D1" s="2" t="s">
        <v>132</v>
      </c>
      <c r="E1" s="2" t="s">
        <v>133</v>
      </c>
      <c r="F1" s="2" t="s">
        <v>136</v>
      </c>
      <c r="G1" s="2" t="s">
        <v>137</v>
      </c>
    </row>
    <row r="2" spans="1:13" x14ac:dyDescent="0.2">
      <c r="A2" s="2" t="s">
        <v>87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  <c r="I2" s="3">
        <v>12286</v>
      </c>
      <c r="J2" s="3">
        <v>2340</v>
      </c>
      <c r="K2" s="3"/>
      <c r="L2" s="3"/>
      <c r="M2" s="3"/>
    </row>
    <row r="3" spans="1:13" x14ac:dyDescent="0.2">
      <c r="A3" s="2" t="s">
        <v>88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  <c r="I3" s="3">
        <v>776</v>
      </c>
      <c r="J3" s="3">
        <v>2054</v>
      </c>
      <c r="K3" s="3"/>
      <c r="L3" s="3"/>
    </row>
    <row r="4" spans="1:13" x14ac:dyDescent="0.2">
      <c r="A4" s="2" t="s">
        <v>89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  <c r="I4" s="3">
        <v>1018815</v>
      </c>
      <c r="J4" s="3">
        <v>616100</v>
      </c>
      <c r="K4" s="3"/>
      <c r="L4" s="3"/>
    </row>
    <row r="5" spans="1:13" x14ac:dyDescent="0.2">
      <c r="A5" s="2" t="s">
        <v>90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  <c r="I5" s="3">
        <v>1588</v>
      </c>
      <c r="J5" s="3">
        <v>6215</v>
      </c>
      <c r="K5" s="3"/>
      <c r="L5" s="3"/>
    </row>
    <row r="6" spans="1:13" x14ac:dyDescent="0.2">
      <c r="A6" s="2" t="s">
        <v>91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  <c r="I6" s="3">
        <v>555971</v>
      </c>
      <c r="J6" s="3">
        <v>258108</v>
      </c>
      <c r="K6" s="3"/>
      <c r="L6" s="3"/>
    </row>
    <row r="7" spans="1:13" x14ac:dyDescent="0.2">
      <c r="A7" s="2" t="s">
        <v>92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  <c r="I7" s="3">
        <v>559271</v>
      </c>
      <c r="J7" s="3">
        <v>258602</v>
      </c>
      <c r="K7" s="3"/>
      <c r="L7" s="3"/>
    </row>
    <row r="8" spans="1:13" x14ac:dyDescent="0.2">
      <c r="A8" s="2" t="s">
        <v>93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  <c r="I8" s="3">
        <v>6335</v>
      </c>
      <c r="J8" s="3">
        <v>143173</v>
      </c>
      <c r="K8" s="3"/>
      <c r="L8" s="3"/>
    </row>
    <row r="9" spans="1:13" x14ac:dyDescent="0.2">
      <c r="A9" s="2" t="s">
        <v>94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  <c r="I9" s="3">
        <v>34</v>
      </c>
      <c r="J9" s="3">
        <v>246210</v>
      </c>
      <c r="K9" s="3"/>
      <c r="L9" s="3"/>
    </row>
    <row r="10" spans="1:13" x14ac:dyDescent="0.2">
      <c r="A10" s="2" t="s">
        <v>95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  <c r="I10" s="3">
        <v>16838</v>
      </c>
      <c r="J10" s="3">
        <v>3634</v>
      </c>
      <c r="K10" s="3"/>
      <c r="L10" s="3"/>
    </row>
    <row r="11" spans="1:13" x14ac:dyDescent="0.2">
      <c r="A11" s="2" t="s">
        <v>96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  <c r="I11" s="3">
        <v>143159</v>
      </c>
      <c r="J11" s="3">
        <v>57661</v>
      </c>
      <c r="K11" s="3"/>
      <c r="L11" s="3"/>
    </row>
    <row r="12" spans="1:13" x14ac:dyDescent="0.2">
      <c r="A12" s="2" t="s">
        <v>97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  <c r="I12" s="3"/>
      <c r="J12" s="3">
        <v>56153</v>
      </c>
      <c r="K12" s="3"/>
      <c r="L12" s="3"/>
    </row>
    <row r="13" spans="1:13" x14ac:dyDescent="0.2">
      <c r="A13" s="2" t="s">
        <v>98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  <c r="I13" s="3"/>
      <c r="J13" s="3">
        <v>6908</v>
      </c>
      <c r="K13" s="3"/>
      <c r="L13" s="3"/>
    </row>
    <row r="16" spans="1:13" x14ac:dyDescent="0.2">
      <c r="A16" s="2" t="s">
        <v>108</v>
      </c>
      <c r="B16" s="2" t="s">
        <v>106</v>
      </c>
      <c r="C16" s="2" t="s">
        <v>126</v>
      </c>
      <c r="D16" s="2" t="s">
        <v>132</v>
      </c>
      <c r="E16" s="2" t="s">
        <v>147</v>
      </c>
      <c r="F16" s="2" t="s">
        <v>136</v>
      </c>
      <c r="G16" s="2" t="s">
        <v>146</v>
      </c>
    </row>
    <row r="17" spans="1:13" x14ac:dyDescent="0.2">
      <c r="A17" s="2" t="s">
        <v>113</v>
      </c>
      <c r="B17" s="29">
        <f>B2/$B2</f>
        <v>1</v>
      </c>
      <c r="C17" s="29">
        <f t="shared" ref="C17:G28" si="0">C2/$B2</f>
        <v>1.1153846153846154</v>
      </c>
      <c r="D17" s="29">
        <f>D2/$B2</f>
        <v>14.76923076923077</v>
      </c>
      <c r="E17" s="29">
        <f t="shared" si="0"/>
        <v>14.23076923076923</v>
      </c>
      <c r="F17" s="29">
        <f t="shared" si="0"/>
        <v>20.846153846153847</v>
      </c>
      <c r="G17" s="29">
        <f t="shared" si="0"/>
        <v>17.73076923076923</v>
      </c>
      <c r="I17" s="30"/>
      <c r="J17" s="30">
        <v>110745362652</v>
      </c>
      <c r="K17" s="30"/>
      <c r="L17" s="30"/>
      <c r="M17" s="30"/>
    </row>
    <row r="18" spans="1:13" x14ac:dyDescent="0.2">
      <c r="A18" s="2" t="s">
        <v>114</v>
      </c>
      <c r="B18" s="29">
        <f t="shared" ref="B18:E28" si="1">B3/$B3</f>
        <v>1</v>
      </c>
      <c r="C18" s="29">
        <f t="shared" si="1"/>
        <v>1.4090909090909092</v>
      </c>
      <c r="D18" s="29">
        <f t="shared" si="1"/>
        <v>3.3636363636363638</v>
      </c>
      <c r="E18" s="29">
        <f t="shared" si="1"/>
        <v>3.0909090909090908</v>
      </c>
      <c r="F18" s="29">
        <f t="shared" si="0"/>
        <v>4.5</v>
      </c>
      <c r="G18" s="29">
        <f t="shared" si="0"/>
        <v>3.9545454545454546</v>
      </c>
      <c r="I18" s="30"/>
      <c r="J18" s="30">
        <v>166250210566</v>
      </c>
      <c r="K18" s="30"/>
      <c r="L18" s="30"/>
      <c r="M18" s="30"/>
    </row>
    <row r="19" spans="1:13" x14ac:dyDescent="0.2">
      <c r="A19" s="2" t="s">
        <v>115</v>
      </c>
      <c r="B19" s="29">
        <f t="shared" si="1"/>
        <v>1</v>
      </c>
      <c r="C19" s="29">
        <f t="shared" si="1"/>
        <v>1.5463379521324456</v>
      </c>
      <c r="D19" s="29">
        <f t="shared" si="1"/>
        <v>7.2513946373942773</v>
      </c>
      <c r="E19" s="29">
        <f t="shared" si="1"/>
        <v>6.1943494691380243</v>
      </c>
      <c r="F19" s="29">
        <f t="shared" si="0"/>
        <v>10.853158178873493</v>
      </c>
      <c r="G19" s="29">
        <f t="shared" si="0"/>
        <v>9.534640993341732</v>
      </c>
      <c r="I19" s="30"/>
      <c r="J19" s="30"/>
      <c r="K19" s="30"/>
      <c r="L19" s="30"/>
      <c r="M19" s="30"/>
    </row>
    <row r="20" spans="1:13" x14ac:dyDescent="0.2">
      <c r="A20" s="2" t="s">
        <v>116</v>
      </c>
      <c r="B20" s="29">
        <f t="shared" si="1"/>
        <v>1</v>
      </c>
      <c r="C20" s="29">
        <f t="shared" si="1"/>
        <v>1.2727272727272727</v>
      </c>
      <c r="D20" s="29">
        <f t="shared" si="1"/>
        <v>2.3409090909090908</v>
      </c>
      <c r="E20" s="29">
        <f t="shared" si="1"/>
        <v>2.1363636363636362</v>
      </c>
      <c r="F20" s="29">
        <f t="shared" si="0"/>
        <v>3.1363636363636362</v>
      </c>
      <c r="G20" s="29">
        <f t="shared" si="0"/>
        <v>2.7954545454545454</v>
      </c>
      <c r="I20" s="30"/>
      <c r="J20" s="30"/>
      <c r="K20" s="30"/>
      <c r="L20" s="30"/>
      <c r="M20" s="30"/>
    </row>
    <row r="21" spans="1:13" x14ac:dyDescent="0.2">
      <c r="A21" s="2" t="s">
        <v>117</v>
      </c>
      <c r="B21" s="29">
        <f t="shared" si="1"/>
        <v>1</v>
      </c>
      <c r="C21" s="29">
        <f t="shared" si="1"/>
        <v>1.0331428571428571</v>
      </c>
      <c r="D21" s="29">
        <f t="shared" si="1"/>
        <v>6.5039999999999996</v>
      </c>
      <c r="E21" s="29">
        <f t="shared" si="1"/>
        <v>5.7344761904761903</v>
      </c>
      <c r="F21" s="29">
        <f t="shared" si="0"/>
        <v>9.0712380952380958</v>
      </c>
      <c r="G21" s="29">
        <f t="shared" si="0"/>
        <v>6.8994285714285715</v>
      </c>
      <c r="I21" s="30"/>
      <c r="J21" s="30"/>
      <c r="K21" s="30"/>
      <c r="L21" s="30"/>
      <c r="M21" s="30"/>
    </row>
    <row r="22" spans="1:13" x14ac:dyDescent="0.2">
      <c r="A22" s="2" t="s">
        <v>118</v>
      </c>
      <c r="B22" s="29">
        <f t="shared" si="1"/>
        <v>1</v>
      </c>
      <c r="C22" s="29">
        <f t="shared" si="1"/>
        <v>1.0388098318240622</v>
      </c>
      <c r="D22" s="29">
        <f t="shared" si="1"/>
        <v>5.0623544631306601</v>
      </c>
      <c r="E22" s="29">
        <f t="shared" si="1"/>
        <v>4.5068564036222512</v>
      </c>
      <c r="F22" s="29">
        <f t="shared" si="0"/>
        <v>6.6631306597671411</v>
      </c>
      <c r="G22" s="29">
        <f t="shared" si="0"/>
        <v>5.0401034928848638</v>
      </c>
      <c r="I22" s="30"/>
      <c r="J22" s="30"/>
      <c r="K22" s="30"/>
      <c r="L22" s="30"/>
      <c r="M22" s="30"/>
    </row>
    <row r="23" spans="1:13" x14ac:dyDescent="0.2">
      <c r="A23" s="2" t="s">
        <v>119</v>
      </c>
      <c r="B23" s="29">
        <f t="shared" si="1"/>
        <v>1</v>
      </c>
      <c r="C23" s="29">
        <f t="shared" si="1"/>
        <v>1.0334821428571428</v>
      </c>
      <c r="D23" s="29">
        <f t="shared" si="1"/>
        <v>1.0758928571428572</v>
      </c>
      <c r="E23" s="29">
        <f t="shared" si="1"/>
        <v>1.0714285714285714</v>
      </c>
      <c r="F23" s="29">
        <f t="shared" si="0"/>
        <v>1.1551339285714286</v>
      </c>
      <c r="G23" s="29">
        <f t="shared" si="0"/>
        <v>1.1238839285714286</v>
      </c>
      <c r="I23" s="30"/>
      <c r="J23" s="30"/>
      <c r="K23" s="30"/>
      <c r="L23" s="30"/>
      <c r="M23" s="30"/>
    </row>
    <row r="24" spans="1:13" x14ac:dyDescent="0.2">
      <c r="A24" s="2" t="s">
        <v>120</v>
      </c>
      <c r="B24" s="29">
        <f t="shared" si="1"/>
        <v>1</v>
      </c>
      <c r="C24" s="29">
        <f t="shared" si="1"/>
        <v>1.0154091392136027</v>
      </c>
      <c r="D24" s="29">
        <f t="shared" si="1"/>
        <v>1.0162061636556854</v>
      </c>
      <c r="E24" s="29">
        <f t="shared" si="1"/>
        <v>1.0185972369819341</v>
      </c>
      <c r="F24" s="29">
        <f t="shared" si="0"/>
        <v>1.0209883103081827</v>
      </c>
      <c r="G24" s="29">
        <f t="shared" si="0"/>
        <v>0.99123273113708821</v>
      </c>
      <c r="I24" s="30"/>
      <c r="J24" s="30"/>
      <c r="K24" s="30"/>
      <c r="L24" s="30"/>
      <c r="M24" s="30"/>
    </row>
    <row r="25" spans="1:13" x14ac:dyDescent="0.2">
      <c r="A25" s="2" t="s">
        <v>121</v>
      </c>
      <c r="B25" s="29">
        <f t="shared" si="1"/>
        <v>1</v>
      </c>
      <c r="C25" s="29">
        <f t="shared" si="1"/>
        <v>1.3225806451612903</v>
      </c>
      <c r="D25" s="29">
        <f t="shared" si="1"/>
        <v>14</v>
      </c>
      <c r="E25" s="29">
        <f t="shared" si="1"/>
        <v>12.096774193548388</v>
      </c>
      <c r="F25" s="29">
        <f t="shared" si="0"/>
        <v>21.516129032258064</v>
      </c>
      <c r="G25" s="29">
        <f t="shared" si="0"/>
        <v>16.903225806451612</v>
      </c>
      <c r="I25" s="30"/>
      <c r="J25" s="30"/>
      <c r="K25" s="30"/>
      <c r="L25" s="30"/>
      <c r="M25" s="30"/>
    </row>
    <row r="26" spans="1:13" x14ac:dyDescent="0.2">
      <c r="A26" s="2" t="s">
        <v>122</v>
      </c>
      <c r="B26" s="29">
        <f t="shared" si="1"/>
        <v>1</v>
      </c>
      <c r="C26" s="29">
        <f t="shared" si="1"/>
        <v>1.0147523709167545</v>
      </c>
      <c r="D26" s="29">
        <f t="shared" si="1"/>
        <v>4.7692307692307692</v>
      </c>
      <c r="E26" s="29">
        <f t="shared" si="1"/>
        <v>4.3076923076923075</v>
      </c>
      <c r="F26" s="29">
        <f t="shared" si="0"/>
        <v>6.3308746048472075</v>
      </c>
      <c r="G26" s="29">
        <f t="shared" si="0"/>
        <v>5.8177028451001052</v>
      </c>
      <c r="I26" s="30"/>
      <c r="J26" s="30"/>
      <c r="K26" s="30"/>
      <c r="L26" s="30"/>
      <c r="M26" s="30"/>
    </row>
    <row r="27" spans="1:13" x14ac:dyDescent="0.2">
      <c r="A27" s="2" t="s">
        <v>123</v>
      </c>
      <c r="B27" s="29">
        <f t="shared" si="1"/>
        <v>1</v>
      </c>
      <c r="C27" s="29">
        <f t="shared" si="1"/>
        <v>1.097457627118644</v>
      </c>
      <c r="D27" s="29">
        <f t="shared" si="1"/>
        <v>4.6207627118644066</v>
      </c>
      <c r="E27" s="29">
        <f t="shared" si="1"/>
        <v>4.1716101694915251</v>
      </c>
      <c r="F27" s="29">
        <f t="shared" si="0"/>
        <v>6.1652542372881358</v>
      </c>
      <c r="G27" s="29">
        <f t="shared" si="0"/>
        <v>4.9110169491525424</v>
      </c>
      <c r="I27" s="30"/>
      <c r="J27" s="30"/>
      <c r="K27" s="30"/>
      <c r="L27" s="30"/>
      <c r="M27" s="30"/>
    </row>
    <row r="28" spans="1:13" x14ac:dyDescent="0.2">
      <c r="A28" s="2" t="s">
        <v>124</v>
      </c>
      <c r="B28" s="29">
        <f t="shared" si="1"/>
        <v>1</v>
      </c>
      <c r="C28" s="29">
        <f t="shared" si="1"/>
        <v>1.4259259259259258</v>
      </c>
      <c r="D28" s="29">
        <f t="shared" si="1"/>
        <v>6.4814814814814818</v>
      </c>
      <c r="E28" s="29">
        <f t="shared" si="1"/>
        <v>5.7777777777777777</v>
      </c>
      <c r="F28" s="29">
        <f t="shared" si="0"/>
        <v>9.3148148148148149</v>
      </c>
      <c r="G28" s="29">
        <f t="shared" si="0"/>
        <v>7.5185185185185182</v>
      </c>
      <c r="I28" s="30"/>
      <c r="J28" s="30"/>
      <c r="K28" s="30"/>
      <c r="L28" s="30"/>
      <c r="M28" s="30"/>
    </row>
    <row r="29" spans="1:13" x14ac:dyDescent="0.2">
      <c r="A29" s="2" t="s">
        <v>105</v>
      </c>
      <c r="B29" s="29">
        <f>GEOMEAN(B17:B28)</f>
        <v>1</v>
      </c>
      <c r="C29" s="29">
        <f t="shared" ref="C29:E29" si="2">GEOMEAN(C17:C28)</f>
        <v>1.1803910434964764</v>
      </c>
      <c r="D29" s="29">
        <f t="shared" si="2"/>
        <v>4.4524778925966091</v>
      </c>
      <c r="E29" s="29">
        <f t="shared" si="2"/>
        <v>4.0693476148817931</v>
      </c>
      <c r="F29" s="29">
        <f>GEOMEAN(F17:F28)</f>
        <v>5.9003939039676796</v>
      </c>
      <c r="G29" s="29">
        <f>GEOMEAN(G17:G28)</f>
        <v>5.0309069677068088</v>
      </c>
      <c r="H29" s="1">
        <f>E29/G29</f>
        <v>0.80886958176781509</v>
      </c>
    </row>
    <row r="33" spans="1:13" x14ac:dyDescent="0.2">
      <c r="A33" s="2" t="s">
        <v>109</v>
      </c>
      <c r="B33" s="32" t="s">
        <v>106</v>
      </c>
      <c r="C33" s="32" t="s">
        <v>126</v>
      </c>
      <c r="D33" s="2" t="s">
        <v>132</v>
      </c>
      <c r="E33" s="2" t="s">
        <v>147</v>
      </c>
      <c r="F33" s="2" t="s">
        <v>136</v>
      </c>
      <c r="G33" s="2" t="s">
        <v>146</v>
      </c>
      <c r="H33" s="2" t="s">
        <v>126</v>
      </c>
      <c r="I33" s="2" t="s">
        <v>132</v>
      </c>
      <c r="J33" s="2" t="s">
        <v>147</v>
      </c>
      <c r="K33" s="2" t="s">
        <v>136</v>
      </c>
      <c r="L33" s="2" t="s">
        <v>146</v>
      </c>
    </row>
    <row r="34" spans="1:13" x14ac:dyDescent="0.2">
      <c r="A34" s="2" t="s">
        <v>113</v>
      </c>
      <c r="B34" s="3">
        <v>5360</v>
      </c>
      <c r="C34" s="3">
        <v>13144</v>
      </c>
      <c r="D34" s="3">
        <v>62824</v>
      </c>
      <c r="E34" s="3">
        <v>63072</v>
      </c>
      <c r="F34" s="3">
        <v>13904</v>
      </c>
      <c r="G34" s="3">
        <v>13916</v>
      </c>
      <c r="H34" s="36">
        <f>(C34-$B34)/1024</f>
        <v>7.6015625</v>
      </c>
      <c r="I34" s="36">
        <f>(D34-$B34)/1024</f>
        <v>56.1171875</v>
      </c>
      <c r="J34" s="36">
        <f>(E34-$B34)/1024</f>
        <v>56.359375</v>
      </c>
      <c r="K34" s="36">
        <f>(F34-$B34)/1024</f>
        <v>8.34375</v>
      </c>
      <c r="L34" s="36">
        <f>(G34-$B34)/1024</f>
        <v>8.35546875</v>
      </c>
      <c r="M34" s="35">
        <f>J34-L34</f>
        <v>48.00390625</v>
      </c>
    </row>
    <row r="35" spans="1:13" x14ac:dyDescent="0.2">
      <c r="A35" s="2" t="s">
        <v>114</v>
      </c>
      <c r="B35" s="3">
        <v>41536</v>
      </c>
      <c r="C35" s="3">
        <v>50052</v>
      </c>
      <c r="D35" s="3">
        <v>108036</v>
      </c>
      <c r="E35" s="3">
        <v>108204</v>
      </c>
      <c r="F35" s="3">
        <v>51204</v>
      </c>
      <c r="G35" s="3">
        <v>51220</v>
      </c>
      <c r="H35" s="36">
        <f t="shared" ref="H35:L45" si="3">(C35-$B35)/1024</f>
        <v>8.31640625</v>
      </c>
      <c r="I35" s="36">
        <f t="shared" si="3"/>
        <v>64.94140625</v>
      </c>
      <c r="J35" s="36">
        <f t="shared" si="3"/>
        <v>65.10546875</v>
      </c>
      <c r="K35" s="36">
        <f t="shared" si="3"/>
        <v>9.44140625</v>
      </c>
      <c r="L35" s="36">
        <f t="shared" si="3"/>
        <v>9.45703125</v>
      </c>
      <c r="M35" s="35">
        <f t="shared" ref="M35:M45" si="4">J35-L35</f>
        <v>55.6484375</v>
      </c>
    </row>
    <row r="36" spans="1:13" x14ac:dyDescent="0.2">
      <c r="A36" s="2" t="s">
        <v>115</v>
      </c>
      <c r="B36" s="3">
        <v>12587144</v>
      </c>
      <c r="C36" s="3">
        <v>12594744</v>
      </c>
      <c r="D36" s="3">
        <v>12641892</v>
      </c>
      <c r="E36" s="3">
        <v>12641952</v>
      </c>
      <c r="F36" s="3">
        <v>12595580</v>
      </c>
      <c r="G36" s="3">
        <v>12595564</v>
      </c>
      <c r="H36" s="36">
        <f t="shared" si="3"/>
        <v>7.421875</v>
      </c>
      <c r="I36" s="36">
        <f t="shared" si="3"/>
        <v>53.46484375</v>
      </c>
      <c r="J36" s="36">
        <f t="shared" si="3"/>
        <v>53.5234375</v>
      </c>
      <c r="K36" s="36">
        <f t="shared" si="3"/>
        <v>8.23828125</v>
      </c>
      <c r="L36" s="36">
        <f t="shared" si="3"/>
        <v>8.22265625</v>
      </c>
      <c r="M36" s="35">
        <f t="shared" si="4"/>
        <v>45.30078125</v>
      </c>
    </row>
    <row r="37" spans="1:13" x14ac:dyDescent="0.2">
      <c r="A37" s="2" t="s">
        <v>116</v>
      </c>
      <c r="B37" s="3">
        <v>26204</v>
      </c>
      <c r="C37" s="3">
        <v>34308</v>
      </c>
      <c r="D37" s="3">
        <v>90500</v>
      </c>
      <c r="E37" s="3">
        <v>90780</v>
      </c>
      <c r="F37" s="3">
        <v>35160</v>
      </c>
      <c r="G37" s="3">
        <v>35204</v>
      </c>
      <c r="H37" s="36">
        <f t="shared" si="3"/>
        <v>7.9140625</v>
      </c>
      <c r="I37" s="36">
        <f t="shared" si="3"/>
        <v>62.7890625</v>
      </c>
      <c r="J37" s="36">
        <f t="shared" si="3"/>
        <v>63.0625</v>
      </c>
      <c r="K37" s="36">
        <f t="shared" si="3"/>
        <v>8.74609375</v>
      </c>
      <c r="L37" s="36">
        <f t="shared" si="3"/>
        <v>8.7890625</v>
      </c>
      <c r="M37" s="35">
        <f t="shared" si="4"/>
        <v>54.2734375</v>
      </c>
    </row>
    <row r="38" spans="1:13" x14ac:dyDescent="0.2">
      <c r="A38" s="2" t="s">
        <v>117</v>
      </c>
      <c r="B38" s="3">
        <v>133964</v>
      </c>
      <c r="C38" s="3">
        <v>141596</v>
      </c>
      <c r="D38" s="3">
        <v>189824</v>
      </c>
      <c r="E38" s="3">
        <v>190160</v>
      </c>
      <c r="F38" s="3">
        <v>142304</v>
      </c>
      <c r="G38" s="3">
        <v>142360</v>
      </c>
      <c r="H38" s="36">
        <f t="shared" si="3"/>
        <v>7.453125</v>
      </c>
      <c r="I38" s="36">
        <f t="shared" si="3"/>
        <v>54.55078125</v>
      </c>
      <c r="J38" s="36">
        <f t="shared" si="3"/>
        <v>54.87890625</v>
      </c>
      <c r="K38" s="36">
        <f t="shared" si="3"/>
        <v>8.14453125</v>
      </c>
      <c r="L38" s="36">
        <f t="shared" si="3"/>
        <v>8.19921875</v>
      </c>
      <c r="M38" s="35">
        <f t="shared" si="4"/>
        <v>46.6796875</v>
      </c>
    </row>
    <row r="39" spans="1:13" x14ac:dyDescent="0.2">
      <c r="A39" s="2" t="s">
        <v>118</v>
      </c>
      <c r="B39" s="3">
        <v>133440</v>
      </c>
      <c r="C39" s="3">
        <v>141076</v>
      </c>
      <c r="D39" s="3">
        <v>189404</v>
      </c>
      <c r="E39" s="3">
        <v>189292</v>
      </c>
      <c r="F39" s="3">
        <v>141808</v>
      </c>
      <c r="G39" s="3">
        <v>141944</v>
      </c>
      <c r="H39" s="36">
        <f t="shared" si="3"/>
        <v>7.45703125</v>
      </c>
      <c r="I39" s="36">
        <f t="shared" si="3"/>
        <v>54.65234375</v>
      </c>
      <c r="J39" s="36">
        <f t="shared" si="3"/>
        <v>54.54296875</v>
      </c>
      <c r="K39" s="36">
        <f t="shared" si="3"/>
        <v>8.171875</v>
      </c>
      <c r="L39" s="36">
        <f t="shared" si="3"/>
        <v>8.3046875</v>
      </c>
      <c r="M39" s="35">
        <f t="shared" si="4"/>
        <v>46.23828125</v>
      </c>
    </row>
    <row r="40" spans="1:13" x14ac:dyDescent="0.2">
      <c r="A40" s="2" t="s">
        <v>119</v>
      </c>
      <c r="B40" s="3">
        <v>3629736</v>
      </c>
      <c r="C40" s="3">
        <v>3638004</v>
      </c>
      <c r="D40" s="3">
        <v>3689212</v>
      </c>
      <c r="E40" s="3">
        <v>3689200</v>
      </c>
      <c r="F40" s="3">
        <v>3639052</v>
      </c>
      <c r="G40" s="3">
        <v>3639068</v>
      </c>
      <c r="H40" s="36">
        <f t="shared" si="3"/>
        <v>8.07421875</v>
      </c>
      <c r="I40" s="36">
        <f t="shared" si="3"/>
        <v>58.08203125</v>
      </c>
      <c r="J40" s="36">
        <f t="shared" si="3"/>
        <v>58.0703125</v>
      </c>
      <c r="K40" s="36">
        <f t="shared" si="3"/>
        <v>9.09765625</v>
      </c>
      <c r="L40" s="36">
        <f t="shared" si="3"/>
        <v>9.11328125</v>
      </c>
      <c r="M40" s="35">
        <f t="shared" si="4"/>
        <v>48.95703125</v>
      </c>
    </row>
    <row r="41" spans="1:13" x14ac:dyDescent="0.2">
      <c r="A41" s="2" t="s">
        <v>120</v>
      </c>
      <c r="B41" s="3">
        <v>4092668</v>
      </c>
      <c r="C41" s="3">
        <v>4100588</v>
      </c>
      <c r="D41" s="3">
        <v>4150416</v>
      </c>
      <c r="E41" s="3">
        <v>4150508</v>
      </c>
      <c r="F41" s="3">
        <v>4101716</v>
      </c>
      <c r="G41" s="3">
        <v>4101748</v>
      </c>
      <c r="H41" s="36">
        <f t="shared" si="3"/>
        <v>7.734375</v>
      </c>
      <c r="I41" s="36">
        <f t="shared" si="3"/>
        <v>56.39453125</v>
      </c>
      <c r="J41" s="36">
        <f t="shared" si="3"/>
        <v>56.484375</v>
      </c>
      <c r="K41" s="36">
        <f t="shared" si="3"/>
        <v>8.8359375</v>
      </c>
      <c r="L41" s="36">
        <f t="shared" si="3"/>
        <v>8.8671875</v>
      </c>
      <c r="M41" s="35">
        <f t="shared" si="4"/>
        <v>47.6171875</v>
      </c>
    </row>
    <row r="42" spans="1:13" x14ac:dyDescent="0.2">
      <c r="A42" s="2" t="s">
        <v>121</v>
      </c>
      <c r="B42" s="3">
        <v>219128</v>
      </c>
      <c r="C42" s="3">
        <v>227168</v>
      </c>
      <c r="D42" s="3">
        <v>530128</v>
      </c>
      <c r="E42" s="3">
        <v>530852</v>
      </c>
      <c r="F42" s="3">
        <v>228484</v>
      </c>
      <c r="G42" s="3">
        <v>228536</v>
      </c>
      <c r="H42" s="36">
        <f t="shared" si="3"/>
        <v>7.8515625</v>
      </c>
      <c r="I42" s="36">
        <f t="shared" si="3"/>
        <v>303.7109375</v>
      </c>
      <c r="J42" s="36">
        <f t="shared" si="3"/>
        <v>304.41796875</v>
      </c>
      <c r="K42" s="36">
        <f t="shared" si="3"/>
        <v>9.13671875</v>
      </c>
      <c r="L42" s="36">
        <f t="shared" si="3"/>
        <v>9.1875</v>
      </c>
      <c r="M42" s="35">
        <f t="shared" si="4"/>
        <v>295.23046875</v>
      </c>
    </row>
    <row r="43" spans="1:13" x14ac:dyDescent="0.2">
      <c r="A43" s="2" t="s">
        <v>122</v>
      </c>
      <c r="B43" s="3">
        <v>1440684</v>
      </c>
      <c r="C43" s="3">
        <v>1448396</v>
      </c>
      <c r="D43" s="3">
        <v>1494912</v>
      </c>
      <c r="E43" s="3">
        <v>1495092</v>
      </c>
      <c r="F43" s="3">
        <v>1449048</v>
      </c>
      <c r="G43" s="3">
        <v>1449148</v>
      </c>
      <c r="H43" s="36">
        <f t="shared" si="3"/>
        <v>7.53125</v>
      </c>
      <c r="I43" s="36">
        <f t="shared" si="3"/>
        <v>52.95703125</v>
      </c>
      <c r="J43" s="36">
        <f t="shared" si="3"/>
        <v>53.1328125</v>
      </c>
      <c r="K43" s="36">
        <f t="shared" si="3"/>
        <v>8.16796875</v>
      </c>
      <c r="L43" s="36">
        <f t="shared" si="3"/>
        <v>8.265625</v>
      </c>
      <c r="M43" s="35">
        <f t="shared" si="4"/>
        <v>44.8671875</v>
      </c>
    </row>
    <row r="44" spans="1:13" x14ac:dyDescent="0.2">
      <c r="A44" s="2" t="s">
        <v>123</v>
      </c>
      <c r="B44" s="3">
        <v>6708</v>
      </c>
      <c r="C44" s="3">
        <v>14652</v>
      </c>
      <c r="D44" s="3">
        <v>65744</v>
      </c>
      <c r="E44" s="3">
        <v>65864</v>
      </c>
      <c r="F44" s="3">
        <v>15340</v>
      </c>
      <c r="G44" s="3">
        <v>15520</v>
      </c>
      <c r="H44" s="36">
        <f t="shared" si="3"/>
        <v>7.7578125</v>
      </c>
      <c r="I44" s="36">
        <f t="shared" si="3"/>
        <v>57.65234375</v>
      </c>
      <c r="J44" s="36">
        <f t="shared" si="3"/>
        <v>57.76953125</v>
      </c>
      <c r="K44" s="36">
        <f t="shared" si="3"/>
        <v>8.4296875</v>
      </c>
      <c r="L44" s="36">
        <f t="shared" si="3"/>
        <v>8.60546875</v>
      </c>
      <c r="M44" s="35">
        <f t="shared" si="4"/>
        <v>49.1640625</v>
      </c>
    </row>
    <row r="45" spans="1:13" x14ac:dyDescent="0.2">
      <c r="A45" s="2" t="s">
        <v>124</v>
      </c>
      <c r="B45" s="3">
        <v>5508</v>
      </c>
      <c r="C45" s="3">
        <v>13740</v>
      </c>
      <c r="D45" s="3">
        <v>65380</v>
      </c>
      <c r="E45" s="3">
        <v>65616</v>
      </c>
      <c r="F45" s="3">
        <v>14548</v>
      </c>
      <c r="G45" s="3">
        <v>14544</v>
      </c>
      <c r="H45" s="36">
        <f t="shared" si="3"/>
        <v>8.0390625</v>
      </c>
      <c r="I45" s="36">
        <f t="shared" si="3"/>
        <v>58.46875</v>
      </c>
      <c r="J45" s="36">
        <f t="shared" si="3"/>
        <v>58.69921875</v>
      </c>
      <c r="K45" s="36">
        <f t="shared" si="3"/>
        <v>8.828125</v>
      </c>
      <c r="L45" s="36">
        <f t="shared" si="3"/>
        <v>8.82421875</v>
      </c>
      <c r="M45" s="35">
        <f t="shared" si="4"/>
        <v>49.875</v>
      </c>
    </row>
    <row r="46" spans="1:13" x14ac:dyDescent="0.2">
      <c r="A46" s="1" t="s">
        <v>78</v>
      </c>
      <c r="H46" s="38">
        <f>GEOMEAN(H34:H45)</f>
        <v>7.7579290223578559</v>
      </c>
      <c r="I46" s="38">
        <f t="shared" ref="I46:L46" si="5">GEOMEAN(I34:I45)</f>
        <v>65.707549857590024</v>
      </c>
      <c r="J46" s="38">
        <f t="shared" si="5"/>
        <v>65.867950232364592</v>
      </c>
      <c r="K46" s="38">
        <f t="shared" si="5"/>
        <v>8.6215148237372947</v>
      </c>
      <c r="L46" s="38">
        <f t="shared" si="5"/>
        <v>8.6732137773689146</v>
      </c>
    </row>
    <row r="48" spans="1:13" x14ac:dyDescent="0.2">
      <c r="A48" s="2" t="s">
        <v>109</v>
      </c>
      <c r="B48" s="32" t="s">
        <v>106</v>
      </c>
      <c r="C48" s="32" t="s">
        <v>126</v>
      </c>
      <c r="D48" s="2" t="s">
        <v>132</v>
      </c>
      <c r="E48" s="2" t="s">
        <v>147</v>
      </c>
      <c r="F48" s="2" t="s">
        <v>136</v>
      </c>
      <c r="G48" s="2" t="s">
        <v>146</v>
      </c>
    </row>
    <row r="49" spans="1:7" x14ac:dyDescent="0.2">
      <c r="A49" s="2" t="s">
        <v>113</v>
      </c>
      <c r="B49" s="42">
        <f t="shared" ref="B49:G60" si="6">B34/$B34</f>
        <v>1</v>
      </c>
      <c r="C49" s="42">
        <f t="shared" si="6"/>
        <v>2.4522388059701492</v>
      </c>
      <c r="D49" s="42">
        <f t="shared" si="6"/>
        <v>11.72089552238806</v>
      </c>
      <c r="E49" s="42">
        <f t="shared" si="6"/>
        <v>11.767164179104478</v>
      </c>
      <c r="F49" s="42">
        <f t="shared" si="6"/>
        <v>2.5940298507462685</v>
      </c>
      <c r="G49" s="42">
        <f t="shared" si="6"/>
        <v>2.5962686567164179</v>
      </c>
    </row>
    <row r="50" spans="1:7" x14ac:dyDescent="0.2">
      <c r="A50" s="2" t="s">
        <v>114</v>
      </c>
      <c r="B50" s="42">
        <f t="shared" si="6"/>
        <v>1</v>
      </c>
      <c r="C50" s="42">
        <f t="shared" si="6"/>
        <v>1.2050269645608629</v>
      </c>
      <c r="D50" s="42">
        <f t="shared" si="6"/>
        <v>2.6010208012326657</v>
      </c>
      <c r="E50" s="42">
        <f t="shared" si="6"/>
        <v>2.6050654853620956</v>
      </c>
      <c r="F50" s="42">
        <f t="shared" si="6"/>
        <v>1.2327619414483821</v>
      </c>
      <c r="G50" s="42">
        <f t="shared" si="6"/>
        <v>1.2331471494607087</v>
      </c>
    </row>
    <row r="51" spans="1:7" x14ac:dyDescent="0.2">
      <c r="A51" s="2" t="s">
        <v>115</v>
      </c>
      <c r="B51" s="42">
        <f t="shared" si="6"/>
        <v>1</v>
      </c>
      <c r="C51" s="42">
        <f t="shared" si="6"/>
        <v>1.0006037906613288</v>
      </c>
      <c r="D51" s="42">
        <f t="shared" si="6"/>
        <v>1.0043495172534771</v>
      </c>
      <c r="E51" s="42">
        <f t="shared" si="6"/>
        <v>1.004354284021856</v>
      </c>
      <c r="F51" s="42">
        <f t="shared" si="6"/>
        <v>1.000670207634075</v>
      </c>
      <c r="G51" s="42">
        <f t="shared" si="6"/>
        <v>1.0006689364958405</v>
      </c>
    </row>
    <row r="52" spans="1:7" x14ac:dyDescent="0.2">
      <c r="A52" s="2" t="s">
        <v>116</v>
      </c>
      <c r="B52" s="42">
        <f t="shared" si="6"/>
        <v>1</v>
      </c>
      <c r="C52" s="42">
        <f t="shared" si="6"/>
        <v>1.3092657609525262</v>
      </c>
      <c r="D52" s="42">
        <f t="shared" si="6"/>
        <v>3.4536711952373684</v>
      </c>
      <c r="E52" s="42">
        <f t="shared" si="6"/>
        <v>3.4643565867806441</v>
      </c>
      <c r="F52" s="42">
        <f t="shared" si="6"/>
        <v>1.3417798809342085</v>
      </c>
      <c r="G52" s="42">
        <f t="shared" si="6"/>
        <v>1.343459013891009</v>
      </c>
    </row>
    <row r="53" spans="1:7" x14ac:dyDescent="0.2">
      <c r="A53" s="2" t="s">
        <v>117</v>
      </c>
      <c r="B53" s="42">
        <f t="shared" si="6"/>
        <v>1</v>
      </c>
      <c r="C53" s="42">
        <f t="shared" si="6"/>
        <v>1.056970529395957</v>
      </c>
      <c r="D53" s="42">
        <f t="shared" si="6"/>
        <v>1.4169776955002837</v>
      </c>
      <c r="E53" s="42">
        <f t="shared" si="6"/>
        <v>1.4194858320145711</v>
      </c>
      <c r="F53" s="42">
        <f t="shared" si="6"/>
        <v>1.062255531336777</v>
      </c>
      <c r="G53" s="42">
        <f t="shared" si="6"/>
        <v>1.0626735540891583</v>
      </c>
    </row>
    <row r="54" spans="1:7" x14ac:dyDescent="0.2">
      <c r="A54" s="2" t="s">
        <v>118</v>
      </c>
      <c r="B54" s="42">
        <f t="shared" si="6"/>
        <v>1</v>
      </c>
      <c r="C54" s="42">
        <f t="shared" si="6"/>
        <v>1.0572242206235012</v>
      </c>
      <c r="D54" s="42">
        <f t="shared" si="6"/>
        <v>1.41939448441247</v>
      </c>
      <c r="E54" s="42">
        <f t="shared" si="6"/>
        <v>1.4185551558752998</v>
      </c>
      <c r="F54" s="42">
        <f t="shared" si="6"/>
        <v>1.0627098321342925</v>
      </c>
      <c r="G54" s="42">
        <f t="shared" si="6"/>
        <v>1.0637290167865707</v>
      </c>
    </row>
    <row r="55" spans="1:7" x14ac:dyDescent="0.2">
      <c r="A55" s="2" t="s">
        <v>119</v>
      </c>
      <c r="B55" s="42">
        <f t="shared" si="6"/>
        <v>1</v>
      </c>
      <c r="C55" s="42">
        <f t="shared" si="6"/>
        <v>1.0022778516123487</v>
      </c>
      <c r="D55" s="42">
        <f t="shared" si="6"/>
        <v>1.0163857646947325</v>
      </c>
      <c r="E55" s="42">
        <f t="shared" si="6"/>
        <v>1.0163824586691705</v>
      </c>
      <c r="F55" s="42">
        <f t="shared" si="6"/>
        <v>1.0025665778447799</v>
      </c>
      <c r="G55" s="42">
        <f t="shared" si="6"/>
        <v>1.0025709858788627</v>
      </c>
    </row>
    <row r="56" spans="1:7" x14ac:dyDescent="0.2">
      <c r="A56" s="2" t="s">
        <v>120</v>
      </c>
      <c r="B56" s="42">
        <f t="shared" si="6"/>
        <v>1</v>
      </c>
      <c r="C56" s="42">
        <f t="shared" si="6"/>
        <v>1.0019351679637831</v>
      </c>
      <c r="D56" s="42">
        <f t="shared" si="6"/>
        <v>1.0141101110571393</v>
      </c>
      <c r="E56" s="42">
        <f t="shared" si="6"/>
        <v>1.014132590280961</v>
      </c>
      <c r="F56" s="42">
        <f t="shared" si="6"/>
        <v>1.0022107827949884</v>
      </c>
      <c r="G56" s="42">
        <f t="shared" si="6"/>
        <v>1.0022186016554482</v>
      </c>
    </row>
    <row r="57" spans="1:7" x14ac:dyDescent="0.2">
      <c r="A57" s="2" t="s">
        <v>121</v>
      </c>
      <c r="B57" s="42">
        <f t="shared" si="6"/>
        <v>1</v>
      </c>
      <c r="C57" s="42">
        <f t="shared" si="6"/>
        <v>1.0366908838669635</v>
      </c>
      <c r="D57" s="42">
        <f t="shared" si="6"/>
        <v>2.4192618013216021</v>
      </c>
      <c r="E57" s="42">
        <f t="shared" si="6"/>
        <v>2.4225658062867366</v>
      </c>
      <c r="F57" s="42">
        <f t="shared" si="6"/>
        <v>1.0426965061516555</v>
      </c>
      <c r="G57" s="42">
        <f t="shared" si="6"/>
        <v>1.0429338103756709</v>
      </c>
    </row>
    <row r="58" spans="1:7" x14ac:dyDescent="0.2">
      <c r="A58" s="2" t="s">
        <v>122</v>
      </c>
      <c r="B58" s="42">
        <f t="shared" si="6"/>
        <v>1</v>
      </c>
      <c r="C58" s="42">
        <f t="shared" si="6"/>
        <v>1.0053530128744401</v>
      </c>
      <c r="D58" s="42">
        <f t="shared" si="6"/>
        <v>1.0376404541176274</v>
      </c>
      <c r="E58" s="42">
        <f t="shared" si="6"/>
        <v>1.0377653947708172</v>
      </c>
      <c r="F58" s="42">
        <f t="shared" si="6"/>
        <v>1.0058055756848829</v>
      </c>
      <c r="G58" s="42">
        <f t="shared" si="6"/>
        <v>1.0058749871588772</v>
      </c>
    </row>
    <row r="59" spans="1:7" x14ac:dyDescent="0.2">
      <c r="A59" s="2" t="s">
        <v>123</v>
      </c>
      <c r="B59" s="42">
        <f t="shared" si="6"/>
        <v>1</v>
      </c>
      <c r="C59" s="42">
        <f t="shared" si="6"/>
        <v>2.184257602862254</v>
      </c>
      <c r="D59" s="42">
        <f t="shared" si="6"/>
        <v>9.8008348240906376</v>
      </c>
      <c r="E59" s="42">
        <f t="shared" si="6"/>
        <v>9.818723911747167</v>
      </c>
      <c r="F59" s="42">
        <f t="shared" si="6"/>
        <v>2.2868217054263567</v>
      </c>
      <c r="G59" s="42">
        <f t="shared" si="6"/>
        <v>2.3136553369111508</v>
      </c>
    </row>
    <row r="60" spans="1:7" x14ac:dyDescent="0.2">
      <c r="A60" s="2" t="s">
        <v>124</v>
      </c>
      <c r="B60" s="42">
        <f t="shared" si="6"/>
        <v>1</v>
      </c>
      <c r="C60" s="42">
        <f t="shared" si="6"/>
        <v>2.494553376906318</v>
      </c>
      <c r="D60" s="42">
        <f t="shared" si="6"/>
        <v>11.870007262164124</v>
      </c>
      <c r="E60" s="42">
        <f t="shared" si="6"/>
        <v>11.912854030501089</v>
      </c>
      <c r="F60" s="42">
        <f t="shared" si="6"/>
        <v>2.6412490922294842</v>
      </c>
      <c r="G60" s="42">
        <f t="shared" si="6"/>
        <v>2.6405228758169934</v>
      </c>
    </row>
    <row r="61" spans="1:7" x14ac:dyDescent="0.2">
      <c r="A61" s="2" t="s">
        <v>105</v>
      </c>
      <c r="B61" s="42">
        <f>GEOMEAN(B49:B60)</f>
        <v>1</v>
      </c>
      <c r="C61" s="42">
        <f t="shared" ref="C61:E61" si="7">GEOMEAN(C49:C60)</f>
        <v>1.3062139315258672</v>
      </c>
      <c r="D61" s="42">
        <f t="shared" si="7"/>
        <v>2.5149364170687911</v>
      </c>
      <c r="E61" s="42">
        <f t="shared" si="7"/>
        <v>2.5184378277716348</v>
      </c>
      <c r="F61" s="42">
        <f>GEOMEAN(F49:F60)</f>
        <v>1.3307751141660851</v>
      </c>
      <c r="G61" s="42">
        <f>GEOMEAN(G49:G60)</f>
        <v>1.3324924789728769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F6DC6-DA32-8C43-88B0-AC0B6B69FBC5}">
  <dimension ref="A1:F99"/>
  <sheetViews>
    <sheetView zoomScale="120" zoomScaleNormal="120" workbookViewId="0">
      <selection activeCell="D18" sqref="D18"/>
    </sheetView>
  </sheetViews>
  <sheetFormatPr baseColWidth="10" defaultRowHeight="16" x14ac:dyDescent="0.2"/>
  <cols>
    <col min="1" max="1" width="19.33203125" customWidth="1"/>
    <col min="2" max="3" width="37.1640625" bestFit="1" customWidth="1"/>
    <col min="4" max="4" width="35.33203125" bestFit="1" customWidth="1"/>
    <col min="5" max="5" width="24" customWidth="1"/>
    <col min="6" max="6" width="24.5" bestFit="1" customWidth="1"/>
  </cols>
  <sheetData>
    <row r="1" spans="1:6" x14ac:dyDescent="0.2">
      <c r="A1" t="s">
        <v>175</v>
      </c>
    </row>
    <row r="2" spans="1:6" x14ac:dyDescent="0.2">
      <c r="A2" s="9"/>
      <c r="B2" s="9" t="s">
        <v>173</v>
      </c>
      <c r="C2" s="9" t="s">
        <v>174</v>
      </c>
      <c r="D2" s="9" t="s">
        <v>182</v>
      </c>
      <c r="E2" s="9" t="s">
        <v>170</v>
      </c>
      <c r="F2" s="9" t="s">
        <v>171</v>
      </c>
    </row>
    <row r="3" spans="1:6" x14ac:dyDescent="0.2">
      <c r="A3" s="9" t="s">
        <v>87</v>
      </c>
      <c r="B3" s="45">
        <v>24200</v>
      </c>
      <c r="C3" s="45">
        <v>12372</v>
      </c>
      <c r="D3" s="46">
        <f>C3/B3</f>
        <v>0.51123966942148757</v>
      </c>
      <c r="E3" s="45">
        <v>32341351</v>
      </c>
      <c r="F3" s="9">
        <v>3</v>
      </c>
    </row>
    <row r="4" spans="1:6" x14ac:dyDescent="0.2">
      <c r="A4" s="9" t="s">
        <v>88</v>
      </c>
      <c r="B4" s="45">
        <v>23436</v>
      </c>
      <c r="C4" s="45">
        <v>797</v>
      </c>
      <c r="D4" s="46">
        <f t="shared" ref="D4:D14" si="0">C4/B4</f>
        <v>3.4007509813961424E-2</v>
      </c>
      <c r="E4" s="45">
        <v>2036469</v>
      </c>
      <c r="F4" s="9">
        <v>7</v>
      </c>
    </row>
    <row r="5" spans="1:6" x14ac:dyDescent="0.2">
      <c r="A5" s="9" t="s">
        <v>89</v>
      </c>
      <c r="B5" s="45">
        <v>5894398</v>
      </c>
      <c r="C5" s="45">
        <v>1024192</v>
      </c>
      <c r="D5" s="46">
        <f t="shared" si="0"/>
        <v>0.17375684505864722</v>
      </c>
      <c r="E5" s="45">
        <v>2684481413</v>
      </c>
      <c r="F5" s="9">
        <v>2</v>
      </c>
    </row>
    <row r="6" spans="1:6" x14ac:dyDescent="0.2">
      <c r="A6" s="47" t="s">
        <v>90</v>
      </c>
      <c r="B6" s="48">
        <v>60663</v>
      </c>
      <c r="C6" s="48">
        <v>1685</v>
      </c>
      <c r="D6" s="49">
        <f t="shared" si="0"/>
        <v>2.7776404068377759E-2</v>
      </c>
      <c r="E6" s="48">
        <v>4142440</v>
      </c>
      <c r="F6" s="47">
        <v>29</v>
      </c>
    </row>
    <row r="7" spans="1:6" x14ac:dyDescent="0.2">
      <c r="A7" s="9" t="s">
        <v>91</v>
      </c>
      <c r="B7" s="45">
        <v>2590648</v>
      </c>
      <c r="C7" s="45">
        <v>569742</v>
      </c>
      <c r="D7" s="46">
        <f t="shared" si="0"/>
        <v>0.21992258307574011</v>
      </c>
      <c r="E7" s="45">
        <v>1503084782</v>
      </c>
      <c r="F7" s="9">
        <v>18</v>
      </c>
    </row>
    <row r="8" spans="1:6" x14ac:dyDescent="0.2">
      <c r="A8" s="9" t="s">
        <v>92</v>
      </c>
      <c r="B8" s="45">
        <v>2583431</v>
      </c>
      <c r="C8" s="45">
        <v>565469</v>
      </c>
      <c r="D8" s="46">
        <f t="shared" si="0"/>
        <v>0.21888295061877017</v>
      </c>
      <c r="E8" s="45">
        <v>1502953689</v>
      </c>
      <c r="F8" s="9">
        <v>5</v>
      </c>
    </row>
    <row r="9" spans="1:6" x14ac:dyDescent="0.2">
      <c r="A9" s="50" t="s">
        <v>93</v>
      </c>
      <c r="B9" s="51">
        <v>1470245</v>
      </c>
      <c r="C9" s="51">
        <v>6825</v>
      </c>
      <c r="D9" s="52">
        <f t="shared" si="0"/>
        <v>4.6420834622800961E-3</v>
      </c>
      <c r="E9" s="51">
        <v>16827280</v>
      </c>
      <c r="F9" s="50">
        <v>11</v>
      </c>
    </row>
    <row r="10" spans="1:6" x14ac:dyDescent="0.2">
      <c r="A10" s="50" t="s">
        <v>94</v>
      </c>
      <c r="B10" s="51">
        <v>2775259</v>
      </c>
      <c r="C10" s="51">
        <v>24</v>
      </c>
      <c r="D10" s="63">
        <f t="shared" si="0"/>
        <v>8.6478415167737501E-6</v>
      </c>
      <c r="E10" s="51">
        <v>56492</v>
      </c>
      <c r="F10" s="50">
        <v>13</v>
      </c>
    </row>
    <row r="11" spans="1:6" x14ac:dyDescent="0.2">
      <c r="A11" s="9" t="s">
        <v>95</v>
      </c>
      <c r="B11" s="45">
        <v>35996</v>
      </c>
      <c r="C11" s="45">
        <v>16939</v>
      </c>
      <c r="D11" s="46">
        <f t="shared" si="0"/>
        <v>0.47058006445160572</v>
      </c>
      <c r="E11" s="45">
        <v>43927705</v>
      </c>
      <c r="F11" s="9">
        <v>17</v>
      </c>
    </row>
    <row r="12" spans="1:6" x14ac:dyDescent="0.2">
      <c r="A12" s="9" t="s">
        <v>96</v>
      </c>
      <c r="B12" s="45">
        <v>555364</v>
      </c>
      <c r="C12" s="45">
        <v>142950</v>
      </c>
      <c r="D12" s="46">
        <f t="shared" si="0"/>
        <v>0.2573987510893756</v>
      </c>
      <c r="E12" s="45">
        <v>368206619</v>
      </c>
      <c r="F12" s="9">
        <v>24</v>
      </c>
    </row>
    <row r="13" spans="1:6" x14ac:dyDescent="0.2">
      <c r="A13" s="9" t="s">
        <v>176</v>
      </c>
      <c r="B13" s="45">
        <v>615755</v>
      </c>
      <c r="C13" s="45">
        <v>63471</v>
      </c>
      <c r="D13" s="46">
        <f t="shared" si="0"/>
        <v>0.10307833472728602</v>
      </c>
      <c r="E13" s="45">
        <v>161904693</v>
      </c>
      <c r="F13" s="9">
        <v>17</v>
      </c>
    </row>
    <row r="14" spans="1:6" x14ac:dyDescent="0.2">
      <c r="A14" s="9" t="s">
        <v>177</v>
      </c>
      <c r="B14" s="45">
        <v>69773</v>
      </c>
      <c r="C14" s="45">
        <v>10669</v>
      </c>
      <c r="D14" s="46">
        <f t="shared" si="0"/>
        <v>0.15291015149126452</v>
      </c>
      <c r="E14" s="45">
        <v>27427550</v>
      </c>
      <c r="F14" s="9">
        <v>16</v>
      </c>
    </row>
    <row r="18" spans="1:3" x14ac:dyDescent="0.2">
      <c r="A18" t="s">
        <v>172</v>
      </c>
    </row>
    <row r="19" spans="1:3" x14ac:dyDescent="0.2">
      <c r="A19" s="44"/>
      <c r="B19" s="53" t="s">
        <v>174</v>
      </c>
      <c r="C19" s="53" t="s">
        <v>170</v>
      </c>
    </row>
    <row r="20" spans="1:3" x14ac:dyDescent="0.2">
      <c r="A20" s="50" t="s">
        <v>94</v>
      </c>
      <c r="B20" s="51">
        <v>24</v>
      </c>
      <c r="C20" s="51">
        <v>56492</v>
      </c>
    </row>
    <row r="21" spans="1:3" x14ac:dyDescent="0.2">
      <c r="A21" s="9" t="s">
        <v>88</v>
      </c>
      <c r="B21" s="45">
        <v>797</v>
      </c>
      <c r="C21" s="45">
        <v>2036469</v>
      </c>
    </row>
    <row r="22" spans="1:3" x14ac:dyDescent="0.2">
      <c r="A22" s="47" t="s">
        <v>90</v>
      </c>
      <c r="B22" s="48">
        <v>1685</v>
      </c>
      <c r="C22" s="48">
        <v>4142440</v>
      </c>
    </row>
    <row r="23" spans="1:3" x14ac:dyDescent="0.2">
      <c r="A23" s="50" t="s">
        <v>93</v>
      </c>
      <c r="B23" s="51">
        <v>6825</v>
      </c>
      <c r="C23" s="51">
        <v>16827280</v>
      </c>
    </row>
    <row r="24" spans="1:3" x14ac:dyDescent="0.2">
      <c r="A24" s="9" t="s">
        <v>177</v>
      </c>
      <c r="B24" s="45">
        <v>10669</v>
      </c>
      <c r="C24" s="45">
        <v>27427550</v>
      </c>
    </row>
    <row r="25" spans="1:3" x14ac:dyDescent="0.2">
      <c r="A25" s="9" t="s">
        <v>87</v>
      </c>
      <c r="B25" s="45">
        <v>12372</v>
      </c>
      <c r="C25" s="45">
        <v>32341351</v>
      </c>
    </row>
    <row r="26" spans="1:3" x14ac:dyDescent="0.2">
      <c r="A26" s="9" t="s">
        <v>95</v>
      </c>
      <c r="B26" s="45">
        <v>16939</v>
      </c>
      <c r="C26" s="45">
        <v>43927705</v>
      </c>
    </row>
    <row r="27" spans="1:3" x14ac:dyDescent="0.2">
      <c r="A27" s="9" t="s">
        <v>176</v>
      </c>
      <c r="B27" s="45">
        <v>63471</v>
      </c>
      <c r="C27" s="45">
        <v>161904693</v>
      </c>
    </row>
    <row r="28" spans="1:3" x14ac:dyDescent="0.2">
      <c r="A28" s="9" t="s">
        <v>96</v>
      </c>
      <c r="B28" s="45">
        <v>142950</v>
      </c>
      <c r="C28" s="45">
        <v>368206619</v>
      </c>
    </row>
    <row r="29" spans="1:3" x14ac:dyDescent="0.2">
      <c r="A29" s="9" t="s">
        <v>92</v>
      </c>
      <c r="B29" s="45">
        <v>565469</v>
      </c>
      <c r="C29" s="45">
        <v>1502953689</v>
      </c>
    </row>
    <row r="30" spans="1:3" x14ac:dyDescent="0.2">
      <c r="A30" s="9" t="s">
        <v>91</v>
      </c>
      <c r="B30" s="45">
        <v>569742</v>
      </c>
      <c r="C30" s="45">
        <v>1503084782</v>
      </c>
    </row>
    <row r="31" spans="1:3" x14ac:dyDescent="0.2">
      <c r="A31" s="9" t="s">
        <v>89</v>
      </c>
      <c r="B31" s="45">
        <v>1024192</v>
      </c>
      <c r="C31" s="45">
        <v>2684481413</v>
      </c>
    </row>
    <row r="35" spans="1:6" x14ac:dyDescent="0.2">
      <c r="B35" s="9" t="s">
        <v>173</v>
      </c>
      <c r="C35" s="9" t="s">
        <v>174</v>
      </c>
      <c r="D35" s="9" t="s">
        <v>169</v>
      </c>
      <c r="E35" s="9" t="s">
        <v>170</v>
      </c>
      <c r="F35" s="9" t="s">
        <v>171</v>
      </c>
    </row>
    <row r="36" spans="1:6" ht="18" x14ac:dyDescent="0.2">
      <c r="A36" s="13" t="s">
        <v>39</v>
      </c>
    </row>
    <row r="37" spans="1:6" ht="18" x14ac:dyDescent="0.2">
      <c r="A37" s="13" t="s">
        <v>6</v>
      </c>
    </row>
    <row r="38" spans="1:6" ht="18" x14ac:dyDescent="0.2">
      <c r="A38" s="13" t="s">
        <v>7</v>
      </c>
    </row>
    <row r="39" spans="1:6" ht="18" x14ac:dyDescent="0.2">
      <c r="A39" s="13" t="s">
        <v>42</v>
      </c>
    </row>
    <row r="40" spans="1:6" ht="18" x14ac:dyDescent="0.2">
      <c r="A40" s="13" t="s">
        <v>41</v>
      </c>
    </row>
    <row r="41" spans="1:6" ht="18" x14ac:dyDescent="0.2">
      <c r="A41" s="13" t="s">
        <v>43</v>
      </c>
    </row>
    <row r="42" spans="1:6" ht="18" x14ac:dyDescent="0.2">
      <c r="A42" s="13" t="s">
        <v>45</v>
      </c>
    </row>
    <row r="43" spans="1:6" ht="18" x14ac:dyDescent="0.2">
      <c r="A43" s="13" t="s">
        <v>47</v>
      </c>
    </row>
    <row r="44" spans="1:6" ht="18" x14ac:dyDescent="0.2">
      <c r="A44" s="13" t="s">
        <v>11</v>
      </c>
    </row>
    <row r="45" spans="1:6" ht="18" x14ac:dyDescent="0.2">
      <c r="A45" s="13" t="s">
        <v>13</v>
      </c>
    </row>
    <row r="46" spans="1:6" ht="18" x14ac:dyDescent="0.2">
      <c r="A46" s="13" t="s">
        <v>15</v>
      </c>
    </row>
    <row r="47" spans="1:6" ht="18" x14ac:dyDescent="0.2">
      <c r="A47" s="13" t="s">
        <v>16</v>
      </c>
    </row>
    <row r="48" spans="1:6" ht="18" x14ac:dyDescent="0.2">
      <c r="A48" s="13" t="s">
        <v>19</v>
      </c>
    </row>
    <row r="49" spans="1:6" ht="18" x14ac:dyDescent="0.2">
      <c r="A49" s="13" t="s">
        <v>21</v>
      </c>
    </row>
    <row r="53" spans="1:6" ht="38" x14ac:dyDescent="0.2">
      <c r="B53" s="40" t="s">
        <v>160</v>
      </c>
      <c r="C53" s="40" t="s">
        <v>166</v>
      </c>
      <c r="D53" s="40" t="s">
        <v>178</v>
      </c>
      <c r="E53" s="40" t="s">
        <v>179</v>
      </c>
      <c r="F53" s="40"/>
    </row>
    <row r="54" spans="1:6" ht="18" x14ac:dyDescent="0.2">
      <c r="A54" s="13" t="s">
        <v>138</v>
      </c>
      <c r="B54" s="36">
        <v>2.6</v>
      </c>
      <c r="C54" s="3">
        <v>5</v>
      </c>
      <c r="D54" s="3">
        <v>388900</v>
      </c>
      <c r="E54" s="54">
        <f>C54/D54</f>
        <v>1.2856775520699408E-5</v>
      </c>
      <c r="F54" s="43"/>
    </row>
    <row r="55" spans="1:6" ht="18" x14ac:dyDescent="0.2">
      <c r="A55" s="13" t="s">
        <v>139</v>
      </c>
      <c r="B55" s="36">
        <v>36</v>
      </c>
      <c r="C55" s="3">
        <v>32</v>
      </c>
      <c r="D55" s="3">
        <v>52843</v>
      </c>
      <c r="E55" s="54">
        <f t="shared" ref="E55:E79" si="1">C55/D55</f>
        <v>6.0556743561115001E-4</v>
      </c>
      <c r="F55" s="43"/>
    </row>
    <row r="56" spans="1:6" ht="18" x14ac:dyDescent="0.2">
      <c r="A56" s="13" t="s">
        <v>140</v>
      </c>
      <c r="B56" s="36">
        <v>179</v>
      </c>
      <c r="C56" s="3">
        <v>127</v>
      </c>
      <c r="D56" s="3">
        <v>157595</v>
      </c>
      <c r="E56" s="54">
        <f t="shared" si="1"/>
        <v>8.0586313017544972E-4</v>
      </c>
      <c r="F56" s="43"/>
    </row>
    <row r="57" spans="1:6" ht="18" x14ac:dyDescent="0.2">
      <c r="A57" s="13" t="s">
        <v>141</v>
      </c>
      <c r="B57" s="36">
        <v>1.1000000000000001</v>
      </c>
      <c r="C57" s="3">
        <v>9</v>
      </c>
      <c r="D57" s="3">
        <v>41701</v>
      </c>
      <c r="E57" s="54">
        <f t="shared" si="1"/>
        <v>2.1582216253806862E-4</v>
      </c>
      <c r="F57" s="43"/>
    </row>
    <row r="58" spans="1:6" ht="18" x14ac:dyDescent="0.2">
      <c r="A58" s="13" t="s">
        <v>142</v>
      </c>
      <c r="B58" s="36">
        <v>70</v>
      </c>
      <c r="C58" s="3">
        <v>76</v>
      </c>
      <c r="D58" s="3">
        <v>176264</v>
      </c>
      <c r="E58" s="54">
        <f t="shared" si="1"/>
        <v>4.3117142468116008E-4</v>
      </c>
      <c r="F58" s="43"/>
    </row>
    <row r="59" spans="1:6" ht="18" x14ac:dyDescent="0.2">
      <c r="A59" s="13" t="s">
        <v>143</v>
      </c>
      <c r="B59" s="36">
        <v>310</v>
      </c>
      <c r="C59" s="3">
        <v>107</v>
      </c>
      <c r="D59" s="3">
        <v>73311</v>
      </c>
      <c r="E59" s="54">
        <f t="shared" si="1"/>
        <v>1.4595354039639344E-3</v>
      </c>
      <c r="F59" s="43"/>
    </row>
    <row r="60" spans="1:6" ht="18" x14ac:dyDescent="0.2">
      <c r="A60" s="13" t="s">
        <v>144</v>
      </c>
      <c r="B60" s="36">
        <v>11</v>
      </c>
      <c r="C60" s="3">
        <v>14</v>
      </c>
      <c r="D60" s="3">
        <v>196404</v>
      </c>
      <c r="E60" s="54">
        <f t="shared" si="1"/>
        <v>7.1281643958371515E-5</v>
      </c>
      <c r="F60" s="43"/>
    </row>
    <row r="61" spans="1:6" ht="18" x14ac:dyDescent="0.2">
      <c r="A61" s="13" t="s">
        <v>145</v>
      </c>
      <c r="B61" s="36">
        <v>31</v>
      </c>
      <c r="C61" s="3">
        <v>28</v>
      </c>
      <c r="D61" s="3">
        <v>25916</v>
      </c>
      <c r="E61" s="54">
        <f t="shared" si="1"/>
        <v>1.0804136440808766E-3</v>
      </c>
      <c r="F61" s="43"/>
    </row>
    <row r="62" spans="1:6" ht="18" x14ac:dyDescent="0.2">
      <c r="A62" s="13" t="s">
        <v>0</v>
      </c>
      <c r="B62" s="36">
        <v>2.6</v>
      </c>
      <c r="C62" s="3">
        <v>7</v>
      </c>
      <c r="D62" s="3">
        <v>754600</v>
      </c>
      <c r="E62" s="54">
        <f t="shared" si="1"/>
        <v>9.2764378478664186E-6</v>
      </c>
      <c r="F62" s="43"/>
    </row>
    <row r="63" spans="1:6" ht="18" x14ac:dyDescent="0.2">
      <c r="A63" s="55" t="s">
        <v>1</v>
      </c>
      <c r="B63" s="56">
        <v>1.2</v>
      </c>
      <c r="C63" s="8">
        <v>7</v>
      </c>
      <c r="D63" s="8">
        <v>118523</v>
      </c>
      <c r="E63" s="57">
        <f t="shared" si="1"/>
        <v>5.906026678366224E-5</v>
      </c>
      <c r="F63" s="43"/>
    </row>
    <row r="64" spans="1:6" ht="18" x14ac:dyDescent="0.2">
      <c r="A64" s="13" t="s">
        <v>2</v>
      </c>
      <c r="B64" s="36">
        <v>70</v>
      </c>
      <c r="C64" s="3">
        <v>61</v>
      </c>
      <c r="D64" s="3">
        <v>174995</v>
      </c>
      <c r="E64" s="54">
        <f t="shared" si="1"/>
        <v>3.4858138803965828E-4</v>
      </c>
      <c r="F64" s="43"/>
    </row>
    <row r="65" spans="1:6" ht="18" x14ac:dyDescent="0.2">
      <c r="A65" s="13" t="s">
        <v>3</v>
      </c>
      <c r="B65" s="36">
        <v>310</v>
      </c>
      <c r="C65" s="3">
        <v>100</v>
      </c>
      <c r="D65" s="3">
        <v>73369</v>
      </c>
      <c r="E65" s="54">
        <f t="shared" si="1"/>
        <v>1.3629734629066771E-3</v>
      </c>
      <c r="F65" s="43"/>
    </row>
    <row r="66" spans="1:6" ht="18" x14ac:dyDescent="0.2">
      <c r="A66" s="13" t="s">
        <v>4</v>
      </c>
      <c r="B66" s="36">
        <v>11</v>
      </c>
      <c r="C66" s="3">
        <v>16</v>
      </c>
      <c r="D66" s="3">
        <v>197495</v>
      </c>
      <c r="E66" s="54">
        <f t="shared" si="1"/>
        <v>8.1014709233145148E-5</v>
      </c>
      <c r="F66" s="43"/>
    </row>
    <row r="67" spans="1:6" ht="18" x14ac:dyDescent="0.2">
      <c r="A67" s="13" t="s">
        <v>5</v>
      </c>
      <c r="B67" s="36">
        <v>31</v>
      </c>
      <c r="C67" s="3">
        <v>23</v>
      </c>
      <c r="D67" s="3">
        <v>80178</v>
      </c>
      <c r="E67" s="54">
        <f t="shared" si="1"/>
        <v>2.8686173264486515E-4</v>
      </c>
      <c r="F67" s="43"/>
    </row>
    <row r="68" spans="1:6" ht="18" x14ac:dyDescent="0.2">
      <c r="A68" s="2" t="s">
        <v>113</v>
      </c>
      <c r="B68" s="36">
        <v>5.4</v>
      </c>
      <c r="C68" s="3">
        <v>3</v>
      </c>
      <c r="D68" s="3">
        <v>461</v>
      </c>
      <c r="E68" s="54">
        <f t="shared" si="1"/>
        <v>6.5075921908893707E-3</v>
      </c>
      <c r="F68" s="43"/>
    </row>
    <row r="69" spans="1:6" ht="18" x14ac:dyDescent="0.2">
      <c r="A69" s="59" t="s">
        <v>114</v>
      </c>
      <c r="B69" s="60">
        <v>11</v>
      </c>
      <c r="C69" s="61">
        <v>16</v>
      </c>
      <c r="D69" s="61">
        <v>87</v>
      </c>
      <c r="E69" s="62">
        <f t="shared" si="1"/>
        <v>0.18390804597701149</v>
      </c>
      <c r="F69" s="43"/>
    </row>
    <row r="70" spans="1:6" ht="18" x14ac:dyDescent="0.2">
      <c r="A70" s="2" t="s">
        <v>115</v>
      </c>
      <c r="B70" s="36">
        <v>4.2</v>
      </c>
      <c r="C70" s="3">
        <v>23</v>
      </c>
      <c r="D70" s="3">
        <v>52984</v>
      </c>
      <c r="E70" s="54">
        <f t="shared" si="1"/>
        <v>4.3409331118828324E-4</v>
      </c>
      <c r="F70" s="43"/>
    </row>
    <row r="71" spans="1:6" ht="18" x14ac:dyDescent="0.2">
      <c r="A71" s="2" t="s">
        <v>116</v>
      </c>
      <c r="B71" s="36">
        <v>12</v>
      </c>
      <c r="C71" s="3">
        <v>9</v>
      </c>
      <c r="D71" s="3">
        <v>123</v>
      </c>
      <c r="E71" s="54">
        <f t="shared" si="1"/>
        <v>7.3170731707317069E-2</v>
      </c>
      <c r="F71" s="43"/>
    </row>
    <row r="72" spans="1:6" ht="18" x14ac:dyDescent="0.2">
      <c r="A72" s="2" t="s">
        <v>117</v>
      </c>
      <c r="B72" s="36">
        <v>3.7</v>
      </c>
      <c r="C72" s="3">
        <v>6</v>
      </c>
      <c r="D72" s="3">
        <v>18111</v>
      </c>
      <c r="E72" s="54">
        <f t="shared" si="1"/>
        <v>3.3129037601457677E-4</v>
      </c>
      <c r="F72" s="43"/>
    </row>
    <row r="73" spans="1:6" ht="18" x14ac:dyDescent="0.2">
      <c r="A73" s="2" t="s">
        <v>118</v>
      </c>
      <c r="B73" s="36">
        <v>3.4</v>
      </c>
      <c r="C73" s="3">
        <v>11</v>
      </c>
      <c r="D73" s="3">
        <v>19480</v>
      </c>
      <c r="E73" s="54">
        <f t="shared" si="1"/>
        <v>5.6468172484599587E-4</v>
      </c>
      <c r="F73" s="43"/>
    </row>
    <row r="74" spans="1:6" ht="18" x14ac:dyDescent="0.2">
      <c r="A74" s="32" t="s">
        <v>119</v>
      </c>
      <c r="B74" s="56">
        <v>8.1</v>
      </c>
      <c r="C74" s="8">
        <v>10</v>
      </c>
      <c r="D74" s="8">
        <v>2014</v>
      </c>
      <c r="E74" s="57">
        <f t="shared" si="1"/>
        <v>4.9652432969215492E-3</v>
      </c>
      <c r="F74" s="43"/>
    </row>
    <row r="75" spans="1:6" ht="18" x14ac:dyDescent="0.2">
      <c r="A75" s="32" t="s">
        <v>120</v>
      </c>
      <c r="B75" s="56">
        <v>6.5</v>
      </c>
      <c r="C75" s="8">
        <v>22</v>
      </c>
      <c r="D75" s="8">
        <v>3731</v>
      </c>
      <c r="E75" s="57">
        <f t="shared" si="1"/>
        <v>5.8965424819083356E-3</v>
      </c>
      <c r="F75" s="43"/>
    </row>
    <row r="76" spans="1:6" ht="18" x14ac:dyDescent="0.2">
      <c r="A76" s="59" t="s">
        <v>121</v>
      </c>
      <c r="B76" s="60">
        <v>13</v>
      </c>
      <c r="C76" s="61">
        <v>14</v>
      </c>
      <c r="D76" s="61">
        <v>524</v>
      </c>
      <c r="E76" s="62">
        <f t="shared" si="1"/>
        <v>2.6717557251908396E-2</v>
      </c>
      <c r="F76" s="43"/>
    </row>
    <row r="77" spans="1:6" ht="18" x14ac:dyDescent="0.2">
      <c r="A77" s="2" t="s">
        <v>122</v>
      </c>
      <c r="B77" s="36">
        <v>3.7</v>
      </c>
      <c r="C77" s="3">
        <v>3</v>
      </c>
      <c r="D77" s="3">
        <v>5521</v>
      </c>
      <c r="E77" s="54">
        <f t="shared" si="1"/>
        <v>5.4337982249592464E-4</v>
      </c>
      <c r="F77" s="43"/>
    </row>
    <row r="78" spans="1:6" ht="18" x14ac:dyDescent="0.2">
      <c r="A78" s="2" t="s">
        <v>123</v>
      </c>
      <c r="B78" s="36">
        <v>4.8</v>
      </c>
      <c r="C78" s="3">
        <v>3</v>
      </c>
      <c r="D78" s="3">
        <v>2318</v>
      </c>
      <c r="E78" s="54">
        <f t="shared" si="1"/>
        <v>1.2942191544434857E-3</v>
      </c>
      <c r="F78" s="43"/>
    </row>
    <row r="79" spans="1:6" ht="18" x14ac:dyDescent="0.2">
      <c r="A79" s="59" t="s">
        <v>124</v>
      </c>
      <c r="B79" s="60">
        <v>5.0999999999999996</v>
      </c>
      <c r="C79" s="61">
        <v>30</v>
      </c>
      <c r="D79" s="61">
        <v>406</v>
      </c>
      <c r="E79" s="62">
        <f t="shared" si="1"/>
        <v>7.3891625615763554E-2</v>
      </c>
      <c r="F79" s="43"/>
    </row>
    <row r="87" spans="1:3" x14ac:dyDescent="0.2">
      <c r="A87" s="20"/>
      <c r="B87" s="20" t="s">
        <v>180</v>
      </c>
      <c r="C87" s="20" t="s">
        <v>181</v>
      </c>
    </row>
    <row r="88" spans="1:3" x14ac:dyDescent="0.2">
      <c r="A88" s="20" t="s">
        <v>113</v>
      </c>
      <c r="B88" s="20">
        <v>32340810</v>
      </c>
      <c r="C88" s="20">
        <v>541</v>
      </c>
    </row>
    <row r="89" spans="1:3" x14ac:dyDescent="0.2">
      <c r="A89" s="20" t="s">
        <v>114</v>
      </c>
      <c r="B89" s="20">
        <v>2034828</v>
      </c>
      <c r="C89" s="20">
        <v>1641</v>
      </c>
    </row>
    <row r="90" spans="1:3" x14ac:dyDescent="0.2">
      <c r="A90" s="20" t="s">
        <v>115</v>
      </c>
      <c r="B90" s="20">
        <v>2684480738</v>
      </c>
      <c r="C90" s="20">
        <v>675</v>
      </c>
    </row>
    <row r="91" spans="1:3" x14ac:dyDescent="0.2">
      <c r="A91" s="20" t="s">
        <v>116</v>
      </c>
      <c r="B91" s="20">
        <v>3934863</v>
      </c>
      <c r="C91" s="20">
        <v>207577</v>
      </c>
    </row>
    <row r="92" spans="1:3" x14ac:dyDescent="0.2">
      <c r="A92" s="20" t="s">
        <v>117</v>
      </c>
      <c r="B92" s="20">
        <v>1503079099</v>
      </c>
      <c r="C92" s="20">
        <v>5683</v>
      </c>
    </row>
    <row r="93" spans="1:3" x14ac:dyDescent="0.2">
      <c r="A93" s="20" t="s">
        <v>118</v>
      </c>
      <c r="B93" s="20">
        <v>1502948006</v>
      </c>
      <c r="C93" s="20">
        <v>5683</v>
      </c>
    </row>
    <row r="94" spans="1:3" x14ac:dyDescent="0.2">
      <c r="A94" s="58" t="s">
        <v>119</v>
      </c>
      <c r="B94" s="20">
        <v>16820055</v>
      </c>
      <c r="C94" s="20">
        <v>7225</v>
      </c>
    </row>
    <row r="95" spans="1:3" x14ac:dyDescent="0.2">
      <c r="A95" s="58" t="s">
        <v>120</v>
      </c>
      <c r="B95" s="20">
        <v>49447</v>
      </c>
      <c r="C95" s="20">
        <v>7045</v>
      </c>
    </row>
    <row r="96" spans="1:3" x14ac:dyDescent="0.2">
      <c r="A96" s="20" t="s">
        <v>121</v>
      </c>
      <c r="B96" s="20">
        <v>43845604</v>
      </c>
      <c r="C96" s="20">
        <v>82101</v>
      </c>
    </row>
    <row r="97" spans="1:3" x14ac:dyDescent="0.2">
      <c r="A97" s="20" t="s">
        <v>122</v>
      </c>
      <c r="B97" s="20">
        <v>368205959</v>
      </c>
      <c r="C97" s="20">
        <v>660</v>
      </c>
    </row>
    <row r="98" spans="1:3" x14ac:dyDescent="0.2">
      <c r="A98" s="20" t="s">
        <v>123</v>
      </c>
      <c r="B98" s="20">
        <v>161798447</v>
      </c>
      <c r="C98" s="20">
        <v>106246</v>
      </c>
    </row>
    <row r="99" spans="1:3" x14ac:dyDescent="0.2">
      <c r="A99" s="20" t="s">
        <v>124</v>
      </c>
      <c r="B99" s="20">
        <v>27321287</v>
      </c>
      <c r="C99" s="20">
        <v>106263</v>
      </c>
    </row>
  </sheetData>
  <sortState xmlns:xlrd2="http://schemas.microsoft.com/office/spreadsheetml/2017/richdata2" ref="A20:C31">
    <sortCondition ref="C20:C3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Bench status</vt:lpstr>
      <vt:lpstr>Static Dynamic Characteristics</vt:lpstr>
      <vt:lpstr>Static_Overhead_SPEC2017</vt:lpstr>
      <vt:lpstr>Static_Overhead_Splash3</vt:lpstr>
      <vt:lpstr>Dyn_Overhead_SPEC2017</vt:lpstr>
      <vt:lpstr>Dyn_Overhead_Splash3</vt:lpstr>
      <vt:lpstr>Sheet1</vt:lpstr>
      <vt:lpstr>Dyn_Overhead_Splash3-analysis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Sungkeun</dc:creator>
  <cp:keywords/>
  <dc:description/>
  <cp:lastModifiedBy>Kim, Sungkeun</cp:lastModifiedBy>
  <cp:revision/>
  <dcterms:created xsi:type="dcterms:W3CDTF">2022-06-02T21:10:16Z</dcterms:created>
  <dcterms:modified xsi:type="dcterms:W3CDTF">2023-01-12T20:59:34Z</dcterms:modified>
  <cp:category/>
  <cp:contentStatus/>
</cp:coreProperties>
</file>