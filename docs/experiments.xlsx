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gkeunkim/git/DCCE/docs/"/>
    </mc:Choice>
  </mc:AlternateContent>
  <xr:revisionPtr revIDLastSave="0" documentId="13_ncr:1_{91F0B741-68A9-7F42-9FAB-2806FAEB8960}" xr6:coauthVersionLast="47" xr6:coauthVersionMax="47" xr10:uidLastSave="{00000000-0000-0000-0000-000000000000}"/>
  <bookViews>
    <workbookView xWindow="-38400" yWindow="-8080" windowWidth="38400" windowHeight="21100" activeTab="1" xr2:uid="{E6A628A0-BA48-FD4D-9B0A-CC4CBF8BF1CD}"/>
  </bookViews>
  <sheets>
    <sheet name="Bench status" sheetId="11" r:id="rId1"/>
    <sheet name="Static Dynamic Characteristics" sheetId="13" r:id="rId2"/>
    <sheet name="Static_Overhead_SPEC2017" sheetId="23" r:id="rId3"/>
    <sheet name="Static_Overhead_Splash3" sheetId="22" r:id="rId4"/>
    <sheet name="Dyn_Overhead_SPEC2017" sheetId="19" r:id="rId5"/>
    <sheet name="Dyn_Overhead_Splash3" sheetId="20" r:id="rId6"/>
    <sheet name="Sheet1" sheetId="24" r:id="rId7"/>
    <sheet name="Dyn_Overhead_Splash3-analysis" sheetId="25" r:id="rId8"/>
    <sheet name="Sheet3" sheetId="26" r:id="rId9"/>
  </sheets>
  <definedNames>
    <definedName name="_xlnm._FilterDatabase" localSheetId="0" hidden="1">'Bench status'!$A$1:$I$58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0" i="22" l="1"/>
  <c r="H50" i="22"/>
  <c r="I50" i="22"/>
  <c r="J50" i="22"/>
  <c r="G51" i="23"/>
  <c r="H51" i="23"/>
  <c r="I51" i="23"/>
  <c r="J51" i="23"/>
  <c r="G52" i="23"/>
  <c r="H52" i="23"/>
  <c r="I52" i="23"/>
  <c r="J52" i="23"/>
  <c r="G53" i="23"/>
  <c r="H53" i="23"/>
  <c r="I53" i="23"/>
  <c r="J53" i="23"/>
  <c r="G54" i="23"/>
  <c r="H54" i="23"/>
  <c r="I54" i="23"/>
  <c r="J54" i="23"/>
  <c r="G55" i="23"/>
  <c r="H55" i="23"/>
  <c r="I55" i="23"/>
  <c r="J55" i="23"/>
  <c r="G56" i="23"/>
  <c r="H56" i="23"/>
  <c r="I56" i="23"/>
  <c r="J56" i="23"/>
  <c r="G57" i="23"/>
  <c r="H57" i="23"/>
  <c r="I57" i="23"/>
  <c r="J57" i="23"/>
  <c r="G58" i="23"/>
  <c r="H58" i="23"/>
  <c r="I58" i="23"/>
  <c r="J58" i="23"/>
  <c r="C18" i="22"/>
  <c r="D18" i="22"/>
  <c r="E18" i="22"/>
  <c r="F18" i="22"/>
  <c r="C19" i="22"/>
  <c r="D19" i="22"/>
  <c r="E19" i="22"/>
  <c r="F19" i="22"/>
  <c r="C20" i="22"/>
  <c r="D20" i="22"/>
  <c r="E20" i="22"/>
  <c r="F20" i="22"/>
  <c r="C21" i="22"/>
  <c r="D21" i="22"/>
  <c r="E21" i="22"/>
  <c r="F21" i="22"/>
  <c r="C22" i="22"/>
  <c r="D22" i="22"/>
  <c r="E22" i="22"/>
  <c r="F22" i="22"/>
  <c r="C23" i="22"/>
  <c r="D23" i="22"/>
  <c r="E23" i="22"/>
  <c r="F23" i="22"/>
  <c r="C24" i="22"/>
  <c r="D24" i="22"/>
  <c r="E24" i="22"/>
  <c r="F24" i="22"/>
  <c r="C25" i="22"/>
  <c r="D25" i="22"/>
  <c r="E25" i="22"/>
  <c r="F25" i="22"/>
  <c r="C26" i="22"/>
  <c r="D26" i="22"/>
  <c r="E26" i="22"/>
  <c r="F26" i="22"/>
  <c r="C27" i="22"/>
  <c r="D27" i="22"/>
  <c r="E27" i="22"/>
  <c r="F27" i="22"/>
  <c r="C28" i="22"/>
  <c r="D28" i="22"/>
  <c r="E28" i="22"/>
  <c r="F28" i="22"/>
  <c r="C29" i="22"/>
  <c r="D29" i="22"/>
  <c r="E29" i="22"/>
  <c r="F29" i="22"/>
  <c r="C30" i="22"/>
  <c r="D30" i="22"/>
  <c r="E30" i="22"/>
  <c r="F30" i="22"/>
  <c r="B28" i="22"/>
  <c r="D35" i="23"/>
  <c r="D28" i="23"/>
  <c r="C24" i="23"/>
  <c r="D24" i="23"/>
  <c r="E24" i="23"/>
  <c r="F24" i="23"/>
  <c r="C25" i="23"/>
  <c r="C40" i="23" s="1"/>
  <c r="D25" i="23"/>
  <c r="E25" i="23"/>
  <c r="F25" i="23"/>
  <c r="C26" i="23"/>
  <c r="D26" i="23"/>
  <c r="E26" i="23"/>
  <c r="F26" i="23"/>
  <c r="C27" i="23"/>
  <c r="D27" i="23"/>
  <c r="E27" i="23"/>
  <c r="F27" i="23"/>
  <c r="C28" i="23"/>
  <c r="E28" i="23"/>
  <c r="F28" i="23"/>
  <c r="C29" i="23"/>
  <c r="D29" i="23"/>
  <c r="E29" i="23"/>
  <c r="F29" i="23"/>
  <c r="C30" i="23"/>
  <c r="D30" i="23"/>
  <c r="E30" i="23"/>
  <c r="F30" i="23"/>
  <c r="C31" i="23"/>
  <c r="D31" i="23"/>
  <c r="E31" i="23"/>
  <c r="F31" i="23"/>
  <c r="C32" i="23"/>
  <c r="D32" i="23"/>
  <c r="E32" i="23"/>
  <c r="F32" i="23"/>
  <c r="C33" i="23"/>
  <c r="D33" i="23"/>
  <c r="E33" i="23"/>
  <c r="F33" i="23"/>
  <c r="C34" i="23"/>
  <c r="D34" i="23"/>
  <c r="E34" i="23"/>
  <c r="F34" i="23"/>
  <c r="C35" i="23"/>
  <c r="E35" i="23"/>
  <c r="F35" i="23"/>
  <c r="C36" i="23"/>
  <c r="D36" i="23"/>
  <c r="E36" i="23"/>
  <c r="F36" i="23"/>
  <c r="C37" i="23"/>
  <c r="D37" i="23"/>
  <c r="E37" i="23"/>
  <c r="F37" i="23"/>
  <c r="C38" i="23"/>
  <c r="D38" i="23"/>
  <c r="E38" i="23"/>
  <c r="F38" i="23"/>
  <c r="C39" i="23"/>
  <c r="D39" i="23"/>
  <c r="E39" i="23"/>
  <c r="F39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F48" i="13"/>
  <c r="L48" i="13" s="1"/>
  <c r="F33" i="13"/>
  <c r="F26" i="13"/>
  <c r="L26" i="13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E70" i="26"/>
  <c r="E71" i="26"/>
  <c r="E72" i="26"/>
  <c r="E73" i="26"/>
  <c r="E74" i="26"/>
  <c r="E75" i="26"/>
  <c r="E76" i="26"/>
  <c r="E77" i="26"/>
  <c r="E78" i="26"/>
  <c r="E79" i="26"/>
  <c r="E54" i="26"/>
  <c r="D13" i="26"/>
  <c r="D14" i="26"/>
  <c r="D4" i="26"/>
  <c r="D5" i="26"/>
  <c r="D6" i="26"/>
  <c r="D7" i="26"/>
  <c r="D8" i="26"/>
  <c r="D9" i="26"/>
  <c r="D10" i="26"/>
  <c r="D11" i="26"/>
  <c r="D12" i="26"/>
  <c r="D3" i="26"/>
  <c r="G60" i="25"/>
  <c r="F60" i="25"/>
  <c r="E60" i="25"/>
  <c r="D60" i="25"/>
  <c r="C60" i="25"/>
  <c r="B60" i="25"/>
  <c r="G59" i="25"/>
  <c r="F59" i="25"/>
  <c r="E59" i="25"/>
  <c r="D59" i="25"/>
  <c r="C59" i="25"/>
  <c r="B59" i="25"/>
  <c r="G58" i="25"/>
  <c r="F58" i="25"/>
  <c r="E58" i="25"/>
  <c r="D58" i="25"/>
  <c r="C58" i="25"/>
  <c r="B58" i="25"/>
  <c r="G57" i="25"/>
  <c r="F57" i="25"/>
  <c r="E57" i="25"/>
  <c r="D57" i="25"/>
  <c r="C57" i="25"/>
  <c r="B57" i="25"/>
  <c r="G56" i="25"/>
  <c r="F56" i="25"/>
  <c r="E56" i="25"/>
  <c r="D56" i="25"/>
  <c r="C56" i="25"/>
  <c r="B56" i="25"/>
  <c r="G55" i="25"/>
  <c r="F55" i="25"/>
  <c r="E55" i="25"/>
  <c r="D55" i="25"/>
  <c r="C55" i="25"/>
  <c r="B55" i="25"/>
  <c r="G54" i="25"/>
  <c r="F54" i="25"/>
  <c r="E54" i="25"/>
  <c r="D54" i="25"/>
  <c r="C54" i="25"/>
  <c r="B54" i="25"/>
  <c r="G53" i="25"/>
  <c r="F53" i="25"/>
  <c r="E53" i="25"/>
  <c r="D53" i="25"/>
  <c r="C53" i="25"/>
  <c r="B53" i="25"/>
  <c r="G52" i="25"/>
  <c r="F52" i="25"/>
  <c r="E52" i="25"/>
  <c r="D52" i="25"/>
  <c r="C52" i="25"/>
  <c r="B52" i="25"/>
  <c r="G51" i="25"/>
  <c r="F51" i="25"/>
  <c r="E51" i="25"/>
  <c r="D51" i="25"/>
  <c r="C51" i="25"/>
  <c r="B51" i="25"/>
  <c r="G50" i="25"/>
  <c r="F50" i="25"/>
  <c r="E50" i="25"/>
  <c r="D50" i="25"/>
  <c r="C50" i="25"/>
  <c r="B50" i="25"/>
  <c r="G49" i="25"/>
  <c r="G61" i="25" s="1"/>
  <c r="F49" i="25"/>
  <c r="F61" i="25" s="1"/>
  <c r="E49" i="25"/>
  <c r="E61" i="25" s="1"/>
  <c r="D49" i="25"/>
  <c r="D61" i="25" s="1"/>
  <c r="C49" i="25"/>
  <c r="C61" i="25" s="1"/>
  <c r="B49" i="25"/>
  <c r="B61" i="25" s="1"/>
  <c r="L45" i="25"/>
  <c r="K45" i="25"/>
  <c r="J45" i="25"/>
  <c r="M45" i="25" s="1"/>
  <c r="I45" i="25"/>
  <c r="H45" i="25"/>
  <c r="M44" i="25"/>
  <c r="L44" i="25"/>
  <c r="K44" i="25"/>
  <c r="J44" i="25"/>
  <c r="I44" i="25"/>
  <c r="H44" i="25"/>
  <c r="L43" i="25"/>
  <c r="K43" i="25"/>
  <c r="J43" i="25"/>
  <c r="M43" i="25" s="1"/>
  <c r="I43" i="25"/>
  <c r="H43" i="25"/>
  <c r="L42" i="25"/>
  <c r="K42" i="25"/>
  <c r="J42" i="25"/>
  <c r="M42" i="25" s="1"/>
  <c r="I42" i="25"/>
  <c r="H42" i="25"/>
  <c r="L41" i="25"/>
  <c r="M41" i="25" s="1"/>
  <c r="K41" i="25"/>
  <c r="J41" i="25"/>
  <c r="I41" i="25"/>
  <c r="H41" i="25"/>
  <c r="L40" i="25"/>
  <c r="K40" i="25"/>
  <c r="J40" i="25"/>
  <c r="M40" i="25" s="1"/>
  <c r="I40" i="25"/>
  <c r="H40" i="25"/>
  <c r="M39" i="25"/>
  <c r="L39" i="25"/>
  <c r="K39" i="25"/>
  <c r="J39" i="25"/>
  <c r="I39" i="25"/>
  <c r="H39" i="25"/>
  <c r="L38" i="25"/>
  <c r="K38" i="25"/>
  <c r="J38" i="25"/>
  <c r="M38" i="25" s="1"/>
  <c r="I38" i="25"/>
  <c r="H38" i="25"/>
  <c r="L37" i="25"/>
  <c r="K37" i="25"/>
  <c r="J37" i="25"/>
  <c r="M37" i="25" s="1"/>
  <c r="I37" i="25"/>
  <c r="H37" i="25"/>
  <c r="L36" i="25"/>
  <c r="M36" i="25" s="1"/>
  <c r="K36" i="25"/>
  <c r="J36" i="25"/>
  <c r="I36" i="25"/>
  <c r="H36" i="25"/>
  <c r="L35" i="25"/>
  <c r="K35" i="25"/>
  <c r="K46" i="25" s="1"/>
  <c r="J35" i="25"/>
  <c r="M35" i="25" s="1"/>
  <c r="I35" i="25"/>
  <c r="H35" i="25"/>
  <c r="M34" i="25"/>
  <c r="L34" i="25"/>
  <c r="K34" i="25"/>
  <c r="J34" i="25"/>
  <c r="J46" i="25" s="1"/>
  <c r="I34" i="25"/>
  <c r="I46" i="25" s="1"/>
  <c r="H34" i="25"/>
  <c r="H46" i="25" s="1"/>
  <c r="F29" i="25"/>
  <c r="G28" i="25"/>
  <c r="F28" i="25"/>
  <c r="E28" i="25"/>
  <c r="D28" i="25"/>
  <c r="C28" i="25"/>
  <c r="B28" i="25"/>
  <c r="G27" i="25"/>
  <c r="F27" i="25"/>
  <c r="E27" i="25"/>
  <c r="D27" i="25"/>
  <c r="C27" i="25"/>
  <c r="B27" i="25"/>
  <c r="G26" i="25"/>
  <c r="F26" i="25"/>
  <c r="E26" i="25"/>
  <c r="D26" i="25"/>
  <c r="C26" i="25"/>
  <c r="B26" i="25"/>
  <c r="G25" i="25"/>
  <c r="F25" i="25"/>
  <c r="E25" i="25"/>
  <c r="D25" i="25"/>
  <c r="C25" i="25"/>
  <c r="B25" i="25"/>
  <c r="G24" i="25"/>
  <c r="F24" i="25"/>
  <c r="E24" i="25"/>
  <c r="D24" i="25"/>
  <c r="C24" i="25"/>
  <c r="B24" i="25"/>
  <c r="G23" i="25"/>
  <c r="F23" i="25"/>
  <c r="E23" i="25"/>
  <c r="D23" i="25"/>
  <c r="C23" i="25"/>
  <c r="B23" i="25"/>
  <c r="G22" i="25"/>
  <c r="F22" i="25"/>
  <c r="E22" i="25"/>
  <c r="D22" i="25"/>
  <c r="C22" i="25"/>
  <c r="B22" i="25"/>
  <c r="G21" i="25"/>
  <c r="F21" i="25"/>
  <c r="E21" i="25"/>
  <c r="D21" i="25"/>
  <c r="C21" i="25"/>
  <c r="B21" i="25"/>
  <c r="G20" i="25"/>
  <c r="F20" i="25"/>
  <c r="E20" i="25"/>
  <c r="D20" i="25"/>
  <c r="C20" i="25"/>
  <c r="B20" i="25"/>
  <c r="G19" i="25"/>
  <c r="F19" i="25"/>
  <c r="E19" i="25"/>
  <c r="E29" i="25" s="1"/>
  <c r="D19" i="25"/>
  <c r="C19" i="25"/>
  <c r="B19" i="25"/>
  <c r="G18" i="25"/>
  <c r="F18" i="25"/>
  <c r="E18" i="25"/>
  <c r="D18" i="25"/>
  <c r="D29" i="25" s="1"/>
  <c r="C18" i="25"/>
  <c r="B18" i="25"/>
  <c r="G17" i="25"/>
  <c r="G29" i="25" s="1"/>
  <c r="F17" i="25"/>
  <c r="E17" i="25"/>
  <c r="D17" i="25"/>
  <c r="C17" i="25"/>
  <c r="C29" i="25" s="1"/>
  <c r="B17" i="25"/>
  <c r="B29" i="25" s="1"/>
  <c r="G28" i="24"/>
  <c r="F28" i="24"/>
  <c r="E28" i="24"/>
  <c r="D28" i="24"/>
  <c r="C28" i="24"/>
  <c r="B28" i="24"/>
  <c r="G27" i="24"/>
  <c r="F27" i="24"/>
  <c r="E27" i="24"/>
  <c r="D27" i="24"/>
  <c r="C27" i="24"/>
  <c r="B27" i="24"/>
  <c r="G26" i="24"/>
  <c r="F26" i="24"/>
  <c r="E26" i="24"/>
  <c r="D26" i="24"/>
  <c r="C26" i="24"/>
  <c r="B26" i="24"/>
  <c r="G25" i="24"/>
  <c r="F25" i="24"/>
  <c r="E25" i="24"/>
  <c r="D25" i="24"/>
  <c r="C25" i="24"/>
  <c r="B25" i="24"/>
  <c r="G24" i="24"/>
  <c r="F24" i="24"/>
  <c r="E24" i="24"/>
  <c r="D24" i="24"/>
  <c r="C24" i="24"/>
  <c r="B24" i="24"/>
  <c r="G23" i="24"/>
  <c r="F23" i="24"/>
  <c r="E23" i="24"/>
  <c r="D23" i="24"/>
  <c r="C23" i="24"/>
  <c r="B23" i="24"/>
  <c r="G22" i="24"/>
  <c r="F22" i="24"/>
  <c r="E22" i="24"/>
  <c r="D22" i="24"/>
  <c r="C22" i="24"/>
  <c r="B22" i="24"/>
  <c r="G21" i="24"/>
  <c r="F21" i="24"/>
  <c r="E21" i="24"/>
  <c r="D21" i="24"/>
  <c r="C21" i="24"/>
  <c r="B21" i="24"/>
  <c r="G20" i="24"/>
  <c r="F20" i="24"/>
  <c r="E20" i="24"/>
  <c r="D20" i="24"/>
  <c r="C20" i="24"/>
  <c r="B20" i="24"/>
  <c r="G19" i="24"/>
  <c r="F19" i="24"/>
  <c r="E19" i="24"/>
  <c r="D19" i="24"/>
  <c r="C19" i="24"/>
  <c r="B19" i="24"/>
  <c r="G18" i="24"/>
  <c r="F18" i="24"/>
  <c r="E18" i="24"/>
  <c r="D18" i="24"/>
  <c r="C18" i="24"/>
  <c r="B18" i="24"/>
  <c r="G17" i="24"/>
  <c r="G29" i="24" s="1"/>
  <c r="F17" i="24"/>
  <c r="F29" i="24" s="1"/>
  <c r="E17" i="24"/>
  <c r="E29" i="24" s="1"/>
  <c r="D17" i="24"/>
  <c r="D29" i="24" s="1"/>
  <c r="C17" i="24"/>
  <c r="C29" i="24" s="1"/>
  <c r="B17" i="24"/>
  <c r="B29" i="24" s="1"/>
  <c r="K22" i="19"/>
  <c r="L22" i="19"/>
  <c r="M22" i="19"/>
  <c r="N22" i="19"/>
  <c r="K23" i="19"/>
  <c r="L23" i="19"/>
  <c r="M23" i="19"/>
  <c r="M36" i="19" s="1"/>
  <c r="N23" i="19"/>
  <c r="K24" i="19"/>
  <c r="K36" i="19" s="1"/>
  <c r="L24" i="19"/>
  <c r="L36" i="19" s="1"/>
  <c r="M24" i="19"/>
  <c r="N24" i="19"/>
  <c r="K25" i="19"/>
  <c r="L25" i="19"/>
  <c r="M25" i="19"/>
  <c r="N25" i="19"/>
  <c r="K26" i="19"/>
  <c r="L26" i="19"/>
  <c r="M26" i="19"/>
  <c r="N26" i="19"/>
  <c r="N36" i="19" s="1"/>
  <c r="K27" i="19"/>
  <c r="L27" i="19"/>
  <c r="M27" i="19"/>
  <c r="N27" i="19"/>
  <c r="K28" i="19"/>
  <c r="L28" i="19"/>
  <c r="M28" i="19"/>
  <c r="N28" i="19"/>
  <c r="K29" i="19"/>
  <c r="L29" i="19"/>
  <c r="M29" i="19"/>
  <c r="N29" i="19"/>
  <c r="K30" i="19"/>
  <c r="L30" i="19"/>
  <c r="M30" i="19"/>
  <c r="N30" i="19"/>
  <c r="K31" i="19"/>
  <c r="L31" i="19"/>
  <c r="M31" i="19"/>
  <c r="N31" i="19"/>
  <c r="K32" i="19"/>
  <c r="L32" i="19"/>
  <c r="M32" i="19"/>
  <c r="N32" i="19"/>
  <c r="K33" i="19"/>
  <c r="L33" i="19"/>
  <c r="M33" i="19"/>
  <c r="N33" i="19"/>
  <c r="K34" i="19"/>
  <c r="L34" i="19"/>
  <c r="M34" i="19"/>
  <c r="N34" i="19"/>
  <c r="K35" i="19"/>
  <c r="L35" i="19"/>
  <c r="M35" i="19"/>
  <c r="N35" i="19"/>
  <c r="J23" i="19"/>
  <c r="J24" i="19"/>
  <c r="J25" i="19"/>
  <c r="J26" i="19"/>
  <c r="J27" i="19"/>
  <c r="J28" i="19"/>
  <c r="J36" i="19" s="1"/>
  <c r="J29" i="19"/>
  <c r="J30" i="19"/>
  <c r="J31" i="19"/>
  <c r="J32" i="19"/>
  <c r="J33" i="19"/>
  <c r="J34" i="19"/>
  <c r="J35" i="19"/>
  <c r="J22" i="19"/>
  <c r="F23" i="13"/>
  <c r="L23" i="13" s="1"/>
  <c r="F24" i="13"/>
  <c r="L24" i="13" s="1"/>
  <c r="F25" i="13"/>
  <c r="L25" i="13" s="1"/>
  <c r="F27" i="13"/>
  <c r="L27" i="13" s="1"/>
  <c r="F28" i="13"/>
  <c r="L28" i="13" s="1"/>
  <c r="F29" i="13"/>
  <c r="L29" i="13" s="1"/>
  <c r="F30" i="13"/>
  <c r="L30" i="13" s="1"/>
  <c r="F31" i="13"/>
  <c r="L31" i="13" s="1"/>
  <c r="F32" i="13"/>
  <c r="L32" i="13" s="1"/>
  <c r="F34" i="13"/>
  <c r="L34" i="13" s="1"/>
  <c r="F35" i="13"/>
  <c r="L35" i="13" s="1"/>
  <c r="F36" i="13"/>
  <c r="L36" i="13" s="1"/>
  <c r="F37" i="13"/>
  <c r="L37" i="13" s="1"/>
  <c r="F38" i="13"/>
  <c r="L38" i="13" s="1"/>
  <c r="F39" i="13"/>
  <c r="L39" i="13" s="1"/>
  <c r="F40" i="13"/>
  <c r="L40" i="13" s="1"/>
  <c r="F41" i="13"/>
  <c r="L41" i="13" s="1"/>
  <c r="F42" i="13"/>
  <c r="L42" i="13" s="1"/>
  <c r="F43" i="13"/>
  <c r="L43" i="13" s="1"/>
  <c r="F44" i="13"/>
  <c r="L44" i="13" s="1"/>
  <c r="F45" i="13"/>
  <c r="L45" i="13" s="1"/>
  <c r="F46" i="13"/>
  <c r="L46" i="13" s="1"/>
  <c r="F47" i="13"/>
  <c r="L47" i="13" s="1"/>
  <c r="F49" i="13"/>
  <c r="L49" i="13" s="1"/>
  <c r="F50" i="13"/>
  <c r="L50" i="13" s="1"/>
  <c r="F22" i="13"/>
  <c r="L22" i="13" s="1"/>
  <c r="H49" i="23"/>
  <c r="I46" i="20"/>
  <c r="J46" i="20"/>
  <c r="K46" i="20"/>
  <c r="L46" i="20"/>
  <c r="H46" i="20"/>
  <c r="H44" i="19"/>
  <c r="I44" i="19"/>
  <c r="I57" i="19" s="1"/>
  <c r="K44" i="19"/>
  <c r="J44" i="19"/>
  <c r="L44" i="19"/>
  <c r="M44" i="19" s="1"/>
  <c r="H45" i="19"/>
  <c r="I45" i="19"/>
  <c r="K45" i="19"/>
  <c r="J45" i="19"/>
  <c r="L45" i="19"/>
  <c r="H46" i="19"/>
  <c r="I46" i="19"/>
  <c r="K46" i="19"/>
  <c r="J46" i="19"/>
  <c r="L46" i="19"/>
  <c r="H47" i="19"/>
  <c r="I47" i="19"/>
  <c r="K47" i="19"/>
  <c r="J47" i="19"/>
  <c r="L47" i="19"/>
  <c r="H48" i="19"/>
  <c r="I48" i="19"/>
  <c r="K48" i="19"/>
  <c r="J48" i="19"/>
  <c r="L48" i="19"/>
  <c r="M48" i="19" s="1"/>
  <c r="H49" i="19"/>
  <c r="I49" i="19"/>
  <c r="K49" i="19"/>
  <c r="J49" i="19"/>
  <c r="L49" i="19"/>
  <c r="H50" i="19"/>
  <c r="I50" i="19"/>
  <c r="K50" i="19"/>
  <c r="J50" i="19"/>
  <c r="L50" i="19"/>
  <c r="H51" i="19"/>
  <c r="I51" i="19"/>
  <c r="K51" i="19"/>
  <c r="J51" i="19"/>
  <c r="L51" i="19"/>
  <c r="H52" i="19"/>
  <c r="I52" i="19"/>
  <c r="K52" i="19"/>
  <c r="J52" i="19"/>
  <c r="L52" i="19"/>
  <c r="M52" i="19" s="1"/>
  <c r="H53" i="19"/>
  <c r="I53" i="19"/>
  <c r="K53" i="19"/>
  <c r="J53" i="19"/>
  <c r="L53" i="19"/>
  <c r="M53" i="19" s="1"/>
  <c r="H54" i="19"/>
  <c r="I54" i="19"/>
  <c r="K54" i="19"/>
  <c r="J54" i="19"/>
  <c r="L54" i="19"/>
  <c r="M54" i="19" s="1"/>
  <c r="H55" i="19"/>
  <c r="I55" i="19"/>
  <c r="K55" i="19"/>
  <c r="J55" i="19"/>
  <c r="L55" i="19"/>
  <c r="I56" i="19"/>
  <c r="K56" i="19"/>
  <c r="L56" i="19"/>
  <c r="L43" i="19"/>
  <c r="J43" i="19"/>
  <c r="K43" i="19"/>
  <c r="I43" i="19"/>
  <c r="H43" i="19"/>
  <c r="G41" i="22"/>
  <c r="I41" i="22"/>
  <c r="H41" i="22"/>
  <c r="J41" i="22"/>
  <c r="G42" i="22"/>
  <c r="I42" i="22"/>
  <c r="H42" i="22"/>
  <c r="J42" i="22"/>
  <c r="G43" i="22"/>
  <c r="I43" i="22"/>
  <c r="H43" i="22"/>
  <c r="J43" i="22"/>
  <c r="G44" i="22"/>
  <c r="I44" i="22"/>
  <c r="H44" i="22"/>
  <c r="J44" i="22"/>
  <c r="G45" i="22"/>
  <c r="I45" i="22"/>
  <c r="H45" i="22"/>
  <c r="J45" i="22"/>
  <c r="G46" i="22"/>
  <c r="I46" i="22"/>
  <c r="H46" i="22"/>
  <c r="J46" i="22"/>
  <c r="G47" i="22"/>
  <c r="I47" i="22"/>
  <c r="H47" i="22"/>
  <c r="J47" i="22"/>
  <c r="G48" i="22"/>
  <c r="I48" i="22"/>
  <c r="H48" i="22"/>
  <c r="J48" i="22"/>
  <c r="G49" i="22"/>
  <c r="I49" i="22"/>
  <c r="H49" i="22"/>
  <c r="J49" i="22"/>
  <c r="G51" i="22"/>
  <c r="I51" i="22"/>
  <c r="H51" i="22"/>
  <c r="J51" i="22"/>
  <c r="G52" i="22"/>
  <c r="I52" i="22"/>
  <c r="H52" i="22"/>
  <c r="J52" i="22"/>
  <c r="J40" i="22"/>
  <c r="H40" i="22"/>
  <c r="I40" i="22"/>
  <c r="G40" i="22"/>
  <c r="G48" i="23"/>
  <c r="H48" i="23"/>
  <c r="I48" i="23"/>
  <c r="J48" i="23"/>
  <c r="G49" i="23"/>
  <c r="I49" i="23"/>
  <c r="J49" i="23"/>
  <c r="G50" i="23"/>
  <c r="H50" i="23"/>
  <c r="I50" i="23"/>
  <c r="J50" i="23"/>
  <c r="G59" i="23"/>
  <c r="H59" i="23"/>
  <c r="I59" i="23"/>
  <c r="J59" i="23"/>
  <c r="G60" i="23"/>
  <c r="H60" i="23"/>
  <c r="I60" i="23"/>
  <c r="J60" i="23"/>
  <c r="G61" i="23"/>
  <c r="H61" i="23"/>
  <c r="I61" i="23"/>
  <c r="J61" i="23"/>
  <c r="J47" i="23"/>
  <c r="I47" i="23"/>
  <c r="H47" i="23"/>
  <c r="G47" i="23"/>
  <c r="L35" i="20"/>
  <c r="L36" i="20"/>
  <c r="L37" i="20"/>
  <c r="L38" i="20"/>
  <c r="L39" i="20"/>
  <c r="L40" i="20"/>
  <c r="L41" i="20"/>
  <c r="L42" i="20"/>
  <c r="L43" i="20"/>
  <c r="L44" i="20"/>
  <c r="M44" i="20" s="1"/>
  <c r="L45" i="20"/>
  <c r="L34" i="20"/>
  <c r="K35" i="20"/>
  <c r="K36" i="20"/>
  <c r="K37" i="20"/>
  <c r="K38" i="20"/>
  <c r="K39" i="20"/>
  <c r="K40" i="20"/>
  <c r="K41" i="20"/>
  <c r="K42" i="20"/>
  <c r="K43" i="20"/>
  <c r="K44" i="20"/>
  <c r="K45" i="20"/>
  <c r="K34" i="20"/>
  <c r="J35" i="20"/>
  <c r="J36" i="20"/>
  <c r="J37" i="20"/>
  <c r="J38" i="20"/>
  <c r="M38" i="20" s="1"/>
  <c r="J39" i="20"/>
  <c r="M39" i="20" s="1"/>
  <c r="J40" i="20"/>
  <c r="M40" i="20" s="1"/>
  <c r="J41" i="20"/>
  <c r="J42" i="20"/>
  <c r="J43" i="20"/>
  <c r="J44" i="20"/>
  <c r="J45" i="20"/>
  <c r="J34" i="20"/>
  <c r="I35" i="20"/>
  <c r="I36" i="20"/>
  <c r="I37" i="20"/>
  <c r="I38" i="20"/>
  <c r="I39" i="20"/>
  <c r="I40" i="20"/>
  <c r="I41" i="20"/>
  <c r="I42" i="20"/>
  <c r="I43" i="20"/>
  <c r="I44" i="20"/>
  <c r="I45" i="20"/>
  <c r="I34" i="20"/>
  <c r="H35" i="20"/>
  <c r="H36" i="20"/>
  <c r="H37" i="20"/>
  <c r="H38" i="20"/>
  <c r="H39" i="20"/>
  <c r="H40" i="20"/>
  <c r="H41" i="20"/>
  <c r="H42" i="20"/>
  <c r="H43" i="20"/>
  <c r="H44" i="20"/>
  <c r="H45" i="20"/>
  <c r="H34" i="20"/>
  <c r="M35" i="20"/>
  <c r="M36" i="20"/>
  <c r="M37" i="20"/>
  <c r="M45" i="20"/>
  <c r="M34" i="20"/>
  <c r="D17" i="20"/>
  <c r="B27" i="23"/>
  <c r="B26" i="23"/>
  <c r="B25" i="23"/>
  <c r="B24" i="23"/>
  <c r="B30" i="22"/>
  <c r="B29" i="22"/>
  <c r="B27" i="22"/>
  <c r="B26" i="22"/>
  <c r="B25" i="22"/>
  <c r="B24" i="22"/>
  <c r="B23" i="22"/>
  <c r="B22" i="22"/>
  <c r="B21" i="22"/>
  <c r="B20" i="22"/>
  <c r="B19" i="22"/>
  <c r="B18" i="22"/>
  <c r="E60" i="20"/>
  <c r="D60" i="20"/>
  <c r="G60" i="20"/>
  <c r="F60" i="20"/>
  <c r="C60" i="20"/>
  <c r="B60" i="20"/>
  <c r="E59" i="20"/>
  <c r="D59" i="20"/>
  <c r="G59" i="20"/>
  <c r="F59" i="20"/>
  <c r="C59" i="20"/>
  <c r="B59" i="20"/>
  <c r="E58" i="20"/>
  <c r="D58" i="20"/>
  <c r="G58" i="20"/>
  <c r="F58" i="20"/>
  <c r="C58" i="20"/>
  <c r="B58" i="20"/>
  <c r="E57" i="20"/>
  <c r="D57" i="20"/>
  <c r="G57" i="20"/>
  <c r="F57" i="20"/>
  <c r="C57" i="20"/>
  <c r="B57" i="20"/>
  <c r="E56" i="20"/>
  <c r="D56" i="20"/>
  <c r="G56" i="20"/>
  <c r="F56" i="20"/>
  <c r="C56" i="20"/>
  <c r="B56" i="20"/>
  <c r="E55" i="20"/>
  <c r="D55" i="20"/>
  <c r="G55" i="20"/>
  <c r="F55" i="20"/>
  <c r="C55" i="20"/>
  <c r="B55" i="20"/>
  <c r="E54" i="20"/>
  <c r="D54" i="20"/>
  <c r="G54" i="20"/>
  <c r="F54" i="20"/>
  <c r="C54" i="20"/>
  <c r="B54" i="20"/>
  <c r="E53" i="20"/>
  <c r="D53" i="20"/>
  <c r="G53" i="20"/>
  <c r="F53" i="20"/>
  <c r="C53" i="20"/>
  <c r="B53" i="20"/>
  <c r="E52" i="20"/>
  <c r="D52" i="20"/>
  <c r="G52" i="20"/>
  <c r="F52" i="20"/>
  <c r="C52" i="20"/>
  <c r="B52" i="20"/>
  <c r="E51" i="20"/>
  <c r="D51" i="20"/>
  <c r="G51" i="20"/>
  <c r="F51" i="20"/>
  <c r="C51" i="20"/>
  <c r="B51" i="20"/>
  <c r="E50" i="20"/>
  <c r="D50" i="20"/>
  <c r="G50" i="20"/>
  <c r="F50" i="20"/>
  <c r="C50" i="20"/>
  <c r="B50" i="20"/>
  <c r="E49" i="20"/>
  <c r="D49" i="20"/>
  <c r="G49" i="20"/>
  <c r="F49" i="20"/>
  <c r="C49" i="20"/>
  <c r="B49" i="20"/>
  <c r="E28" i="20"/>
  <c r="D28" i="20"/>
  <c r="G28" i="20"/>
  <c r="F28" i="20"/>
  <c r="C28" i="20"/>
  <c r="B28" i="20"/>
  <c r="E27" i="20"/>
  <c r="D27" i="20"/>
  <c r="G27" i="20"/>
  <c r="F27" i="20"/>
  <c r="C27" i="20"/>
  <c r="B27" i="20"/>
  <c r="E26" i="20"/>
  <c r="D26" i="20"/>
  <c r="G26" i="20"/>
  <c r="F26" i="20"/>
  <c r="C26" i="20"/>
  <c r="B26" i="20"/>
  <c r="E25" i="20"/>
  <c r="D25" i="20"/>
  <c r="G25" i="20"/>
  <c r="F25" i="20"/>
  <c r="C25" i="20"/>
  <c r="B25" i="20"/>
  <c r="E24" i="20"/>
  <c r="D24" i="20"/>
  <c r="G24" i="20"/>
  <c r="F24" i="20"/>
  <c r="C24" i="20"/>
  <c r="B24" i="20"/>
  <c r="E23" i="20"/>
  <c r="D23" i="20"/>
  <c r="G23" i="20"/>
  <c r="F23" i="20"/>
  <c r="C23" i="20"/>
  <c r="B23" i="20"/>
  <c r="E22" i="20"/>
  <c r="D22" i="20"/>
  <c r="G22" i="20"/>
  <c r="F22" i="20"/>
  <c r="C22" i="20"/>
  <c r="B22" i="20"/>
  <c r="E21" i="20"/>
  <c r="D21" i="20"/>
  <c r="G21" i="20"/>
  <c r="F21" i="20"/>
  <c r="C21" i="20"/>
  <c r="B21" i="20"/>
  <c r="E20" i="20"/>
  <c r="D20" i="20"/>
  <c r="G20" i="20"/>
  <c r="F20" i="20"/>
  <c r="C20" i="20"/>
  <c r="B20" i="20"/>
  <c r="E19" i="20"/>
  <c r="D19" i="20"/>
  <c r="G19" i="20"/>
  <c r="F19" i="20"/>
  <c r="C19" i="20"/>
  <c r="B19" i="20"/>
  <c r="E18" i="20"/>
  <c r="D18" i="20"/>
  <c r="G18" i="20"/>
  <c r="F18" i="20"/>
  <c r="C18" i="20"/>
  <c r="B18" i="20"/>
  <c r="E17" i="20"/>
  <c r="G17" i="20"/>
  <c r="F17" i="20"/>
  <c r="C17" i="20"/>
  <c r="B17" i="20"/>
  <c r="C62" i="19"/>
  <c r="E62" i="19"/>
  <c r="G62" i="19"/>
  <c r="D62" i="19"/>
  <c r="F62" i="19"/>
  <c r="C63" i="19"/>
  <c r="E63" i="19"/>
  <c r="G63" i="19"/>
  <c r="D63" i="19"/>
  <c r="F63" i="19"/>
  <c r="C64" i="19"/>
  <c r="E64" i="19"/>
  <c r="G64" i="19"/>
  <c r="D64" i="19"/>
  <c r="F64" i="19"/>
  <c r="C65" i="19"/>
  <c r="E65" i="19"/>
  <c r="G65" i="19"/>
  <c r="D65" i="19"/>
  <c r="F65" i="19"/>
  <c r="C66" i="19"/>
  <c r="E66" i="19"/>
  <c r="G66" i="19"/>
  <c r="D66" i="19"/>
  <c r="F66" i="19"/>
  <c r="C67" i="19"/>
  <c r="E67" i="19"/>
  <c r="G67" i="19"/>
  <c r="D67" i="19"/>
  <c r="F67" i="19"/>
  <c r="C68" i="19"/>
  <c r="E68" i="19"/>
  <c r="G68" i="19"/>
  <c r="D68" i="19"/>
  <c r="F68" i="19"/>
  <c r="C69" i="19"/>
  <c r="E69" i="19"/>
  <c r="G69" i="19"/>
  <c r="D69" i="19"/>
  <c r="F69" i="19"/>
  <c r="C70" i="19"/>
  <c r="E70" i="19"/>
  <c r="G70" i="19"/>
  <c r="D70" i="19"/>
  <c r="F70" i="19"/>
  <c r="C71" i="19"/>
  <c r="E71" i="19"/>
  <c r="G71" i="19"/>
  <c r="D71" i="19"/>
  <c r="F71" i="19"/>
  <c r="C72" i="19"/>
  <c r="E72" i="19"/>
  <c r="G72" i="19"/>
  <c r="D72" i="19"/>
  <c r="F72" i="19"/>
  <c r="C73" i="19"/>
  <c r="E73" i="19"/>
  <c r="G73" i="19"/>
  <c r="D73" i="19"/>
  <c r="F73" i="19"/>
  <c r="C74" i="19"/>
  <c r="E74" i="19"/>
  <c r="G74" i="19"/>
  <c r="D74" i="19"/>
  <c r="F74" i="19"/>
  <c r="C75" i="19"/>
  <c r="E75" i="19"/>
  <c r="G75" i="19"/>
  <c r="D75" i="19"/>
  <c r="F75" i="19"/>
  <c r="B73" i="19"/>
  <c r="B74" i="19"/>
  <c r="B75" i="19"/>
  <c r="B33" i="19"/>
  <c r="C33" i="19"/>
  <c r="E33" i="19"/>
  <c r="G33" i="19"/>
  <c r="D33" i="19"/>
  <c r="F33" i="19"/>
  <c r="B34" i="19"/>
  <c r="C34" i="19"/>
  <c r="E34" i="19"/>
  <c r="G34" i="19"/>
  <c r="D34" i="19"/>
  <c r="F34" i="19"/>
  <c r="B35" i="19"/>
  <c r="C35" i="19"/>
  <c r="E35" i="19"/>
  <c r="G35" i="19"/>
  <c r="D35" i="19"/>
  <c r="F35" i="19"/>
  <c r="B72" i="19"/>
  <c r="B71" i="19"/>
  <c r="B70" i="19"/>
  <c r="B69" i="19"/>
  <c r="B68" i="19"/>
  <c r="B67" i="19"/>
  <c r="B66" i="19"/>
  <c r="B65" i="19"/>
  <c r="B64" i="19"/>
  <c r="B63" i="19"/>
  <c r="B62" i="19"/>
  <c r="F32" i="19"/>
  <c r="D32" i="19"/>
  <c r="G32" i="19"/>
  <c r="E32" i="19"/>
  <c r="C32" i="19"/>
  <c r="B32" i="19"/>
  <c r="F31" i="19"/>
  <c r="D31" i="19"/>
  <c r="G31" i="19"/>
  <c r="E31" i="19"/>
  <c r="C31" i="19"/>
  <c r="B31" i="19"/>
  <c r="F30" i="19"/>
  <c r="D30" i="19"/>
  <c r="G30" i="19"/>
  <c r="E30" i="19"/>
  <c r="C30" i="19"/>
  <c r="B30" i="19"/>
  <c r="F29" i="19"/>
  <c r="D29" i="19"/>
  <c r="G29" i="19"/>
  <c r="E29" i="19"/>
  <c r="C29" i="19"/>
  <c r="B29" i="19"/>
  <c r="F28" i="19"/>
  <c r="D28" i="19"/>
  <c r="G28" i="19"/>
  <c r="E28" i="19"/>
  <c r="C28" i="19"/>
  <c r="B28" i="19"/>
  <c r="F27" i="19"/>
  <c r="D27" i="19"/>
  <c r="G27" i="19"/>
  <c r="E27" i="19"/>
  <c r="C27" i="19"/>
  <c r="B27" i="19"/>
  <c r="F26" i="19"/>
  <c r="D26" i="19"/>
  <c r="G26" i="19"/>
  <c r="E26" i="19"/>
  <c r="C26" i="19"/>
  <c r="B26" i="19"/>
  <c r="F25" i="19"/>
  <c r="D25" i="19"/>
  <c r="G25" i="19"/>
  <c r="E25" i="19"/>
  <c r="C25" i="19"/>
  <c r="B25" i="19"/>
  <c r="F24" i="19"/>
  <c r="D24" i="19"/>
  <c r="G24" i="19"/>
  <c r="E24" i="19"/>
  <c r="C24" i="19"/>
  <c r="B24" i="19"/>
  <c r="F23" i="19"/>
  <c r="D23" i="19"/>
  <c r="G23" i="19"/>
  <c r="E23" i="19"/>
  <c r="C23" i="19"/>
  <c r="B23" i="19"/>
  <c r="F22" i="19"/>
  <c r="D22" i="19"/>
  <c r="G22" i="19"/>
  <c r="E22" i="19"/>
  <c r="C22" i="19"/>
  <c r="B22" i="19"/>
  <c r="D40" i="23" l="1"/>
  <c r="K49" i="22"/>
  <c r="E40" i="23"/>
  <c r="F40" i="23"/>
  <c r="B40" i="23"/>
  <c r="H63" i="23"/>
  <c r="I63" i="23"/>
  <c r="H29" i="25"/>
  <c r="L46" i="25"/>
  <c r="M43" i="19"/>
  <c r="M50" i="19"/>
  <c r="J57" i="19"/>
  <c r="H57" i="19"/>
  <c r="M51" i="19"/>
  <c r="M49" i="19"/>
  <c r="M45" i="19"/>
  <c r="L57" i="19"/>
  <c r="M47" i="19"/>
  <c r="C76" i="19"/>
  <c r="M55" i="19"/>
  <c r="K57" i="19"/>
  <c r="M46" i="19"/>
  <c r="M56" i="19"/>
  <c r="F31" i="22"/>
  <c r="K44" i="22"/>
  <c r="K43" i="22"/>
  <c r="K48" i="22"/>
  <c r="J63" i="23"/>
  <c r="G63" i="23"/>
  <c r="J53" i="22"/>
  <c r="K42" i="22"/>
  <c r="K47" i="22"/>
  <c r="H53" i="22"/>
  <c r="G53" i="22"/>
  <c r="K41" i="22"/>
  <c r="K46" i="22"/>
  <c r="K52" i="22"/>
  <c r="B31" i="22"/>
  <c r="I53" i="22"/>
  <c r="K40" i="22"/>
  <c r="K45" i="22"/>
  <c r="K51" i="22"/>
  <c r="E31" i="22"/>
  <c r="M43" i="20"/>
  <c r="M42" i="20"/>
  <c r="M41" i="20"/>
  <c r="C31" i="22"/>
  <c r="E76" i="19"/>
  <c r="G76" i="19"/>
  <c r="D76" i="19"/>
  <c r="B36" i="19"/>
  <c r="B61" i="20"/>
  <c r="D61" i="20"/>
  <c r="D29" i="20"/>
  <c r="B29" i="20"/>
  <c r="G29" i="20"/>
  <c r="G61" i="20"/>
  <c r="C61" i="20"/>
  <c r="F61" i="20"/>
  <c r="C29" i="20"/>
  <c r="E29" i="20"/>
  <c r="F29" i="20"/>
  <c r="E61" i="20"/>
  <c r="D31" i="22"/>
  <c r="F76" i="19"/>
  <c r="D36" i="19"/>
  <c r="B76" i="19"/>
  <c r="C36" i="19"/>
  <c r="E36" i="19"/>
  <c r="G36" i="19"/>
  <c r="F36" i="19"/>
  <c r="H29" i="20" l="1"/>
  <c r="G35" i="22"/>
  <c r="G31" i="22"/>
  <c r="H36" i="19"/>
  <c r="G41" i="23"/>
  <c r="G40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Kim, Sungkeun</author>
  </authors>
  <commentList>
    <comment ref="C55" authorId="0" shapeId="0" xr:uid="{E3995B86-D2EA-AC4D-AF62-53D0370E4E26}">
      <text>
        <r>
          <rPr>
            <b/>
            <sz val="10"/>
            <color rgb="FF000000"/>
            <rFont val="Tahoma"/>
            <family val="2"/>
          </rPr>
          <t xml:space="preserve">Link error with clang
</t>
        </r>
        <r>
          <rPr>
            <b/>
            <sz val="10"/>
            <color rgb="FF000000"/>
            <rFont val="Tahoma"/>
            <family val="2"/>
          </rPr>
          <t>It does not have issue wigh gcc</t>
        </r>
      </text>
    </comment>
  </commentList>
</comments>
</file>

<file path=xl/sharedStrings.xml><?xml version="1.0" encoding="utf-8"?>
<sst xmlns="http://schemas.openxmlformats.org/spreadsheetml/2006/main" count="1086" uniqueCount="161">
  <si>
    <t>mcf_s</t>
  </si>
  <si>
    <t>lbm_s</t>
  </si>
  <si>
    <t>xalancbmk_s</t>
  </si>
  <si>
    <t>x264_s</t>
  </si>
  <si>
    <t>leela_s</t>
  </si>
  <si>
    <t>xz_s</t>
  </si>
  <si>
    <t>508.namd_r</t>
  </si>
  <si>
    <t>510.parest_r</t>
  </si>
  <si>
    <t>511.povray_r</t>
  </si>
  <si>
    <t>600.perlbench_s</t>
  </si>
  <si>
    <t>602.gcc_s</t>
  </si>
  <si>
    <t>605.mcf_s</t>
  </si>
  <si>
    <t>607.cactuBSSN_s</t>
  </si>
  <si>
    <t>619.lbm_s</t>
  </si>
  <si>
    <t>620.omnetpp_s</t>
  </si>
  <si>
    <t>623.xalancbmk_s</t>
  </si>
  <si>
    <t>625.x264_s</t>
  </si>
  <si>
    <t>631.deepsjeng_s</t>
  </si>
  <si>
    <t>638.imagick_s</t>
  </si>
  <si>
    <t>641.leela_s</t>
  </si>
  <si>
    <t>644.nab_s</t>
  </si>
  <si>
    <t>657.xz_s</t>
  </si>
  <si>
    <t>Nodes</t>
  </si>
  <si>
    <t>Language</t>
  </si>
  <si>
    <t>C++</t>
  </si>
  <si>
    <t>C</t>
  </si>
  <si>
    <t>500.perlbench_r</t>
  </si>
  <si>
    <t>502.gcc_r</t>
  </si>
  <si>
    <t>505.mcf_r</t>
  </si>
  <si>
    <t>520.omnetpp_r</t>
  </si>
  <si>
    <t>523.xalancbmk_r</t>
  </si>
  <si>
    <t>519.lbm_r</t>
  </si>
  <si>
    <t>525.x264_r</t>
  </si>
  <si>
    <t>531.deepsjeng_r</t>
  </si>
  <si>
    <t>541.leela_r</t>
  </si>
  <si>
    <t>538.imagick_r</t>
  </si>
  <si>
    <t>557.xz_r</t>
  </si>
  <si>
    <t>544.nab_r</t>
  </si>
  <si>
    <t>526.blender_r</t>
  </si>
  <si>
    <t>Benchmarks</t>
  </si>
  <si>
    <t>2. Callgraph Gen.</t>
  </si>
  <si>
    <t>3. Encoding CCW</t>
  </si>
  <si>
    <t>4. Embedding CCW to bc</t>
  </si>
  <si>
    <t>548.exchange2_r</t>
  </si>
  <si>
    <t>Fortran</t>
  </si>
  <si>
    <t>503.bwaves_r</t>
  </si>
  <si>
    <t>507.cactuBSSN_r</t>
  </si>
  <si>
    <t>C++, C, Fortran</t>
  </si>
  <si>
    <t>C++, C</t>
  </si>
  <si>
    <t>521.wrf_r</t>
  </si>
  <si>
    <t>Fortran, C</t>
  </si>
  <si>
    <t>527.cam4_r</t>
  </si>
  <si>
    <t>549.fotonik3d_r</t>
  </si>
  <si>
    <t>554.roms_r</t>
  </si>
  <si>
    <t>648.exchange2_s</t>
  </si>
  <si>
    <t>603.bwaves_s</t>
  </si>
  <si>
    <t>621.wrf_s</t>
  </si>
  <si>
    <t>627.cam4_s</t>
  </si>
  <si>
    <t>628.pop2_s</t>
  </si>
  <si>
    <t>649.fotonik3d_s</t>
  </si>
  <si>
    <t>654.roms_s</t>
  </si>
  <si>
    <t>O</t>
  </si>
  <si>
    <t>5. Rebuild exe with bc</t>
  </si>
  <si>
    <t>7. CCW Test (w/ CCID update)</t>
  </si>
  <si>
    <t>Done</t>
  </si>
  <si>
    <t>OOM</t>
  </si>
  <si>
    <t>geomean</t>
  </si>
  <si>
    <t>Overflow MAXID</t>
  </si>
  <si>
    <t>Never finish</t>
  </si>
  <si>
    <t>701.BARNES</t>
  </si>
  <si>
    <t>702.CHOLESKY</t>
  </si>
  <si>
    <t>703.FFT</t>
  </si>
  <si>
    <t>704.FMM</t>
  </si>
  <si>
    <t>705.LU-CB</t>
  </si>
  <si>
    <t>706.LU-NCB</t>
  </si>
  <si>
    <t>707.OCEAN-CP</t>
  </si>
  <si>
    <t>708.OCEAN-NCP</t>
  </si>
  <si>
    <t>709.RADIOSITY</t>
  </si>
  <si>
    <t>710.RADIX</t>
  </si>
  <si>
    <t>713.WATER-NSQUARED</t>
  </si>
  <si>
    <t>714.WATER-SPATIAL</t>
  </si>
  <si>
    <t>Static barriers</t>
  </si>
  <si>
    <t>Dynamic barriers</t>
  </si>
  <si>
    <t>8 threads</t>
  </si>
  <si>
    <t>16 threads</t>
  </si>
  <si>
    <t>goemean</t>
  </si>
  <si>
    <t>Native</t>
  </si>
  <si>
    <t>Runtime Overhead</t>
  </si>
  <si>
    <t>Memory Overhead (kbytes)</t>
  </si>
  <si>
    <t>Indrect Calls</t>
  </si>
  <si>
    <t>MAX CCID</t>
  </si>
  <si>
    <t>BARNES</t>
  </si>
  <si>
    <t>CHOLESKY</t>
  </si>
  <si>
    <t>FFT</t>
  </si>
  <si>
    <t>FMM</t>
  </si>
  <si>
    <t>LU-CB</t>
  </si>
  <si>
    <t>LU-NCB</t>
  </si>
  <si>
    <t>OCEAN-CP</t>
  </si>
  <si>
    <t>OCEAN-NCP</t>
  </si>
  <si>
    <t>RADIOSITY</t>
  </si>
  <si>
    <t>RADIX</t>
  </si>
  <si>
    <t>WATER-NSQUARED</t>
  </si>
  <si>
    <t>WATER-SPATIAL</t>
  </si>
  <si>
    <t>Runtime overhead (ms)</t>
  </si>
  <si>
    <t>Empty client</t>
  </si>
  <si>
    <t>segfault at push_back function???</t>
  </si>
  <si>
    <t>looks okay, so need to collect # of getCCID at runtime</t>
  </si>
  <si>
    <t>701.BARNES: malloc.c:2379: sysmalloc: Assertion `(old_top == initial_top (av) &amp;&amp; old_size == 0) || ((unsigned long) (old_size) &gt;= MINSIZE &amp;&amp; prev_inuse (old_top) &amp;&amp; ((unsigned long) old_end &amp; (pagesize - 1)) == 0)' failed.</t>
  </si>
  <si>
    <t>Command terminated by signal 11</t>
  </si>
  <si>
    <t>DCCE (CCID Update)</t>
  </si>
  <si>
    <t>DCCE (CCID Update + getCCID)</t>
  </si>
  <si>
    <t>PCCE (CCID Update)</t>
  </si>
  <si>
    <t>PCCE (CCID Update + getCCID)</t>
  </si>
  <si>
    <t>DrCCTProf (CCID Update)</t>
  </si>
  <si>
    <t>DrCCTProf (CCID Update + getCCID)</t>
  </si>
  <si>
    <t>mcf_r</t>
  </si>
  <si>
    <t>namd_r</t>
  </si>
  <si>
    <t>parest_r</t>
  </si>
  <si>
    <t>lbm_r</t>
  </si>
  <si>
    <t>xalancbmk_r</t>
  </si>
  <si>
    <t>x264_r</t>
  </si>
  <si>
    <t>leela_r</t>
  </si>
  <si>
    <t>xz_r</t>
  </si>
  <si>
    <t>DrCCTProf (CCID Update+getCCID)</t>
  </si>
  <si>
    <t>DCCE (CCID Update+getCCID)</t>
  </si>
  <si>
    <t>#function calls</t>
  </si>
  <si>
    <t>Stack Depts</t>
  </si>
  <si>
    <t>CCW File Size
(KB)</t>
  </si>
  <si>
    <t>MB</t>
  </si>
  <si>
    <t>Edges with non zero weight (PCCE)</t>
  </si>
  <si>
    <t xml:space="preserve">Edges </t>
  </si>
  <si>
    <t>Percentage of Non-zero edge weight (PCCE)</t>
  </si>
  <si>
    <t>CCW lookup (ms/call)</t>
  </si>
  <si>
    <t>CCW loading overhead (ms)</t>
  </si>
  <si>
    <t>memory size of indirect call (KB)</t>
  </si>
  <si>
    <t>memory size of direct call (KB)</t>
  </si>
  <si>
    <t>Portion of CCW Lookup in Execution Time</t>
  </si>
  <si>
    <t># of Calls (Dynamic)</t>
  </si>
  <si>
    <t>Overhead of CCW Load (ms)</t>
  </si>
  <si>
    <t>The more calls executed, the higher latency of lookup</t>
  </si>
  <si>
    <t>Execution Time (ms)</t>
  </si>
  <si>
    <t>Accumulated Latency of CCW Lookups (ms)</t>
  </si>
  <si>
    <t>Why do 707,708  have no overhead?</t>
  </si>
  <si>
    <t>713.WATER-NSQUARED.out</t>
  </si>
  <si>
    <t>714.WATER-SPATIAL.out</t>
  </si>
  <si>
    <t>Runtime (ms)</t>
  </si>
  <si>
    <t>% of CCW Loading in Runtime</t>
  </si>
  <si>
    <t>Direct Call (dynamic)</t>
  </si>
  <si>
    <t>Indirect Call (dynamic)</t>
  </si>
  <si>
    <t>% of CCW Lookup in Execution Time</t>
  </si>
  <si>
    <t>Selected?</t>
  </si>
  <si>
    <t>0. Optimized IR</t>
  </si>
  <si>
    <t>Not supportted language</t>
  </si>
  <si>
    <t>N/A</t>
  </si>
  <si>
    <t>711.RAYTRACE</t>
  </si>
  <si>
    <t>712.VOLREND</t>
  </si>
  <si>
    <t>omnetpp_r</t>
  </si>
  <si>
    <t>omnetpp_s</t>
  </si>
  <si>
    <t>RAYTRACE</t>
  </si>
  <si>
    <t/>
  </si>
  <si>
    <t>GEOMEAN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</si>
</sst>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* #,##0.0_);_(* \(#,##0.0\);_(* &quot;-&quot;??_);_(@_)"/>
    <numFmt numFmtId="167" formatCode="0.0"/>
    <numFmt numFmtId="168" formatCode="_(* #,##0.000000_);_(* \(#,##0.000000\);_(* &quot;-&quot;??_);_(@_)"/>
    <numFmt numFmtId="169" formatCode="0.0000%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Tw Cen MT"/>
      <family val="2"/>
    </font>
    <font>
      <b/>
      <sz val="10"/>
      <color rgb="FF000000"/>
      <name val="Tahoma"/>
      <family val="2"/>
    </font>
    <font>
      <sz val="14"/>
      <color rgb="FF000000"/>
      <name val="Tw Cen MT"/>
      <family val="2"/>
    </font>
    <font>
      <sz val="12"/>
      <color theme="1"/>
      <name val="Tw Cen MT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1">
    <xf numFmtId="0" fontId="0" fillId="0" borderId="0" xfId="0"/>
    <xf numFmtId="0" fontId="2" fillId="0" borderId="0" xfId="0" applyFont="1"/>
    <xf numFmtId="0" fontId="2" fillId="0" borderId="1" xfId="0" applyFont="1" applyBorder="1"/>
    <xf numFmtId="164" fontId="2" fillId="0" borderId="1" xfId="1" applyNumberFormat="1" applyFont="1" applyBorder="1"/>
    <xf numFmtId="0" fontId="2" fillId="2" borderId="1" xfId="0" applyFont="1" applyFill="1" applyBorder="1"/>
    <xf numFmtId="164" fontId="2" fillId="0" borderId="1" xfId="1" applyNumberFormat="1" applyFont="1" applyFill="1" applyBorder="1"/>
    <xf numFmtId="0" fontId="2" fillId="0" borderId="1" xfId="0" applyFont="1" applyBorder="1" applyAlignment="1">
      <alignment horizontal="center" vertical="center"/>
    </xf>
    <xf numFmtId="164" fontId="2" fillId="4" borderId="1" xfId="1" applyNumberFormat="1" applyFont="1" applyFill="1" applyBorder="1"/>
    <xf numFmtId="0" fontId="0" fillId="0" borderId="1" xfId="0" applyBorder="1"/>
    <xf numFmtId="0" fontId="4" fillId="0" borderId="5" xfId="0" applyFont="1" applyBorder="1"/>
    <xf numFmtId="0" fontId="4" fillId="0" borderId="8" xfId="0" applyFont="1" applyBorder="1"/>
    <xf numFmtId="0" fontId="4" fillId="0" borderId="7" xfId="0" applyFont="1" applyBorder="1"/>
    <xf numFmtId="0" fontId="4" fillId="0" borderId="1" xfId="0" applyFont="1" applyBorder="1"/>
    <xf numFmtId="0" fontId="4" fillId="5" borderId="8" xfId="0" applyFont="1" applyFill="1" applyBorder="1"/>
    <xf numFmtId="0" fontId="4" fillId="5" borderId="1" xfId="0" applyFont="1" applyFill="1" applyBorder="1"/>
    <xf numFmtId="0" fontId="4" fillId="5" borderId="5" xfId="0" applyFont="1" applyFill="1" applyBorder="1"/>
    <xf numFmtId="0" fontId="4" fillId="5" borderId="2" xfId="0" applyFont="1" applyFill="1" applyBorder="1"/>
    <xf numFmtId="0" fontId="4" fillId="5" borderId="4" xfId="0" applyFont="1" applyFill="1" applyBorder="1"/>
    <xf numFmtId="0" fontId="5" fillId="0" borderId="1" xfId="0" applyFont="1" applyBorder="1"/>
    <xf numFmtId="0" fontId="2" fillId="0" borderId="1" xfId="0" applyFont="1" applyBorder="1" applyAlignment="1">
      <alignment vertical="center"/>
    </xf>
    <xf numFmtId="43" fontId="2" fillId="0" borderId="1" xfId="1" applyFont="1" applyBorder="1"/>
    <xf numFmtId="43" fontId="2" fillId="0" borderId="0" xfId="1" applyFont="1" applyBorder="1"/>
    <xf numFmtId="164" fontId="2" fillId="0" borderId="0" xfId="1" applyNumberFormat="1" applyFont="1" applyBorder="1"/>
    <xf numFmtId="0" fontId="2" fillId="4" borderId="1" xfId="0" applyFont="1" applyFill="1" applyBorder="1"/>
    <xf numFmtId="164" fontId="2" fillId="6" borderId="1" xfId="1" applyNumberFormat="1" applyFont="1" applyFill="1" applyBorder="1"/>
    <xf numFmtId="164" fontId="2" fillId="0" borderId="0" xfId="0" applyNumberFormat="1" applyFont="1"/>
    <xf numFmtId="166" fontId="2" fillId="0" borderId="1" xfId="1" applyNumberFormat="1" applyFont="1" applyBorder="1"/>
    <xf numFmtId="167" fontId="2" fillId="0" borderId="1" xfId="0" applyNumberFormat="1" applyFont="1" applyBorder="1"/>
    <xf numFmtId="167" fontId="2" fillId="0" borderId="0" xfId="0" applyNumberFormat="1" applyFont="1"/>
    <xf numFmtId="164" fontId="4" fillId="0" borderId="5" xfId="0" applyNumberFormat="1" applyFont="1" applyBorder="1"/>
    <xf numFmtId="0" fontId="2" fillId="0" borderId="1" xfId="0" applyFont="1" applyBorder="1" applyAlignment="1">
      <alignment vertical="center" wrapText="1"/>
    </xf>
    <xf numFmtId="43" fontId="2" fillId="0" borderId="0" xfId="0" applyNumberFormat="1" applyFont="1"/>
    <xf numFmtId="165" fontId="2" fillId="0" borderId="1" xfId="1" applyNumberFormat="1" applyFont="1" applyBorder="1"/>
    <xf numFmtId="168" fontId="2" fillId="0" borderId="1" xfId="1" applyNumberFormat="1" applyFont="1" applyBorder="1"/>
    <xf numFmtId="43" fontId="0" fillId="0" borderId="0" xfId="1" applyFont="1"/>
    <xf numFmtId="164" fontId="0" fillId="0" borderId="1" xfId="1" applyNumberFormat="1" applyFont="1" applyBorder="1"/>
    <xf numFmtId="10" fontId="0" fillId="0" borderId="1" xfId="2" applyNumberFormat="1" applyFont="1" applyBorder="1"/>
    <xf numFmtId="0" fontId="0" fillId="3" borderId="1" xfId="0" applyFill="1" applyBorder="1"/>
    <xf numFmtId="164" fontId="0" fillId="3" borderId="1" xfId="1" applyNumberFormat="1" applyFont="1" applyFill="1" applyBorder="1"/>
    <xf numFmtId="10" fontId="0" fillId="3" borderId="1" xfId="2" applyNumberFormat="1" applyFont="1" applyFill="1" applyBorder="1"/>
    <xf numFmtId="0" fontId="0" fillId="4" borderId="1" xfId="0" applyFill="1" applyBorder="1"/>
    <xf numFmtId="164" fontId="0" fillId="4" borderId="1" xfId="1" applyNumberFormat="1" applyFont="1" applyFill="1" applyBorder="1"/>
    <xf numFmtId="10" fontId="0" fillId="4" borderId="1" xfId="2" applyNumberFormat="1" applyFont="1" applyFill="1" applyBorder="1"/>
    <xf numFmtId="0" fontId="0" fillId="0" borderId="6" xfId="0" applyBorder="1"/>
    <xf numFmtId="10" fontId="2" fillId="0" borderId="1" xfId="2" applyNumberFormat="1" applyFont="1" applyBorder="1"/>
    <xf numFmtId="0" fontId="4" fillId="4" borderId="1" xfId="0" applyFont="1" applyFill="1" applyBorder="1"/>
    <xf numFmtId="166" fontId="2" fillId="4" borderId="1" xfId="1" applyNumberFormat="1" applyFont="1" applyFill="1" applyBorder="1"/>
    <xf numFmtId="10" fontId="2" fillId="4" borderId="1" xfId="2" applyNumberFormat="1" applyFont="1" applyFill="1" applyBorder="1"/>
    <xf numFmtId="0" fontId="5" fillId="4" borderId="1" xfId="0" applyFont="1" applyFill="1" applyBorder="1"/>
    <xf numFmtId="0" fontId="2" fillId="7" borderId="1" xfId="0" applyFont="1" applyFill="1" applyBorder="1"/>
    <xf numFmtId="166" fontId="2" fillId="7" borderId="1" xfId="1" applyNumberFormat="1" applyFont="1" applyFill="1" applyBorder="1"/>
    <xf numFmtId="164" fontId="2" fillId="7" borderId="1" xfId="1" applyNumberFormat="1" applyFont="1" applyFill="1" applyBorder="1"/>
    <xf numFmtId="10" fontId="2" fillId="7" borderId="1" xfId="2" applyNumberFormat="1" applyFont="1" applyFill="1" applyBorder="1"/>
    <xf numFmtId="169" fontId="0" fillId="4" borderId="1" xfId="2" applyNumberFormat="1" applyFont="1" applyFill="1" applyBorder="1"/>
    <xf numFmtId="0" fontId="4" fillId="2" borderId="8" xfId="0" applyFont="1" applyFill="1" applyBorder="1"/>
    <xf numFmtId="0" fontId="4" fillId="8" borderId="8" xfId="0" applyFont="1" applyFill="1" applyBorder="1"/>
    <xf numFmtId="0" fontId="4" fillId="9" borderId="8" xfId="0" applyFont="1" applyFill="1" applyBorder="1"/>
    <xf numFmtId="0" fontId="4" fillId="9" borderId="1" xfId="0" applyFont="1" applyFill="1" applyBorder="1"/>
    <xf numFmtId="0" fontId="4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10" borderId="5" xfId="0" applyFont="1" applyFill="1" applyBorder="1"/>
    <xf numFmtId="0" fontId="4" fillId="10" borderId="8" xfId="0" applyFont="1" applyFill="1" applyBorder="1"/>
    <xf numFmtId="0" fontId="4" fillId="11" borderId="5" xfId="0" applyFont="1" applyFill="1" applyBorder="1"/>
    <xf numFmtId="0" fontId="4" fillId="11" borderId="8" xfId="0" applyFont="1" applyFill="1" applyBorder="1"/>
    <xf numFmtId="0" fontId="4" fillId="11" borderId="1" xfId="0" applyFont="1" applyFill="1" applyBorder="1"/>
    <xf numFmtId="164" fontId="2" fillId="0" borderId="1" xfId="1" quotePrefix="1" applyNumberFormat="1" applyFont="1" applyBorder="1"/>
    <xf numFmtId="43" fontId="2" fillId="2" borderId="1" xfId="1" applyFont="1" applyFill="1" applyBorder="1"/>
    <xf numFmtId="164" fontId="2" fillId="2" borderId="1" xfId="1" applyNumberFormat="1" applyFont="1" applyFill="1" applyBorder="1"/>
    <xf numFmtId="166" fontId="2" fillId="2" borderId="1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24150614391195"/>
          <c:y val="0.21904053659959175"/>
          <c:w val="0.86015141814020657"/>
          <c:h val="0.49911064936327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Static_Overhead_SPEC2017!$B$23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Static_Overhead_SPEC2017!$B$24:$B$40</c:f>
              <c:numCache>
                <c:formatCode>_(* #,##0.00_);_(* \(#,##0.00\);_(* "-"??_);_(@_)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4-E64D-8E3A-629F42E216D8}"/>
            </c:ext>
          </c:extLst>
        </c:ser>
        <c:ser>
          <c:idx val="1"/>
          <c:order val="1"/>
          <c:tx>
            <c:strRef>
              <c:f>Static_Overhead_SPEC2017!$C$23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Static_Overhead_SPEC2017!$C$24:$C$40</c:f>
              <c:numCache>
                <c:formatCode>_(* #,##0.00_);_(* \(#,##0.00\);_(* "-"??_);_(@_)</c:formatCode>
                <c:ptCount val="17"/>
                <c:pt idx="0">
                  <c:v>1.7103958136846269</c:v>
                </c:pt>
                <c:pt idx="1">
                  <c:v>1.6373122834039275</c:v>
                </c:pt>
                <c:pt idx="2">
                  <c:v>2.5291974471078951</c:v>
                </c:pt>
                <c:pt idx="3">
                  <c:v>1.2255798758575629</c:v>
                </c:pt>
                <c:pt idx="4">
                  <c:v>1.3342740265120132</c:v>
                </c:pt>
                <c:pt idx="5">
                  <c:v>1.7915722547262336</c:v>
                </c:pt>
                <c:pt idx="6">
                  <c:v>1.8157203658426153</c:v>
                </c:pt>
                <c:pt idx="7">
                  <c:v>1.687632842635598</c:v>
                </c:pt>
                <c:pt idx="8">
                  <c:v>1.6695261097693013</c:v>
                </c:pt>
                <c:pt idx="9">
                  <c:v>1.6856932175588026</c:v>
                </c:pt>
                <c:pt idx="10">
                  <c:v>0.96508848263882918</c:v>
                </c:pt>
                <c:pt idx="11">
                  <c:v>1.3483768598480907</c:v>
                </c:pt>
                <c:pt idx="12">
                  <c:v>1.7081217409086262</c:v>
                </c:pt>
                <c:pt idx="13">
                  <c:v>1.6892061781609196</c:v>
                </c:pt>
                <c:pt idx="14">
                  <c:v>1.599460464629004</c:v>
                </c:pt>
                <c:pt idx="15">
                  <c:v>1.9476324365774171</c:v>
                </c:pt>
                <c:pt idx="16">
                  <c:v>1.6126845866503123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4-E64D-8E3A-629F42E216D8}"/>
            </c:ext>
          </c:extLst>
        </c:ser>
        <c:ser>
          <c:idx val="2"/>
          <c:order val="2"/>
          <c:tx>
            <c:strRef>
              <c:f>Static_Overhead_SPEC2017!$D$23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197614730283263E-3"/>
                  <c:y val="0.2676032857003985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76-7A47-B64D-348715FFE6B8}"/>
                </c:ext>
              </c:extLst>
            </c:dLbl>
            <c:dLbl>
              <c:idx val="5"/>
              <c:layout>
                <c:manualLayout>
                  <c:x val="-2.1387512363533119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layout>
                <c:manualLayout>
                  <c:x val="7.2726138243466585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1.3860569366836707E-2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2.564782242132488E-4"/>
                  <c:y val="0.269146495576941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76-7A47-B64D-348715FFE6B8}"/>
                </c:ext>
              </c:extLst>
            </c:dLbl>
            <c:dLbl>
              <c:idx val="12"/>
              <c:layout>
                <c:manualLayout>
                  <c:x val="-3.0798877424232395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2.566931293996742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7.2726138243465891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7.9840982018883049E-3"/>
                  <c:y val="0.2166500194420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Static_Overhead_SPEC2017!$D$24:$D$40</c:f>
              <c:numCache>
                <c:formatCode>_(* #,##0.00_);_(* \(#,##0.00\);_(* "-"??_);_(@_)</c:formatCode>
                <c:ptCount val="17"/>
                <c:pt idx="0">
                  <c:v>21.375764398065048</c:v>
                </c:pt>
                <c:pt idx="1">
                  <c:v>2.6425490951097421</c:v>
                </c:pt>
                <c:pt idx="2">
                  <c:v>2.8280315593748431</c:v>
                </c:pt>
                <c:pt idx="3">
                  <c:v>1.310764456060111</c:v>
                </c:pt>
                <c:pt idx="4">
                  <c:v>2.9559859154929575</c:v>
                </c:pt>
                <c:pt idx="5">
                  <c:v>12.316953566234908</c:v>
                </c:pt>
                <c:pt idx="6">
                  <c:v>12.43412116272752</c:v>
                </c:pt>
                <c:pt idx="7">
                  <c:v>12.902463984885459</c:v>
                </c:pt>
                <c:pt idx="8">
                  <c:v>2.4952944115932372</c:v>
                </c:pt>
                <c:pt idx="9">
                  <c:v>24.357797474831077</c:v>
                </c:pt>
                <c:pt idx="10">
                  <c:v>1.0063803807591105</c:v>
                </c:pt>
                <c:pt idx="11">
                  <c:v>2.9344761211112269</c:v>
                </c:pt>
                <c:pt idx="12">
                  <c:v>12.368358269997614</c:v>
                </c:pt>
                <c:pt idx="13">
                  <c:v>12.338362068965518</c:v>
                </c:pt>
                <c:pt idx="14">
                  <c:v>12.940991592676985</c:v>
                </c:pt>
                <c:pt idx="15">
                  <c:v>3.087737235606109</c:v>
                </c:pt>
                <c:pt idx="16">
                  <c:v>5.7268698795566282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94-E64D-8E3A-629F42E216D8}"/>
            </c:ext>
          </c:extLst>
        </c:ser>
        <c:ser>
          <c:idx val="3"/>
          <c:order val="3"/>
          <c:tx>
            <c:strRef>
              <c:f>Static_Overhead_SPEC2017!$E$23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Static_Overhead_SPEC2017!$E$24:$E$40</c:f>
              <c:numCache>
                <c:formatCode>_(* #,##0.00_);_(* \(#,##0.00\);_(* "-"??_);_(@_)</c:formatCode>
                <c:ptCount val="17"/>
                <c:pt idx="0">
                  <c:v>1.7343393471051751</c:v>
                </c:pt>
                <c:pt idx="1">
                  <c:v>1.7070465922217943</c:v>
                </c:pt>
                <c:pt idx="2">
                  <c:v>2.5778682345846526</c:v>
                </c:pt>
                <c:pt idx="3">
                  <c:v>1.314970597843842</c:v>
                </c:pt>
                <c:pt idx="4">
                  <c:v>1.309419014084507</c:v>
                </c:pt>
                <c:pt idx="5">
                  <c:v>1.7757448679360142</c:v>
                </c:pt>
                <c:pt idx="6">
                  <c:v>1.89133387666395</c:v>
                </c:pt>
                <c:pt idx="7">
                  <c:v>1.6882363746096722</c:v>
                </c:pt>
                <c:pt idx="8">
                  <c:v>1.6823519613558757</c:v>
                </c:pt>
                <c:pt idx="9">
                  <c:v>1.7502370167491836</c:v>
                </c:pt>
                <c:pt idx="10">
                  <c:v>1.0087622749238998</c:v>
                </c:pt>
                <c:pt idx="11">
                  <c:v>1.3315731973780043</c:v>
                </c:pt>
                <c:pt idx="12">
                  <c:v>1.7895095600013633</c:v>
                </c:pt>
                <c:pt idx="13">
                  <c:v>1.8683548850574712</c:v>
                </c:pt>
                <c:pt idx="14">
                  <c:v>1.6913386239228936</c:v>
                </c:pt>
                <c:pt idx="15">
                  <c:v>2.0097130807080323</c:v>
                </c:pt>
                <c:pt idx="16">
                  <c:v>1.6607677624132051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94-E64D-8E3A-629F42E216D8}"/>
            </c:ext>
          </c:extLst>
        </c:ser>
        <c:ser>
          <c:idx val="4"/>
          <c:order val="4"/>
          <c:tx>
            <c:strRef>
              <c:f>Static_Overhead_SPEC2017!$F$23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Static_Overhead_SPEC2017!$F$24:$F$40</c:f>
              <c:numCache>
                <c:formatCode>_(* #,##0.00_);_(* \(#,##0.00\);_(* "-"??_);_(@_)</c:formatCode>
                <c:ptCount val="17"/>
                <c:pt idx="0">
                  <c:v>1.936718488545438</c:v>
                </c:pt>
                <c:pt idx="1">
                  <c:v>1.7102425876010781</c:v>
                </c:pt>
                <c:pt idx="2">
                  <c:v>2.5839991959394943</c:v>
                </c:pt>
                <c:pt idx="3">
                  <c:v>1.3118670369160406</c:v>
                </c:pt>
                <c:pt idx="4">
                  <c:v>1.4245028997514499</c:v>
                </c:pt>
                <c:pt idx="5">
                  <c:v>1.8433156346173358</c:v>
                </c:pt>
                <c:pt idx="6">
                  <c:v>1.9429502852485738</c:v>
                </c:pt>
                <c:pt idx="7">
                  <c:v>1.7269149019916554</c:v>
                </c:pt>
                <c:pt idx="8">
                  <c:v>1.6696093945198633</c:v>
                </c:pt>
                <c:pt idx="9">
                  <c:v>1.9552753156461151</c:v>
                </c:pt>
                <c:pt idx="10">
                  <c:v>1.009673757889487</c:v>
                </c:pt>
                <c:pt idx="11">
                  <c:v>1.4384299240453646</c:v>
                </c:pt>
                <c:pt idx="12">
                  <c:v>1.8334753416720631</c:v>
                </c:pt>
                <c:pt idx="13">
                  <c:v>1.9264547413793103</c:v>
                </c:pt>
                <c:pt idx="14">
                  <c:v>1.7253869725779838</c:v>
                </c:pt>
                <c:pt idx="15">
                  <c:v>2.0301616716723112</c:v>
                </c:pt>
                <c:pt idx="16">
                  <c:v>1.7188099331003612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94-E64D-8E3A-629F42E21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631671041"/>
          <c:y val="1.8259089141635074E-2"/>
          <c:w val="0.88536041393263332"/>
          <c:h val="0.1847027802080295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050274667013279"/>
          <c:y val="0.19776854282103626"/>
          <c:w val="0.85189024265103264"/>
          <c:h val="0.40957616409059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Static_Overhead_Splash3!$B$17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Static_Overhead_Splash3!$B$18:$B$31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E-5847-AE4A-75628940829F}"/>
            </c:ext>
          </c:extLst>
        </c:ser>
        <c:ser>
          <c:idx val="1"/>
          <c:order val="1"/>
          <c:tx>
            <c:strRef>
              <c:f>Static_Overhead_Splash3!$C$17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Static_Overhead_Splash3!$C$18:$C$31</c:f>
              <c:numCache>
                <c:formatCode>_(* #,##0.00_);_(* \(#,##0.00\);_(* "-"??_);_(@_)</c:formatCode>
                <c:ptCount val="14"/>
                <c:pt idx="0">
                  <c:v>2.1923076923076925</c:v>
                </c:pt>
                <c:pt idx="1">
                  <c:v>1.0454545454545454</c:v>
                </c:pt>
                <c:pt idx="2">
                  <c:v>1.0241137304300882</c:v>
                </c:pt>
                <c:pt idx="3">
                  <c:v>0.93181818181818177</c:v>
                </c:pt>
                <c:pt idx="4">
                  <c:v>1.7817142857142858</c:v>
                </c:pt>
                <c:pt idx="5">
                  <c:v>1.5210866752910737</c:v>
                </c:pt>
                <c:pt idx="6">
                  <c:v>1.0066334991708126</c:v>
                </c:pt>
                <c:pt idx="7">
                  <c:v>0.97901168969181718</c:v>
                </c:pt>
                <c:pt idx="8">
                  <c:v>2.6774193548387095</c:v>
                </c:pt>
                <c:pt idx="9">
                  <c:v>1.3530031612223392</c:v>
                </c:pt>
                <c:pt idx="10">
                  <c:v>1.0370496261046906</c:v>
                </c:pt>
                <c:pt idx="11">
                  <c:v>1.3771186440677967</c:v>
                </c:pt>
                <c:pt idx="12">
                  <c:v>1.5</c:v>
                </c:pt>
                <c:pt idx="13">
                  <c:v>1.3409621318138527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E-5847-AE4A-75628940829F}"/>
            </c:ext>
          </c:extLst>
        </c:ser>
        <c:ser>
          <c:idx val="2"/>
          <c:order val="2"/>
          <c:tx>
            <c:strRef>
              <c:f>Static_Overhead_Splash3!$D$17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1037839020122485E-3"/>
                  <c:y val="0.233965077282006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2.3676727909011375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1.4387849956255469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6.3156167979002624E-4"/>
                  <c:y val="0.238594706911636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7.5152422353455817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EB-8E4E-BB5A-AE877AD3F3CE}"/>
                </c:ext>
              </c:extLst>
            </c:dLbl>
            <c:dLbl>
              <c:idx val="11"/>
              <c:layout>
                <c:manualLayout>
                  <c:x val="7.5152422353455817E-3"/>
                  <c:y val="0.2355082871585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1.1855485837707659E-2"/>
                  <c:y val="0.1901715757752502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Static_Overhead_Splash3!$D$18:$D$31</c:f>
              <c:numCache>
                <c:formatCode>_(* #,##0.00_);_(* \(#,##0.00\);_(* "-"??_);_(@_)</c:formatCode>
                <c:ptCount val="14"/>
                <c:pt idx="0">
                  <c:v>15.76923076923077</c:v>
                </c:pt>
                <c:pt idx="1">
                  <c:v>2.6363636363636362</c:v>
                </c:pt>
                <c:pt idx="2">
                  <c:v>2.5805290624437647</c:v>
                </c:pt>
                <c:pt idx="3">
                  <c:v>1.7045454545454546</c:v>
                </c:pt>
                <c:pt idx="4">
                  <c:v>11.063619047619047</c:v>
                </c:pt>
                <c:pt idx="5">
                  <c:v>7.9055627425614485</c:v>
                </c:pt>
                <c:pt idx="6">
                  <c:v>1.0182421227197347</c:v>
                </c:pt>
                <c:pt idx="7">
                  <c:v>0.98618490967056327</c:v>
                </c:pt>
                <c:pt idx="8">
                  <c:v>28.838709677419356</c:v>
                </c:pt>
                <c:pt idx="9">
                  <c:v>8.1707060063224439</c:v>
                </c:pt>
                <c:pt idx="10">
                  <c:v>2.6730115567641062</c:v>
                </c:pt>
                <c:pt idx="11">
                  <c:v>6.8919491525423728</c:v>
                </c:pt>
                <c:pt idx="12">
                  <c:v>6.2777777777777777</c:v>
                </c:pt>
                <c:pt idx="13">
                  <c:v>4.6206638097694075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E-5847-AE4A-75628940829F}"/>
            </c:ext>
          </c:extLst>
        </c:ser>
        <c:ser>
          <c:idx val="3"/>
          <c:order val="3"/>
          <c:tx>
            <c:strRef>
              <c:f>Static_Overhead_Splash3!$E$17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Static_Overhead_Splash3!$E$18:$E$31</c:f>
              <c:numCache>
                <c:formatCode>_(* #,##0.00_);_(* \(#,##0.00\);_(* "-"??_);_(@_)</c:formatCode>
                <c:ptCount val="14"/>
                <c:pt idx="0">
                  <c:v>2.7307692307692308</c:v>
                </c:pt>
                <c:pt idx="1">
                  <c:v>1.0909090909090908</c:v>
                </c:pt>
                <c:pt idx="2">
                  <c:v>1.1693359726471118</c:v>
                </c:pt>
                <c:pt idx="3">
                  <c:v>0.95454545454545459</c:v>
                </c:pt>
                <c:pt idx="4">
                  <c:v>1.8213333333333332</c:v>
                </c:pt>
                <c:pt idx="5">
                  <c:v>1.4271668822768435</c:v>
                </c:pt>
                <c:pt idx="6">
                  <c:v>1.0071862907683804</c:v>
                </c:pt>
                <c:pt idx="7">
                  <c:v>0.98591923485653565</c:v>
                </c:pt>
                <c:pt idx="8">
                  <c:v>3.161290322580645</c:v>
                </c:pt>
                <c:pt idx="9">
                  <c:v>1.3582718651211803</c:v>
                </c:pt>
                <c:pt idx="10">
                  <c:v>1.073929299796057</c:v>
                </c:pt>
                <c:pt idx="11">
                  <c:v>1.4682203389830508</c:v>
                </c:pt>
                <c:pt idx="12">
                  <c:v>1.537037037037037</c:v>
                </c:pt>
                <c:pt idx="13">
                  <c:v>1.4127695343529236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E-5847-AE4A-75628940829F}"/>
            </c:ext>
          </c:extLst>
        </c:ser>
        <c:ser>
          <c:idx val="4"/>
          <c:order val="4"/>
          <c:tx>
            <c:strRef>
              <c:f>Static_Overhead_Splash3!$F$17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Static_Overhead_Splash3!$F$18:$F$31</c:f>
              <c:numCache>
                <c:formatCode>_(* #,##0.00_);_(* \(#,##0.00\);_(* "-"??_);_(@_)</c:formatCode>
                <c:ptCount val="14"/>
                <c:pt idx="0">
                  <c:v>2.8461538461538463</c:v>
                </c:pt>
                <c:pt idx="1">
                  <c:v>1.1363636363636365</c:v>
                </c:pt>
                <c:pt idx="2">
                  <c:v>1.1182292603922981</c:v>
                </c:pt>
                <c:pt idx="3">
                  <c:v>0.97727272727272729</c:v>
                </c:pt>
                <c:pt idx="4">
                  <c:v>1.7344761904761905</c:v>
                </c:pt>
                <c:pt idx="5">
                  <c:v>1.5060802069857697</c:v>
                </c:pt>
                <c:pt idx="6">
                  <c:v>1.007739082365948</c:v>
                </c:pt>
                <c:pt idx="7">
                  <c:v>1.0092986184909671</c:v>
                </c:pt>
                <c:pt idx="8">
                  <c:v>3.4193548387096775</c:v>
                </c:pt>
                <c:pt idx="9">
                  <c:v>1.3909378292939938</c:v>
                </c:pt>
                <c:pt idx="10">
                  <c:v>1.1794697484704282</c:v>
                </c:pt>
                <c:pt idx="11">
                  <c:v>1.6271186440677967</c:v>
                </c:pt>
                <c:pt idx="12">
                  <c:v>1.6851851851851851</c:v>
                </c:pt>
                <c:pt idx="13">
                  <c:v>1.4659923378379092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E-5847-AE4A-756289408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842239203157816"/>
          <c:y val="1.596431775142031E-2"/>
          <c:w val="0.85387701211544909"/>
          <c:h val="0.1582680810731991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7212106299212"/>
          <c:y val="0.2491331291921843"/>
          <c:w val="0.85272077318460193"/>
          <c:h val="0.4650867599883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C-084A-8FE5-233D7BA91360}"/>
            </c:ext>
          </c:extLst>
        </c:ser>
        <c:ser>
          <c:idx val="2"/>
          <c:order val="1"/>
          <c:tx>
            <c:strRef>
              <c:f>Dyn_Overhead_SPEC2017!$C$21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Dyn_Overhead_SPEC2017!$C$22:$C$36</c:f>
              <c:numCache>
                <c:formatCode>_(* #,##0.00_);_(* \(#,##0.00\);_(* "-"??_);_(@_)</c:formatCode>
                <c:ptCount val="15"/>
                <c:pt idx="0">
                  <c:v>1.8634275457117648</c:v>
                </c:pt>
                <c:pt idx="1">
                  <c:v>1.7180978051597997</c:v>
                </c:pt>
                <c:pt idx="2">
                  <c:v>2.6148801447308911</c:v>
                </c:pt>
                <c:pt idx="3">
                  <c:v>1.7126347598823914</c:v>
                </c:pt>
                <c:pt idx="4">
                  <c:v>1.871047380702763</c:v>
                </c:pt>
                <c:pt idx="5">
                  <c:v>2.0961695191524043</c:v>
                </c:pt>
                <c:pt idx="6">
                  <c:v>1.8667506363326249</c:v>
                </c:pt>
                <c:pt idx="7">
                  <c:v>1.745898226034813</c:v>
                </c:pt>
                <c:pt idx="8">
                  <c:v>1.872116296218266</c:v>
                </c:pt>
                <c:pt idx="9">
                  <c:v>1.051567578722892</c:v>
                </c:pt>
                <c:pt idx="10">
                  <c:v>1.8700453290617225</c:v>
                </c:pt>
                <c:pt idx="11">
                  <c:v>2.078753591954023</c:v>
                </c:pt>
                <c:pt idx="12">
                  <c:v>1.8705377019983762</c:v>
                </c:pt>
                <c:pt idx="13">
                  <c:v>2.0591411591795001</c:v>
                </c:pt>
                <c:pt idx="14">
                  <c:v>1.8476181560103755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C-084A-8FE5-233D7BA91360}"/>
            </c:ext>
          </c:extLst>
        </c:ser>
        <c:ser>
          <c:idx val="3"/>
          <c:order val="2"/>
          <c:tx>
            <c:strRef>
              <c:f>Dyn_Overhead_SPEC2017!$D$21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Dyn_Overhead_SPEC2017!$D$22:$D$36</c:f>
              <c:numCache>
                <c:formatCode>_(* #,##0.00_);_(* \(#,##0.00\);_(* "-"??_);_(@_)</c:formatCode>
                <c:ptCount val="15"/>
                <c:pt idx="0">
                  <c:v>11.977851470990903</c:v>
                </c:pt>
                <c:pt idx="1">
                  <c:v>2.1906815556411243</c:v>
                </c:pt>
                <c:pt idx="2">
                  <c:v>4.5557816975727423</c:v>
                </c:pt>
                <c:pt idx="3">
                  <c:v>1.6963819013394315</c:v>
                </c:pt>
                <c:pt idx="4">
                  <c:v>7.6688761878994898</c:v>
                </c:pt>
                <c:pt idx="5">
                  <c:v>7.2963868513990766</c:v>
                </c:pt>
                <c:pt idx="6">
                  <c:v>7.2846571675982048</c:v>
                </c:pt>
                <c:pt idx="7">
                  <c:v>2.2697593070708755</c:v>
                </c:pt>
                <c:pt idx="8">
                  <c:v>11.527290785691713</c:v>
                </c:pt>
                <c:pt idx="9">
                  <c:v>1.0193905102584828</c:v>
                </c:pt>
                <c:pt idx="10">
                  <c:v>7.7165059132272251</c:v>
                </c:pt>
                <c:pt idx="11">
                  <c:v>7.2301544540229887</c:v>
                </c:pt>
                <c:pt idx="12">
                  <c:v>7.2107330871375819</c:v>
                </c:pt>
                <c:pt idx="13">
                  <c:v>2.6106140967473959</c:v>
                </c:pt>
                <c:pt idx="14">
                  <c:v>4.6655435097550528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CC-084A-8FE5-233D7BA91360}"/>
            </c:ext>
          </c:extLst>
        </c:ser>
        <c:ser>
          <c:idx val="4"/>
          <c:order val="3"/>
          <c:tx>
            <c:strRef>
              <c:f>Dyn_Overhead_SPEC2017!$E$21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Dyn_Overhead_SPEC2017!$E$22:$E$36</c:f>
              <c:numCache>
                <c:formatCode>_(* #,##0.00_);_(* \(#,##0.00\);_(* "-"??_);_(@_)</c:formatCode>
                <c:ptCount val="15"/>
                <c:pt idx="0">
                  <c:v>9.8078128327603515</c:v>
                </c:pt>
                <c:pt idx="1">
                  <c:v>1.9727762803234501</c:v>
                </c:pt>
                <c:pt idx="2">
                  <c:v>3.6053319262274486</c:v>
                </c:pt>
                <c:pt idx="3">
                  <c:v>1.7067134923227703</c:v>
                </c:pt>
                <c:pt idx="4">
                  <c:v>4.8612059927626907</c:v>
                </c:pt>
                <c:pt idx="5">
                  <c:v>5.6994476138730414</c:v>
                </c:pt>
                <c:pt idx="6">
                  <c:v>4.3248051641344567</c:v>
                </c:pt>
                <c:pt idx="7">
                  <c:v>2.0695427667194135</c:v>
                </c:pt>
                <c:pt idx="8">
                  <c:v>9.4144557643978271</c:v>
                </c:pt>
                <c:pt idx="9">
                  <c:v>1.0154694137272775</c:v>
                </c:pt>
                <c:pt idx="10">
                  <c:v>4.8336457516785387</c:v>
                </c:pt>
                <c:pt idx="11">
                  <c:v>5.6506824712643677</c:v>
                </c:pt>
                <c:pt idx="12">
                  <c:v>4.3492574840889446</c:v>
                </c:pt>
                <c:pt idx="13">
                  <c:v>2.4405393315866828</c:v>
                </c:pt>
                <c:pt idx="14">
                  <c:v>3.6745826883437345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CC-084A-8FE5-233D7BA91360}"/>
            </c:ext>
          </c:extLst>
        </c:ser>
        <c:ser>
          <c:idx val="5"/>
          <c:order val="4"/>
          <c:tx>
            <c:strRef>
              <c:f>Dyn_Overhead_SPEC2017!$F$21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Dyn_Overhead_SPEC2017!$F$22:$F$36</c:f>
              <c:numCache>
                <c:formatCode>_(* #,##0.00_);_(* \(#,##0.00\);_(* "-"??_);_(@_)</c:formatCode>
                <c:ptCount val="15"/>
                <c:pt idx="0">
                  <c:v>13.95844108430436</c:v>
                </c:pt>
                <c:pt idx="1">
                  <c:v>2.2666923373122834</c:v>
                </c:pt>
                <c:pt idx="2">
                  <c:v>4.9206241519674352</c:v>
                </c:pt>
                <c:pt idx="3">
                  <c:v>1.7083061091146685</c:v>
                </c:pt>
                <c:pt idx="4">
                  <c:v>8.8169704758361807</c:v>
                </c:pt>
                <c:pt idx="5">
                  <c:v>8.3346011047722541</c:v>
                </c:pt>
                <c:pt idx="6">
                  <c:v>8.2738723136267023</c:v>
                </c:pt>
                <c:pt idx="7">
                  <c:v>2.36886816023986</c:v>
                </c:pt>
                <c:pt idx="8">
                  <c:v>13.259394140043039</c:v>
                </c:pt>
                <c:pt idx="9">
                  <c:v>1.0154436170395722</c:v>
                </c:pt>
                <c:pt idx="10">
                  <c:v>8.8725673971575603</c:v>
                </c:pt>
                <c:pt idx="11">
                  <c:v>8.2584410919540225</c:v>
                </c:pt>
                <c:pt idx="12">
                  <c:v>8.301458840784683</c:v>
                </c:pt>
                <c:pt idx="13">
                  <c:v>2.7455108952648732</c:v>
                </c:pt>
                <c:pt idx="14">
                  <c:v>5.1245444978469061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CC-084A-8FE5-233D7BA91360}"/>
            </c:ext>
          </c:extLst>
        </c:ser>
        <c:ser>
          <c:idx val="1"/>
          <c:order val="5"/>
          <c:tx>
            <c:strRef>
              <c:f>Dyn_Overhead_SPEC2017!$G$21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Dyn_Overhead_SPEC2017!$G$22:$G$36</c:f>
              <c:numCache>
                <c:formatCode>_(* #,##0.00_);_(* \(#,##0.00\);_(* "-"??_);_(@_)</c:formatCode>
                <c:ptCount val="15"/>
                <c:pt idx="0">
                  <c:v>11.831817213788067</c:v>
                </c:pt>
                <c:pt idx="1">
                  <c:v>2.0347708894878704</c:v>
                </c:pt>
                <c:pt idx="2">
                  <c:v>3.9598723553947432</c:v>
                </c:pt>
                <c:pt idx="3">
                  <c:v>1.7029157138190134</c:v>
                </c:pt>
                <c:pt idx="4">
                  <c:v>5.9611079170753154</c:v>
                </c:pt>
                <c:pt idx="5">
                  <c:v>6.6386851399076336</c:v>
                </c:pt>
                <c:pt idx="6">
                  <c:v>5.1537432102652918</c:v>
                </c:pt>
                <c:pt idx="7">
                  <c:v>2.1584075955692512</c:v>
                </c:pt>
                <c:pt idx="8">
                  <c:v>11.355735805330243</c:v>
                </c:pt>
                <c:pt idx="9">
                  <c:v>1.0191669389650369</c:v>
                </c:pt>
                <c:pt idx="10">
                  <c:v>5.9641798166388327</c:v>
                </c:pt>
                <c:pt idx="11">
                  <c:v>6.5884518678160919</c:v>
                </c:pt>
                <c:pt idx="12">
                  <c:v>5.1725989366438805</c:v>
                </c:pt>
                <c:pt idx="13">
                  <c:v>2.5617611348967984</c:v>
                </c:pt>
                <c:pt idx="14">
                  <c:v>4.13737523717624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4-924A-9BF4-082FE780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Relative</a:t>
                </a:r>
                <a:r>
                  <a:rPr lang="en-US" baseline="0"/>
                  <a:t> to Native </a:t>
                </a:r>
                <a:r>
                  <a:rPr lang="en-US"/>
                  <a:t>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909879429133858"/>
          <c:y val="2.9372752017108969E-2"/>
          <c:w val="0.86169694608486447"/>
          <c:h val="0.2119717847769029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30415848574877"/>
          <c:y val="0.2491331291921843"/>
          <c:w val="0.83708870776524558"/>
          <c:h val="0.4450250315932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Dyn_Overhead_SPEC2017!$H$42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Dyn_Overhead_SPEC2017!$H$43:$H$56</c:f>
              <c:numCache>
                <c:formatCode>_(* #,##0_);_(* \(#,##0\);_(* "-"??_);_(@_)</c:formatCode>
                <c:ptCount val="14"/>
                <c:pt idx="0">
                  <c:v>7.48828125</c:v>
                </c:pt>
                <c:pt idx="1">
                  <c:v>8.20703125</c:v>
                </c:pt>
                <c:pt idx="2">
                  <c:v>105.4453125</c:v>
                </c:pt>
                <c:pt idx="3">
                  <c:v>7.1171875</c:v>
                </c:pt>
                <c:pt idx="4">
                  <c:v>17.78125</c:v>
                </c:pt>
                <c:pt idx="5">
                  <c:v>11.984375</c:v>
                </c:pt>
                <c:pt idx="6">
                  <c:v>57.11328125</c:v>
                </c:pt>
                <c:pt idx="7">
                  <c:v>8.19921875</c:v>
                </c:pt>
                <c:pt idx="8">
                  <c:v>7.21875</c:v>
                </c:pt>
                <c:pt idx="9">
                  <c:v>8.03515625</c:v>
                </c:pt>
                <c:pt idx="10">
                  <c:v>17.32421875</c:v>
                </c:pt>
                <c:pt idx="11">
                  <c:v>11.71484375</c:v>
                </c:pt>
                <c:pt idx="12">
                  <c:v>56.8203125</c:v>
                </c:pt>
                <c:pt idx="1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1-3C4E-A9FD-4221930020F9}"/>
            </c:ext>
          </c:extLst>
        </c:ser>
        <c:ser>
          <c:idx val="1"/>
          <c:order val="1"/>
          <c:tx>
            <c:strRef>
              <c:f>Dyn_Overhead_SPEC2017!$I$42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F1-3C4E-A9FD-4221930020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1-3C4E-A9FD-4221930020F9}"/>
                </c:ext>
              </c:extLst>
            </c:dLbl>
            <c:dLbl>
              <c:idx val="2"/>
              <c:layout>
                <c:manualLayout>
                  <c:x val="-3.8902722369197014E-2"/>
                  <c:y val="0.274637397273800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F1-3C4E-A9FD-4221930020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1-3C4E-A9FD-4221930020F9}"/>
                </c:ext>
              </c:extLst>
            </c:dLbl>
            <c:dLbl>
              <c:idx val="4"/>
              <c:layout>
                <c:manualLayout>
                  <c:x val="-2.8899120246276604E-2"/>
                  <c:y val="0.3484980512121981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F1-3C4E-A9FD-4221930020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1-3C4E-A9FD-4221930020F9}"/>
                </c:ext>
              </c:extLst>
            </c:dLbl>
            <c:dLbl>
              <c:idx val="6"/>
              <c:layout>
                <c:manualLayout>
                  <c:x val="-3.3241911312273144E-2"/>
                  <c:y val="0.29663844312779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8F1-3C4E-A9FD-4221930020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1-3C4E-A9FD-4221930020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1-3C4E-A9FD-4221930020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1-3C4E-A9FD-4221930020F9}"/>
                </c:ext>
              </c:extLst>
            </c:dLbl>
            <c:dLbl>
              <c:idx val="10"/>
              <c:layout>
                <c:manualLayout>
                  <c:x val="-3.1504794885874529E-2"/>
                  <c:y val="0.2604938677962351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8F1-3C4E-A9FD-4221930020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1-3C4E-A9FD-4221930020F9}"/>
                </c:ext>
              </c:extLst>
            </c:dLbl>
            <c:dLbl>
              <c:idx val="12"/>
              <c:layout>
                <c:manualLayout>
                  <c:x val="-2.8899120246276732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8F1-3C4E-A9FD-4221930020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1-3C4E-A9FD-4221930020F9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Dyn_Overhead_SPEC2017!$I$43:$I$56</c:f>
              <c:numCache>
                <c:formatCode>_(* #,##0_);_(* \(#,##0\);_(* "-"??_);_(@_)</c:formatCode>
                <c:ptCount val="14"/>
                <c:pt idx="0">
                  <c:v>54.671875</c:v>
                </c:pt>
                <c:pt idx="1">
                  <c:v>67.1953125</c:v>
                </c:pt>
                <c:pt idx="2">
                  <c:v>1380.61328125</c:v>
                </c:pt>
                <c:pt idx="3">
                  <c:v>51.30078125</c:v>
                </c:pt>
                <c:pt idx="4">
                  <c:v>242.8515625</c:v>
                </c:pt>
                <c:pt idx="5">
                  <c:v>113.21484375</c:v>
                </c:pt>
                <c:pt idx="6">
                  <c:v>298.70703125</c:v>
                </c:pt>
                <c:pt idx="7">
                  <c:v>52.9296875</c:v>
                </c:pt>
                <c:pt idx="8">
                  <c:v>54.03515625</c:v>
                </c:pt>
                <c:pt idx="9">
                  <c:v>66.70703125</c:v>
                </c:pt>
                <c:pt idx="10">
                  <c:v>241.95703125</c:v>
                </c:pt>
                <c:pt idx="11">
                  <c:v>112.9296875</c:v>
                </c:pt>
                <c:pt idx="12">
                  <c:v>298.203125</c:v>
                </c:pt>
                <c:pt idx="13">
                  <c:v>37.1875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F1-3C4E-A9FD-4221930020F9}"/>
            </c:ext>
          </c:extLst>
        </c:ser>
        <c:ser>
          <c:idx val="2"/>
          <c:order val="2"/>
          <c:tx>
            <c:strRef>
              <c:f>Dyn_Overhead_SPEC2017!$J$42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Dyn_Overhead_SPEC2017!$J$43:$J$56</c:f>
              <c:numCache>
                <c:formatCode>_(* #,##0_);_(* \(#,##0\);_(* "-"??_);_(@_)</c:formatCode>
                <c:ptCount val="14"/>
                <c:pt idx="0">
                  <c:v>8.3359375</c:v>
                </c:pt>
                <c:pt idx="1">
                  <c:v>9.34765625</c:v>
                </c:pt>
                <c:pt idx="2">
                  <c:v>109.13671875</c:v>
                </c:pt>
                <c:pt idx="3">
                  <c:v>8.21484375</c:v>
                </c:pt>
                <c:pt idx="4">
                  <c:v>20.62890625</c:v>
                </c:pt>
                <c:pt idx="5">
                  <c:v>16.43359375</c:v>
                </c:pt>
                <c:pt idx="6">
                  <c:v>58.2109375</c:v>
                </c:pt>
                <c:pt idx="7">
                  <c:v>9.5390625</c:v>
                </c:pt>
                <c:pt idx="8">
                  <c:v>8.1171875</c:v>
                </c:pt>
                <c:pt idx="9">
                  <c:v>10.0859375</c:v>
                </c:pt>
                <c:pt idx="10">
                  <c:v>20.171875</c:v>
                </c:pt>
                <c:pt idx="11">
                  <c:v>16.20703125</c:v>
                </c:pt>
                <c:pt idx="12">
                  <c:v>57.7734375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F1-3C4E-A9FD-4221930020F9}"/>
            </c:ext>
          </c:extLst>
        </c:ser>
        <c:ser>
          <c:idx val="3"/>
          <c:order val="3"/>
          <c:tx>
            <c:strRef>
              <c:f>Dyn_Overhead_SPEC2017!$K$42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AA-F747-80D7-B98211AA08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A-F747-80D7-B98211AA089C}"/>
                </c:ext>
              </c:extLst>
            </c:dLbl>
            <c:dLbl>
              <c:idx val="2"/>
              <c:layout>
                <c:manualLayout>
                  <c:x val="3.4056167539544872E-2"/>
                  <c:y val="0.276208900549085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A-F747-80D7-B98211AA08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A-F747-80D7-B98211AA089C}"/>
                </c:ext>
              </c:extLst>
            </c:dLbl>
            <c:dLbl>
              <c:idx val="4"/>
              <c:layout>
                <c:manualLayout>
                  <c:x val="1.9740139692884656E-2"/>
                  <c:y val="0.4019291625718900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A-F747-80D7-B98211AA08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A-F747-80D7-B98211AA089C}"/>
                </c:ext>
              </c:extLst>
            </c:dLbl>
            <c:dLbl>
              <c:idx val="6"/>
              <c:layout>
                <c:manualLayout>
                  <c:x val="3.1899954677674904E-2"/>
                  <c:y val="0.2997814496783614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A-F747-80D7-B98211AA08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A-F747-80D7-B98211AA08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AA-F747-80D7-B98211AA08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A-F747-80D7-B98211AA089C}"/>
                </c:ext>
              </c:extLst>
            </c:dLbl>
            <c:dLbl>
              <c:idx val="10"/>
              <c:layout>
                <c:manualLayout>
                  <c:x val="2.9294280038077044E-2"/>
                  <c:y val="0.262065371071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AA-F747-80D7-B98211AA08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A-F747-80D7-B98211AA089C}"/>
                </c:ext>
              </c:extLst>
            </c:dLbl>
            <c:dLbl>
              <c:idx val="12"/>
              <c:layout>
                <c:manualLayout>
                  <c:x val="2.9294280038077044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AA-F747-80D7-B98211AA08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AA-F747-80D7-B98211AA089C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Dyn_Overhead_SPEC2017!$K$43:$K$56</c:f>
              <c:numCache>
                <c:formatCode>_(* #,##0_);_(* \(#,##0\);_(* "-"??_);_(@_)</c:formatCode>
                <c:ptCount val="14"/>
                <c:pt idx="0">
                  <c:v>54.78125</c:v>
                </c:pt>
                <c:pt idx="1">
                  <c:v>67.359375</c:v>
                </c:pt>
                <c:pt idx="2">
                  <c:v>1382.62890625</c:v>
                </c:pt>
                <c:pt idx="3">
                  <c:v>51.62890625</c:v>
                </c:pt>
                <c:pt idx="4">
                  <c:v>244.703125</c:v>
                </c:pt>
                <c:pt idx="5">
                  <c:v>110.625</c:v>
                </c:pt>
                <c:pt idx="6">
                  <c:v>299.15234375</c:v>
                </c:pt>
                <c:pt idx="7">
                  <c:v>53.09375</c:v>
                </c:pt>
                <c:pt idx="8">
                  <c:v>54.34375</c:v>
                </c:pt>
                <c:pt idx="9">
                  <c:v>66.59765625</c:v>
                </c:pt>
                <c:pt idx="10">
                  <c:v>243.75</c:v>
                </c:pt>
                <c:pt idx="11">
                  <c:v>110.4140625</c:v>
                </c:pt>
                <c:pt idx="12">
                  <c:v>298.734375</c:v>
                </c:pt>
                <c:pt idx="13">
                  <c:v>52.69140625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F1-3C4E-A9FD-4221930020F9}"/>
            </c:ext>
          </c:extLst>
        </c:ser>
        <c:ser>
          <c:idx val="4"/>
          <c:order val="4"/>
          <c:tx>
            <c:strRef>
              <c:f>Dyn_Overhead_SPEC2017!$L$42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Dyn_Overhead_SPEC2017!$L$43:$L$56</c:f>
              <c:numCache>
                <c:formatCode>_(* #,##0_);_(* \(#,##0\);_(* "-"??_);_(@_)</c:formatCode>
                <c:ptCount val="14"/>
                <c:pt idx="0">
                  <c:v>8.4296875</c:v>
                </c:pt>
                <c:pt idx="1">
                  <c:v>9.41796875</c:v>
                </c:pt>
                <c:pt idx="2">
                  <c:v>110.66796875</c:v>
                </c:pt>
                <c:pt idx="3">
                  <c:v>8.08984375</c:v>
                </c:pt>
                <c:pt idx="4">
                  <c:v>22.17578125</c:v>
                </c:pt>
                <c:pt idx="5">
                  <c:v>16.78125</c:v>
                </c:pt>
                <c:pt idx="6">
                  <c:v>58.375</c:v>
                </c:pt>
                <c:pt idx="7">
                  <c:v>9.62890625</c:v>
                </c:pt>
                <c:pt idx="8">
                  <c:v>8.171875</c:v>
                </c:pt>
                <c:pt idx="9">
                  <c:v>10.296875</c:v>
                </c:pt>
                <c:pt idx="10">
                  <c:v>21.703125</c:v>
                </c:pt>
                <c:pt idx="11">
                  <c:v>16.5546875</c:v>
                </c:pt>
                <c:pt idx="12">
                  <c:v>58.02734375</c:v>
                </c:pt>
                <c:pt idx="13">
                  <c:v>21.30859375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F1-3C4E-A9FD-422193002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Difference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 baseline="0"/>
                  <a:t>from Native </a:t>
                </a:r>
                <a:r>
                  <a:rPr lang="en-US"/>
                  <a:t>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47585165135608"/>
          <c:y val="3.0915961893652182E-2"/>
          <c:w val="0.86482481681977252"/>
          <c:h val="0.202144089627685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5147-9617-421561E354A5}"/>
            </c:ext>
          </c:extLst>
        </c:ser>
        <c:ser>
          <c:idx val="1"/>
          <c:order val="1"/>
          <c:tx>
            <c:strRef>
              <c:f>Dyn_Overhead_Splash3!$C$16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5147-9617-421561E354A5}"/>
            </c:ext>
          </c:extLst>
        </c:ser>
        <c:ser>
          <c:idx val="2"/>
          <c:order val="2"/>
          <c:tx>
            <c:strRef>
              <c:f>Dyn_Overhead_Splash3!$D$16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5147-9617-421561E354A5}"/>
            </c:ext>
          </c:extLst>
        </c:ser>
        <c:ser>
          <c:idx val="3"/>
          <c:order val="3"/>
          <c:tx>
            <c:strRef>
              <c:f>Dyn_Overhead_Splash3!$E$16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5147-9617-421561E354A5}"/>
            </c:ext>
          </c:extLst>
        </c:ser>
        <c:ser>
          <c:idx val="4"/>
          <c:order val="4"/>
          <c:tx>
            <c:strRef>
              <c:f>Dyn_Overhead_Splash3!$F$16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46-D648-86BC-6D3F98F140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46-D648-86BC-6D3F98F140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46-D648-86BC-6D3F98F140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46-D648-86BC-6D3F98F140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46-D648-86BC-6D3F98F140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46-D648-86BC-6D3F98F140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46-D648-86BC-6D3F98F140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46-D648-86BC-6D3F98F1401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E46-D648-86BC-6D3F98F140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46-D648-86BC-6D3F98F140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46-D648-86BC-6D3F98F140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46-D648-86BC-6D3F98F1401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46-D648-86BC-6D3F98F1401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EE-5147-9617-421561E354A5}"/>
            </c:ext>
          </c:extLst>
        </c:ser>
        <c:ser>
          <c:idx val="5"/>
          <c:order val="5"/>
          <c:tx>
            <c:strRef>
              <c:f>Dyn_Overhead_Splash3!$G$16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5147-9617-421561E3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2945-8492-6F664603998D}"/>
            </c:ext>
          </c:extLst>
        </c:ser>
        <c:ser>
          <c:idx val="1"/>
          <c:order val="1"/>
          <c:tx>
            <c:strRef>
              <c:f>Dyn_Overhead_Splash3!$I$33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98-2945-8492-6F664603998D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98-2945-8492-6F664603998D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8-2945-8492-6F664603998D}"/>
            </c:ext>
          </c:extLst>
        </c:ser>
        <c:ser>
          <c:idx val="2"/>
          <c:order val="2"/>
          <c:tx>
            <c:strRef>
              <c:f>Dyn_Overhead_Splash3!$J$33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98-2945-8492-6F664603998D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98-2945-8492-6F664603998D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98-2945-8492-6F664603998D}"/>
            </c:ext>
          </c:extLst>
        </c:ser>
        <c:ser>
          <c:idx val="3"/>
          <c:order val="3"/>
          <c:tx>
            <c:strRef>
              <c:f>Dyn_Overhead_Splash3!$K$33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98-2945-8492-6F664603998D}"/>
            </c:ext>
          </c:extLst>
        </c:ser>
        <c:ser>
          <c:idx val="4"/>
          <c:order val="4"/>
          <c:tx>
            <c:strRef>
              <c:f>Dyn_Overhead_Splash3!$L$33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98-2945-8492-6F664603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1F40-84E0-6D5C081B5B94}"/>
            </c:ext>
          </c:extLst>
        </c:ser>
        <c:ser>
          <c:idx val="1"/>
          <c:order val="1"/>
          <c:tx>
            <c:strRef>
              <c:f>'Dyn_Overhead_Splash3-analysis'!$C$16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AB-1F40-84E0-6D5C081B5B94}"/>
            </c:ext>
          </c:extLst>
        </c:ser>
        <c:ser>
          <c:idx val="2"/>
          <c:order val="2"/>
          <c:tx>
            <c:strRef>
              <c:f>'Dyn_Overhead_Splash3-analysis'!$D$16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AB-1F40-84E0-6D5C081B5B94}"/>
            </c:ext>
          </c:extLst>
        </c:ser>
        <c:ser>
          <c:idx val="3"/>
          <c:order val="3"/>
          <c:tx>
            <c:strRef>
              <c:f>'Dyn_Overhead_Splash3-analysis'!$E$16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AB-1F40-84E0-6D5C081B5B94}"/>
            </c:ext>
          </c:extLst>
        </c:ser>
        <c:ser>
          <c:idx val="4"/>
          <c:order val="4"/>
          <c:tx>
            <c:strRef>
              <c:f>'Dyn_Overhead_Splash3-analysis'!$F$16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AB-1F40-84E0-6D5C081B5B9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AB-1F40-84E0-6D5C081B5B9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AB-1F40-84E0-6D5C081B5B9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AB-1F40-84E0-6D5C081B5B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3AB-1F40-84E0-6D5C081B5B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3AB-1F40-84E0-6D5C081B5B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3AB-1F40-84E0-6D5C081B5B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3AB-1F40-84E0-6D5C081B5B9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AB-1F40-84E0-6D5C081B5B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AB-1F40-84E0-6D5C081B5B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3AB-1F40-84E0-6D5C081B5B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3AB-1F40-84E0-6D5C081B5B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3AB-1F40-84E0-6D5C081B5B9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3AB-1F40-84E0-6D5C081B5B94}"/>
            </c:ext>
          </c:extLst>
        </c:ser>
        <c:ser>
          <c:idx val="5"/>
          <c:order val="5"/>
          <c:tx>
            <c:strRef>
              <c:f>'Dyn_Overhead_Splash3-analysis'!$G$16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AB-1F40-84E0-6D5C081B5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9D-4C4D-889D-468F6484D7A0}"/>
            </c:ext>
          </c:extLst>
        </c:ser>
        <c:ser>
          <c:idx val="1"/>
          <c:order val="1"/>
          <c:tx>
            <c:strRef>
              <c:f>'Dyn_Overhead_Splash3-analysis'!$I$33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9D-4C4D-889D-468F6484D7A0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B9D-4C4D-889D-468F6484D7A0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B9D-4C4D-889D-468F6484D7A0}"/>
            </c:ext>
          </c:extLst>
        </c:ser>
        <c:ser>
          <c:idx val="2"/>
          <c:order val="2"/>
          <c:tx>
            <c:strRef>
              <c:f>'Dyn_Overhead_Splash3-analysis'!$J$33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B9D-4C4D-889D-468F6484D7A0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B9D-4C4D-889D-468F6484D7A0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B9D-4C4D-889D-468F6484D7A0}"/>
            </c:ext>
          </c:extLst>
        </c:ser>
        <c:ser>
          <c:idx val="3"/>
          <c:order val="3"/>
          <c:tx>
            <c:strRef>
              <c:f>'Dyn_Overhead_Splash3-analysis'!$K$33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B9D-4C4D-889D-468F6484D7A0}"/>
            </c:ext>
          </c:extLst>
        </c:ser>
        <c:ser>
          <c:idx val="4"/>
          <c:order val="4"/>
          <c:tx>
            <c:strRef>
              <c:f>'Dyn_Overhead_Splash3-analysis'!$L$33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B9D-4C4D-889D-468F6484D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1859976</xdr:colOff>
      <xdr:row>0</xdr:row>
      <xdr:rowOff>50800</xdr:rowOff>
    </xdr:from>
    <xdr:to>
      <xdr:col>9</xdr:col>
      <xdr:colOff>1771076</xdr:colOff>
      <xdr:row>36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8899D-EFB8-8E4A-995C-DB77286D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1731433</xdr:colOff>
      <xdr:row>0</xdr:row>
      <xdr:rowOff>79375</xdr:rowOff>
    </xdr:from>
    <xdr:to>
      <xdr:col>19</xdr:col>
      <xdr:colOff>423333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BADE6-0732-C440-8F98-257F40AD2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700164</xdr:colOff>
      <xdr:row>6</xdr:row>
      <xdr:rowOff>49589</xdr:rowOff>
    </xdr:from>
    <xdr:to>
      <xdr:col>18</xdr:col>
      <xdr:colOff>789064</xdr:colOff>
      <xdr:row>43</xdr:row>
      <xdr:rowOff>55939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292F8-67D8-FC4C-824B-269FEEBC1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182940</xdr:colOff>
      <xdr:row>41</xdr:row>
      <xdr:rowOff>99482</xdr:rowOff>
    </xdr:from>
    <xdr:to>
      <xdr:col>21</xdr:col>
      <xdr:colOff>775002</xdr:colOff>
      <xdr:row>76</xdr:row>
      <xdr:rowOff>187173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F97879-95E8-5044-8317-25244218E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646791</xdr:colOff>
      <xdr:row>4</xdr:row>
      <xdr:rowOff>42332</xdr:rowOff>
    </xdr:from>
    <xdr:to>
      <xdr:col>19</xdr:col>
      <xdr:colOff>708476</xdr:colOff>
      <xdr:row>39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DA99E-0F1C-AB4E-92B6-D789A2186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1708453</xdr:colOff>
      <xdr:row>42</xdr:row>
      <xdr:rowOff>181426</xdr:rowOff>
    </xdr:from>
    <xdr:to>
      <xdr:col>23</xdr:col>
      <xdr:colOff>539752</xdr:colOff>
      <xdr:row>78</xdr:row>
      <xdr:rowOff>181426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859AF-F730-324A-ACC6-5E0B5AF5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48076</xdr:colOff>
      <xdr:row>0</xdr:row>
      <xdr:rowOff>78619</xdr:rowOff>
    </xdr:from>
    <xdr:to>
      <xdr:col>26</xdr:col>
      <xdr:colOff>490761</xdr:colOff>
      <xdr:row>35</xdr:row>
      <xdr:rowOff>53219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989EA-74B3-2241-B799-518AD541B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565454</xdr:colOff>
      <xdr:row>46</xdr:row>
      <xdr:rowOff>18140</xdr:rowOff>
    </xdr:from>
    <xdr:to>
      <xdr:col>15</xdr:col>
      <xdr:colOff>721181</xdr:colOff>
      <xdr:row>82</xdr:row>
      <xdr:rowOff>18140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29CB1B-EF80-FA47-90F5-3611032F4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84F1-82A7-984A-B124-F6A2F6399F0A}">
  <dimension ref="A1:I88"/>
  <sheetViews>
    <sheetView zoomScale="90" zoomScaleNormal="90" workbookViewId="0">
      <selection activeCell="E17" sqref="E17"/>
    </sheetView>
  </sheetViews>
  <sheetFormatPr baseColWidth="10" defaultColWidth="21" defaultRowHeight="16" x14ac:dyDescent="0.2"/>
  <cols>
    <col min="1" max="1" width="25.83203125" bestFit="1" customWidth="1"/>
    <col min="5" max="5" width="21.6640625" bestFit="1" customWidth="1"/>
    <col min="6" max="6" width="29.83203125" bestFit="1" customWidth="1"/>
    <col min="8" max="8" width="33.1640625" bestFit="1" customWidth="1"/>
  </cols>
  <sheetData>
    <row r="1" spans="1:9" ht="18" x14ac:dyDescent="0.2">
      <c r="A1" s="9" t="s">
        <v>39</v>
      </c>
      <c r="B1" s="9" t="s">
        <v>23</v>
      </c>
      <c r="C1" s="9" t="s">
        <v>151</v>
      </c>
      <c r="D1" s="9" t="s">
        <v>40</v>
      </c>
      <c r="E1" s="9" t="s">
        <v>41</v>
      </c>
      <c r="F1" s="9" t="s">
        <v>42</v>
      </c>
      <c r="G1" s="9" t="s">
        <v>62</v>
      </c>
      <c r="H1" s="12" t="s">
        <v>63</v>
      </c>
      <c r="I1" s="12" t="s">
        <v>150</v>
      </c>
    </row>
    <row r="2" spans="1:9" ht="18" x14ac:dyDescent="0.2">
      <c r="A2" s="64" t="s">
        <v>26</v>
      </c>
      <c r="B2" s="9" t="s">
        <v>25</v>
      </c>
      <c r="C2" s="9" t="s">
        <v>61</v>
      </c>
      <c r="D2" s="9" t="s">
        <v>64</v>
      </c>
      <c r="E2" s="64" t="s">
        <v>67</v>
      </c>
      <c r="F2" s="15"/>
      <c r="G2" s="17"/>
      <c r="H2" s="14"/>
      <c r="I2" s="14"/>
    </row>
    <row r="3" spans="1:9" ht="18" x14ac:dyDescent="0.2">
      <c r="A3" s="63" t="s">
        <v>27</v>
      </c>
      <c r="B3" s="10" t="s">
        <v>25</v>
      </c>
      <c r="C3" s="9" t="s">
        <v>61</v>
      </c>
      <c r="D3" s="62" t="s">
        <v>65</v>
      </c>
      <c r="E3" s="15"/>
      <c r="F3" s="15"/>
      <c r="G3" s="17"/>
      <c r="H3" s="14"/>
      <c r="I3" s="14"/>
    </row>
    <row r="4" spans="1:9" ht="18" x14ac:dyDescent="0.2">
      <c r="A4" s="10" t="s">
        <v>28</v>
      </c>
      <c r="B4" s="10" t="s">
        <v>25</v>
      </c>
      <c r="C4" s="9" t="s">
        <v>61</v>
      </c>
      <c r="D4" s="9" t="s">
        <v>64</v>
      </c>
      <c r="E4" s="9" t="s">
        <v>64</v>
      </c>
      <c r="F4" s="9" t="s">
        <v>64</v>
      </c>
      <c r="G4" s="9" t="s">
        <v>64</v>
      </c>
      <c r="H4" s="12"/>
      <c r="I4" s="12" t="s">
        <v>61</v>
      </c>
    </row>
    <row r="5" spans="1:9" ht="18" x14ac:dyDescent="0.2">
      <c r="A5" s="54" t="s">
        <v>29</v>
      </c>
      <c r="B5" s="10" t="s">
        <v>24</v>
      </c>
      <c r="C5" s="9" t="s">
        <v>61</v>
      </c>
      <c r="D5" s="9" t="s">
        <v>64</v>
      </c>
      <c r="E5" s="9" t="s">
        <v>64</v>
      </c>
      <c r="F5" s="13"/>
      <c r="G5" s="16"/>
      <c r="H5" s="14"/>
      <c r="I5" s="14"/>
    </row>
    <row r="6" spans="1:9" ht="18" x14ac:dyDescent="0.2">
      <c r="A6" s="10" t="s">
        <v>30</v>
      </c>
      <c r="B6" s="10" t="s">
        <v>24</v>
      </c>
      <c r="C6" s="9" t="s">
        <v>61</v>
      </c>
      <c r="D6" s="9" t="s">
        <v>64</v>
      </c>
      <c r="E6" s="9" t="s">
        <v>64</v>
      </c>
      <c r="F6" s="9" t="s">
        <v>64</v>
      </c>
      <c r="G6" s="9" t="s">
        <v>64</v>
      </c>
      <c r="H6" s="12"/>
      <c r="I6" s="12" t="s">
        <v>61</v>
      </c>
    </row>
    <row r="7" spans="1:9" ht="18" x14ac:dyDescent="0.2">
      <c r="A7" s="10" t="s">
        <v>32</v>
      </c>
      <c r="B7" s="10" t="s">
        <v>25</v>
      </c>
      <c r="C7" s="9" t="s">
        <v>61</v>
      </c>
      <c r="D7" s="9" t="s">
        <v>64</v>
      </c>
      <c r="E7" s="9" t="s">
        <v>64</v>
      </c>
      <c r="F7" s="9" t="s">
        <v>64</v>
      </c>
      <c r="G7" s="9" t="s">
        <v>64</v>
      </c>
      <c r="H7" s="12"/>
      <c r="I7" s="12" t="s">
        <v>61</v>
      </c>
    </row>
    <row r="8" spans="1:9" ht="18" x14ac:dyDescent="0.2">
      <c r="A8" s="10" t="s">
        <v>33</v>
      </c>
      <c r="B8" s="10" t="s">
        <v>24</v>
      </c>
      <c r="C8" s="9" t="s">
        <v>61</v>
      </c>
      <c r="D8" s="9" t="s">
        <v>64</v>
      </c>
      <c r="E8" s="9" t="s">
        <v>64</v>
      </c>
      <c r="F8" s="9" t="s">
        <v>64</v>
      </c>
      <c r="G8" s="9" t="s">
        <v>64</v>
      </c>
      <c r="H8" s="12"/>
      <c r="I8" s="12" t="s">
        <v>61</v>
      </c>
    </row>
    <row r="9" spans="1:9" ht="18" x14ac:dyDescent="0.2">
      <c r="A9" s="10" t="s">
        <v>34</v>
      </c>
      <c r="B9" s="10" t="s">
        <v>24</v>
      </c>
      <c r="C9" s="9" t="s">
        <v>61</v>
      </c>
      <c r="D9" s="9" t="s">
        <v>64</v>
      </c>
      <c r="E9" s="9" t="s">
        <v>64</v>
      </c>
      <c r="F9" s="9" t="s">
        <v>64</v>
      </c>
      <c r="G9" s="9" t="s">
        <v>64</v>
      </c>
      <c r="H9" s="12"/>
      <c r="I9" s="12" t="s">
        <v>61</v>
      </c>
    </row>
    <row r="10" spans="1:9" ht="18" x14ac:dyDescent="0.2">
      <c r="A10" s="10" t="s">
        <v>43</v>
      </c>
      <c r="B10" s="10" t="s">
        <v>44</v>
      </c>
      <c r="C10" s="9" t="s">
        <v>153</v>
      </c>
      <c r="D10" s="9" t="s">
        <v>153</v>
      </c>
      <c r="E10" s="9" t="s">
        <v>153</v>
      </c>
      <c r="F10" s="9" t="s">
        <v>153</v>
      </c>
      <c r="G10" s="9" t="s">
        <v>153</v>
      </c>
      <c r="H10" s="9" t="s">
        <v>153</v>
      </c>
      <c r="I10" s="12" t="s">
        <v>152</v>
      </c>
    </row>
    <row r="11" spans="1:9" ht="18" x14ac:dyDescent="0.2">
      <c r="A11" s="10" t="s">
        <v>36</v>
      </c>
      <c r="B11" s="10" t="s">
        <v>25</v>
      </c>
      <c r="C11" s="9" t="s">
        <v>61</v>
      </c>
      <c r="D11" s="9" t="s">
        <v>64</v>
      </c>
      <c r="E11" s="9" t="s">
        <v>64</v>
      </c>
      <c r="F11" s="9" t="s">
        <v>64</v>
      </c>
      <c r="G11" s="9" t="s">
        <v>64</v>
      </c>
      <c r="H11" s="12"/>
      <c r="I11" s="12" t="s">
        <v>61</v>
      </c>
    </row>
    <row r="12" spans="1:9" ht="18" x14ac:dyDescent="0.2">
      <c r="A12" s="10" t="s">
        <v>45</v>
      </c>
      <c r="B12" s="10" t="s">
        <v>44</v>
      </c>
      <c r="C12" s="9" t="s">
        <v>153</v>
      </c>
      <c r="D12" s="9" t="s">
        <v>153</v>
      </c>
      <c r="E12" s="9" t="s">
        <v>153</v>
      </c>
      <c r="F12" s="9" t="s">
        <v>153</v>
      </c>
      <c r="G12" s="9" t="s">
        <v>153</v>
      </c>
      <c r="H12" s="9" t="s">
        <v>153</v>
      </c>
      <c r="I12" s="12" t="s">
        <v>152</v>
      </c>
    </row>
    <row r="13" spans="1:9" ht="18" x14ac:dyDescent="0.2">
      <c r="A13" s="10" t="s">
        <v>46</v>
      </c>
      <c r="B13" s="10" t="s">
        <v>47</v>
      </c>
      <c r="C13" s="9" t="s">
        <v>153</v>
      </c>
      <c r="D13" s="9" t="s">
        <v>153</v>
      </c>
      <c r="E13" s="9" t="s">
        <v>153</v>
      </c>
      <c r="F13" s="9" t="s">
        <v>153</v>
      </c>
      <c r="G13" s="9" t="s">
        <v>153</v>
      </c>
      <c r="H13" s="9" t="s">
        <v>153</v>
      </c>
      <c r="I13" s="12" t="s">
        <v>152</v>
      </c>
    </row>
    <row r="14" spans="1:9" ht="18" x14ac:dyDescent="0.2">
      <c r="A14" s="10" t="s">
        <v>6</v>
      </c>
      <c r="B14" s="10" t="s">
        <v>24</v>
      </c>
      <c r="C14" s="9" t="s">
        <v>61</v>
      </c>
      <c r="D14" s="9" t="s">
        <v>64</v>
      </c>
      <c r="E14" s="9" t="s">
        <v>64</v>
      </c>
      <c r="F14" s="9" t="s">
        <v>64</v>
      </c>
      <c r="G14" s="9" t="s">
        <v>64</v>
      </c>
      <c r="H14" s="12"/>
      <c r="I14" s="12" t="s">
        <v>61</v>
      </c>
    </row>
    <row r="15" spans="1:9" ht="18" x14ac:dyDescent="0.2">
      <c r="A15" s="10" t="s">
        <v>7</v>
      </c>
      <c r="B15" s="10" t="s">
        <v>24</v>
      </c>
      <c r="C15" s="9" t="s">
        <v>61</v>
      </c>
      <c r="D15" s="9" t="s">
        <v>64</v>
      </c>
      <c r="E15" s="9" t="s">
        <v>64</v>
      </c>
      <c r="F15" s="9" t="s">
        <v>64</v>
      </c>
      <c r="G15" s="9" t="s">
        <v>64</v>
      </c>
      <c r="H15" s="12"/>
      <c r="I15" s="12" t="s">
        <v>61</v>
      </c>
    </row>
    <row r="16" spans="1:9" ht="18" x14ac:dyDescent="0.2">
      <c r="A16" s="65" t="s">
        <v>8</v>
      </c>
      <c r="B16" s="10" t="s">
        <v>48</v>
      </c>
      <c r="C16" s="9" t="s">
        <v>61</v>
      </c>
      <c r="D16" s="9" t="s">
        <v>64</v>
      </c>
      <c r="E16" s="64" t="s">
        <v>67</v>
      </c>
      <c r="F16" s="13"/>
      <c r="G16" s="16"/>
      <c r="H16" s="14"/>
      <c r="I16" s="14"/>
    </row>
    <row r="17" spans="1:9" ht="18" x14ac:dyDescent="0.2">
      <c r="A17" s="10" t="s">
        <v>31</v>
      </c>
      <c r="B17" s="10" t="s">
        <v>25</v>
      </c>
      <c r="C17" s="9" t="s">
        <v>61</v>
      </c>
      <c r="D17" s="9" t="s">
        <v>64</v>
      </c>
      <c r="E17" s="9" t="s">
        <v>64</v>
      </c>
      <c r="F17" s="9" t="s">
        <v>64</v>
      </c>
      <c r="G17" s="9" t="s">
        <v>64</v>
      </c>
      <c r="H17" s="12"/>
      <c r="I17" s="12" t="s">
        <v>61</v>
      </c>
    </row>
    <row r="18" spans="1:9" ht="18" x14ac:dyDescent="0.2">
      <c r="A18" s="10" t="s">
        <v>49</v>
      </c>
      <c r="B18" s="10" t="s">
        <v>50</v>
      </c>
      <c r="C18" s="9" t="s">
        <v>153</v>
      </c>
      <c r="D18" s="9" t="s">
        <v>153</v>
      </c>
      <c r="E18" s="9" t="s">
        <v>153</v>
      </c>
      <c r="F18" s="9" t="s">
        <v>153</v>
      </c>
      <c r="G18" s="9" t="s">
        <v>153</v>
      </c>
      <c r="H18" s="9" t="s">
        <v>153</v>
      </c>
      <c r="I18" s="12" t="s">
        <v>152</v>
      </c>
    </row>
    <row r="19" spans="1:9" ht="18" x14ac:dyDescent="0.2">
      <c r="A19" s="63" t="s">
        <v>38</v>
      </c>
      <c r="B19" s="10" t="s">
        <v>48</v>
      </c>
      <c r="C19" s="9" t="s">
        <v>61</v>
      </c>
      <c r="D19" s="62" t="s">
        <v>65</v>
      </c>
      <c r="E19" s="15"/>
      <c r="F19" s="15"/>
      <c r="G19" s="17"/>
      <c r="H19" s="14"/>
      <c r="I19" s="14"/>
    </row>
    <row r="20" spans="1:9" ht="18" x14ac:dyDescent="0.2">
      <c r="A20" s="10" t="s">
        <v>51</v>
      </c>
      <c r="B20" s="10" t="s">
        <v>50</v>
      </c>
      <c r="C20" s="9" t="s">
        <v>153</v>
      </c>
      <c r="D20" s="9" t="s">
        <v>153</v>
      </c>
      <c r="E20" s="9" t="s">
        <v>153</v>
      </c>
      <c r="F20" s="9" t="s">
        <v>153</v>
      </c>
      <c r="G20" s="9" t="s">
        <v>153</v>
      </c>
      <c r="H20" s="9" t="s">
        <v>153</v>
      </c>
      <c r="I20" s="12" t="s">
        <v>152</v>
      </c>
    </row>
    <row r="21" spans="1:9" ht="18" x14ac:dyDescent="0.2">
      <c r="A21" s="55" t="s">
        <v>35</v>
      </c>
      <c r="B21" s="10" t="s">
        <v>25</v>
      </c>
      <c r="C21" s="9" t="s">
        <v>61</v>
      </c>
      <c r="D21" s="9" t="s">
        <v>64</v>
      </c>
      <c r="E21" s="64" t="s">
        <v>67</v>
      </c>
      <c r="F21" s="15"/>
      <c r="G21" s="17"/>
      <c r="H21" s="14"/>
      <c r="I21" s="14"/>
    </row>
    <row r="22" spans="1:9" ht="18" x14ac:dyDescent="0.2">
      <c r="A22" s="56" t="s">
        <v>37</v>
      </c>
      <c r="B22" s="10" t="s">
        <v>25</v>
      </c>
      <c r="C22" s="9" t="s">
        <v>61</v>
      </c>
      <c r="D22" s="9" t="s">
        <v>64</v>
      </c>
      <c r="E22" s="9" t="s">
        <v>64</v>
      </c>
      <c r="F22" s="9" t="s">
        <v>64</v>
      </c>
      <c r="G22" s="9" t="s">
        <v>64</v>
      </c>
      <c r="H22" s="14" t="s">
        <v>68</v>
      </c>
      <c r="I22" s="14"/>
    </row>
    <row r="23" spans="1:9" ht="18" x14ac:dyDescent="0.2">
      <c r="A23" s="10" t="s">
        <v>52</v>
      </c>
      <c r="B23" s="10" t="s">
        <v>44</v>
      </c>
      <c r="C23" s="9" t="s">
        <v>153</v>
      </c>
      <c r="D23" s="9" t="s">
        <v>153</v>
      </c>
      <c r="E23" s="9" t="s">
        <v>153</v>
      </c>
      <c r="F23" s="9" t="s">
        <v>153</v>
      </c>
      <c r="G23" s="9" t="s">
        <v>153</v>
      </c>
      <c r="H23" s="9" t="s">
        <v>153</v>
      </c>
      <c r="I23" s="12" t="s">
        <v>152</v>
      </c>
    </row>
    <row r="24" spans="1:9" ht="18" x14ac:dyDescent="0.2">
      <c r="A24" s="10" t="s">
        <v>53</v>
      </c>
      <c r="B24" s="10" t="s">
        <v>44</v>
      </c>
      <c r="C24" s="9" t="s">
        <v>153</v>
      </c>
      <c r="D24" s="9" t="s">
        <v>153</v>
      </c>
      <c r="E24" s="9" t="s">
        <v>153</v>
      </c>
      <c r="F24" s="9" t="s">
        <v>153</v>
      </c>
      <c r="G24" s="9" t="s">
        <v>153</v>
      </c>
      <c r="H24" s="9" t="s">
        <v>153</v>
      </c>
      <c r="I24" s="12" t="s">
        <v>152</v>
      </c>
    </row>
    <row r="25" spans="1:9" ht="18" x14ac:dyDescent="0.2">
      <c r="A25" s="65" t="s">
        <v>9</v>
      </c>
      <c r="B25" s="10" t="s">
        <v>25</v>
      </c>
      <c r="C25" s="9" t="s">
        <v>61</v>
      </c>
      <c r="D25" s="9" t="s">
        <v>64</v>
      </c>
      <c r="E25" s="64" t="s">
        <v>67</v>
      </c>
      <c r="F25" s="15"/>
      <c r="G25" s="17"/>
      <c r="H25" s="14"/>
      <c r="I25" s="14"/>
    </row>
    <row r="26" spans="1:9" ht="18" x14ac:dyDescent="0.2">
      <c r="A26" s="63" t="s">
        <v>10</v>
      </c>
      <c r="B26" s="10" t="s">
        <v>25</v>
      </c>
      <c r="C26" s="9" t="s">
        <v>61</v>
      </c>
      <c r="D26" s="62" t="s">
        <v>65</v>
      </c>
      <c r="E26" s="15"/>
      <c r="F26" s="15"/>
      <c r="G26" s="17"/>
      <c r="H26" s="14"/>
      <c r="I26" s="14"/>
    </row>
    <row r="27" spans="1:9" ht="18" x14ac:dyDescent="0.2">
      <c r="A27" s="10" t="s">
        <v>11</v>
      </c>
      <c r="B27" s="10" t="s">
        <v>25</v>
      </c>
      <c r="C27" s="9" t="s">
        <v>61</v>
      </c>
      <c r="D27" s="9" t="s">
        <v>64</v>
      </c>
      <c r="E27" s="9" t="s">
        <v>64</v>
      </c>
      <c r="F27" s="9" t="s">
        <v>64</v>
      </c>
      <c r="G27" s="9" t="s">
        <v>64</v>
      </c>
      <c r="H27" s="12"/>
      <c r="I27" s="12" t="s">
        <v>61</v>
      </c>
    </row>
    <row r="28" spans="1:9" ht="18" x14ac:dyDescent="0.2">
      <c r="A28" s="54" t="s">
        <v>14</v>
      </c>
      <c r="B28" s="10" t="s">
        <v>24</v>
      </c>
      <c r="C28" s="9" t="s">
        <v>61</v>
      </c>
      <c r="D28" s="9" t="s">
        <v>64</v>
      </c>
      <c r="E28" s="9" t="s">
        <v>64</v>
      </c>
      <c r="F28" s="13"/>
      <c r="G28" s="16"/>
      <c r="H28" s="14"/>
      <c r="I28" s="14"/>
    </row>
    <row r="29" spans="1:9" ht="18" x14ac:dyDescent="0.2">
      <c r="A29" s="10" t="s">
        <v>15</v>
      </c>
      <c r="B29" s="10" t="s">
        <v>24</v>
      </c>
      <c r="C29" s="9" t="s">
        <v>61</v>
      </c>
      <c r="D29" s="9" t="s">
        <v>64</v>
      </c>
      <c r="E29" s="9" t="s">
        <v>64</v>
      </c>
      <c r="F29" s="9" t="s">
        <v>64</v>
      </c>
      <c r="G29" s="9" t="s">
        <v>64</v>
      </c>
      <c r="H29" s="12"/>
      <c r="I29" s="12" t="s">
        <v>61</v>
      </c>
    </row>
    <row r="30" spans="1:9" ht="18" x14ac:dyDescent="0.2">
      <c r="A30" s="10" t="s">
        <v>16</v>
      </c>
      <c r="B30" s="10" t="s">
        <v>25</v>
      </c>
      <c r="C30" s="9" t="s">
        <v>61</v>
      </c>
      <c r="D30" s="9" t="s">
        <v>64</v>
      </c>
      <c r="E30" s="9" t="s">
        <v>64</v>
      </c>
      <c r="F30" s="9" t="s">
        <v>64</v>
      </c>
      <c r="G30" s="9" t="s">
        <v>64</v>
      </c>
      <c r="H30" s="12"/>
      <c r="I30" s="12" t="s">
        <v>61</v>
      </c>
    </row>
    <row r="31" spans="1:9" ht="18" x14ac:dyDescent="0.2">
      <c r="A31" s="10" t="s">
        <v>17</v>
      </c>
      <c r="B31" s="10" t="s">
        <v>24</v>
      </c>
      <c r="C31" s="9" t="s">
        <v>61</v>
      </c>
      <c r="D31" s="9" t="s">
        <v>64</v>
      </c>
      <c r="E31" s="9" t="s">
        <v>64</v>
      </c>
      <c r="F31" s="9" t="s">
        <v>64</v>
      </c>
      <c r="G31" s="9" t="s">
        <v>64</v>
      </c>
      <c r="H31" s="12"/>
      <c r="I31" s="12" t="s">
        <v>61</v>
      </c>
    </row>
    <row r="32" spans="1:9" ht="18" x14ac:dyDescent="0.2">
      <c r="A32" s="10" t="s">
        <v>19</v>
      </c>
      <c r="B32" s="10" t="s">
        <v>24</v>
      </c>
      <c r="C32" s="9" t="s">
        <v>61</v>
      </c>
      <c r="D32" s="9" t="s">
        <v>64</v>
      </c>
      <c r="E32" s="9" t="s">
        <v>64</v>
      </c>
      <c r="F32" s="9" t="s">
        <v>64</v>
      </c>
      <c r="G32" s="9" t="s">
        <v>64</v>
      </c>
      <c r="H32" s="12"/>
      <c r="I32" s="12" t="s">
        <v>61</v>
      </c>
    </row>
    <row r="33" spans="1:9" ht="18" x14ac:dyDescent="0.2">
      <c r="A33" s="10" t="s">
        <v>54</v>
      </c>
      <c r="B33" s="10" t="s">
        <v>44</v>
      </c>
      <c r="C33" s="9" t="s">
        <v>153</v>
      </c>
      <c r="D33" s="9" t="s">
        <v>153</v>
      </c>
      <c r="E33" s="9" t="s">
        <v>153</v>
      </c>
      <c r="F33" s="9" t="s">
        <v>153</v>
      </c>
      <c r="G33" s="9" t="s">
        <v>153</v>
      </c>
      <c r="H33" s="9" t="s">
        <v>153</v>
      </c>
      <c r="I33" s="12" t="s">
        <v>152</v>
      </c>
    </row>
    <row r="34" spans="1:9" ht="18" x14ac:dyDescent="0.2">
      <c r="A34" s="11" t="s">
        <v>21</v>
      </c>
      <c r="B34" s="11" t="s">
        <v>25</v>
      </c>
      <c r="C34" s="9" t="s">
        <v>61</v>
      </c>
      <c r="D34" s="9" t="s">
        <v>64</v>
      </c>
      <c r="E34" s="9" t="s">
        <v>64</v>
      </c>
      <c r="F34" s="9" t="s">
        <v>64</v>
      </c>
      <c r="G34" s="9" t="s">
        <v>64</v>
      </c>
      <c r="H34" s="12"/>
      <c r="I34" s="12" t="s">
        <v>61</v>
      </c>
    </row>
    <row r="35" spans="1:9" ht="18" x14ac:dyDescent="0.2">
      <c r="A35" s="12" t="s">
        <v>55</v>
      </c>
      <c r="B35" s="12" t="s">
        <v>44</v>
      </c>
      <c r="C35" s="9" t="s">
        <v>153</v>
      </c>
      <c r="D35" s="9" t="s">
        <v>153</v>
      </c>
      <c r="E35" s="9" t="s">
        <v>153</v>
      </c>
      <c r="F35" s="9" t="s">
        <v>153</v>
      </c>
      <c r="G35" s="9" t="s">
        <v>153</v>
      </c>
      <c r="H35" s="9" t="s">
        <v>153</v>
      </c>
      <c r="I35" s="12" t="s">
        <v>152</v>
      </c>
    </row>
    <row r="36" spans="1:9" ht="18" x14ac:dyDescent="0.2">
      <c r="A36" s="12" t="s">
        <v>12</v>
      </c>
      <c r="B36" s="12" t="s">
        <v>47</v>
      </c>
      <c r="C36" s="9" t="s">
        <v>153</v>
      </c>
      <c r="D36" s="9" t="s">
        <v>153</v>
      </c>
      <c r="E36" s="9" t="s">
        <v>153</v>
      </c>
      <c r="F36" s="9" t="s">
        <v>153</v>
      </c>
      <c r="G36" s="9" t="s">
        <v>153</v>
      </c>
      <c r="H36" s="9" t="s">
        <v>153</v>
      </c>
      <c r="I36" s="12" t="s">
        <v>152</v>
      </c>
    </row>
    <row r="37" spans="1:9" ht="18" x14ac:dyDescent="0.2">
      <c r="A37" s="12" t="s">
        <v>13</v>
      </c>
      <c r="B37" s="12" t="s">
        <v>25</v>
      </c>
      <c r="C37" s="9" t="s">
        <v>61</v>
      </c>
      <c r="D37" s="9" t="s">
        <v>64</v>
      </c>
      <c r="E37" s="9" t="s">
        <v>64</v>
      </c>
      <c r="F37" s="9" t="s">
        <v>64</v>
      </c>
      <c r="G37" s="9" t="s">
        <v>64</v>
      </c>
      <c r="H37" s="12"/>
      <c r="I37" s="12" t="s">
        <v>61</v>
      </c>
    </row>
    <row r="38" spans="1:9" ht="18" x14ac:dyDescent="0.2">
      <c r="A38" s="12" t="s">
        <v>56</v>
      </c>
      <c r="B38" s="12" t="s">
        <v>50</v>
      </c>
      <c r="C38" s="9" t="s">
        <v>153</v>
      </c>
      <c r="D38" s="9" t="s">
        <v>153</v>
      </c>
      <c r="E38" s="9" t="s">
        <v>153</v>
      </c>
      <c r="F38" s="9" t="s">
        <v>153</v>
      </c>
      <c r="G38" s="9" t="s">
        <v>153</v>
      </c>
      <c r="H38" s="9" t="s">
        <v>153</v>
      </c>
      <c r="I38" s="12" t="s">
        <v>152</v>
      </c>
    </row>
    <row r="39" spans="1:9" ht="18" x14ac:dyDescent="0.2">
      <c r="A39" s="12" t="s">
        <v>57</v>
      </c>
      <c r="B39" s="12" t="s">
        <v>50</v>
      </c>
      <c r="C39" s="9" t="s">
        <v>153</v>
      </c>
      <c r="D39" s="9" t="s">
        <v>153</v>
      </c>
      <c r="E39" s="9" t="s">
        <v>153</v>
      </c>
      <c r="F39" s="9" t="s">
        <v>153</v>
      </c>
      <c r="G39" s="9" t="s">
        <v>153</v>
      </c>
      <c r="H39" s="9" t="s">
        <v>153</v>
      </c>
      <c r="I39" s="12" t="s">
        <v>152</v>
      </c>
    </row>
    <row r="40" spans="1:9" ht="18" x14ac:dyDescent="0.2">
      <c r="A40" s="12" t="s">
        <v>58</v>
      </c>
      <c r="B40" s="12" t="s">
        <v>50</v>
      </c>
      <c r="C40" s="9" t="s">
        <v>153</v>
      </c>
      <c r="D40" s="9" t="s">
        <v>153</v>
      </c>
      <c r="E40" s="9" t="s">
        <v>153</v>
      </c>
      <c r="F40" s="9" t="s">
        <v>153</v>
      </c>
      <c r="G40" s="9" t="s">
        <v>153</v>
      </c>
      <c r="H40" s="9" t="s">
        <v>153</v>
      </c>
      <c r="I40" s="12" t="s">
        <v>152</v>
      </c>
    </row>
    <row r="41" spans="1:9" ht="18" x14ac:dyDescent="0.2">
      <c r="A41" s="66" t="s">
        <v>18</v>
      </c>
      <c r="B41" s="12" t="s">
        <v>25</v>
      </c>
      <c r="C41" s="9" t="s">
        <v>61</v>
      </c>
      <c r="D41" s="9" t="s">
        <v>64</v>
      </c>
      <c r="E41" s="64" t="s">
        <v>67</v>
      </c>
      <c r="F41" s="15"/>
      <c r="G41" s="17"/>
      <c r="H41" s="14"/>
      <c r="I41" s="14"/>
    </row>
    <row r="42" spans="1:9" ht="18" x14ac:dyDescent="0.2">
      <c r="A42" s="57" t="s">
        <v>20</v>
      </c>
      <c r="B42" s="12" t="s">
        <v>25</v>
      </c>
      <c r="C42" s="9" t="s">
        <v>61</v>
      </c>
      <c r="D42" s="9" t="s">
        <v>64</v>
      </c>
      <c r="E42" s="9" t="s">
        <v>64</v>
      </c>
      <c r="F42" s="9" t="s">
        <v>64</v>
      </c>
      <c r="G42" s="9" t="s">
        <v>64</v>
      </c>
      <c r="H42" s="14" t="s">
        <v>68</v>
      </c>
      <c r="I42" s="14"/>
    </row>
    <row r="43" spans="1:9" ht="18" x14ac:dyDescent="0.2">
      <c r="A43" s="12" t="s">
        <v>59</v>
      </c>
      <c r="B43" s="12" t="s">
        <v>44</v>
      </c>
      <c r="C43" s="9" t="s">
        <v>153</v>
      </c>
      <c r="D43" s="9" t="s">
        <v>153</v>
      </c>
      <c r="E43" s="9" t="s">
        <v>153</v>
      </c>
      <c r="F43" s="9" t="s">
        <v>153</v>
      </c>
      <c r="G43" s="9" t="s">
        <v>153</v>
      </c>
      <c r="H43" s="9" t="s">
        <v>153</v>
      </c>
      <c r="I43" s="12" t="s">
        <v>152</v>
      </c>
    </row>
    <row r="44" spans="1:9" ht="18" x14ac:dyDescent="0.2">
      <c r="A44" s="12" t="s">
        <v>60</v>
      </c>
      <c r="B44" s="12" t="s">
        <v>44</v>
      </c>
      <c r="C44" s="9" t="s">
        <v>153</v>
      </c>
      <c r="D44" s="9" t="s">
        <v>153</v>
      </c>
      <c r="E44" s="9" t="s">
        <v>153</v>
      </c>
      <c r="F44" s="9" t="s">
        <v>153</v>
      </c>
      <c r="G44" s="9" t="s">
        <v>153</v>
      </c>
      <c r="H44" s="9" t="s">
        <v>153</v>
      </c>
      <c r="I44" s="12" t="s">
        <v>152</v>
      </c>
    </row>
    <row r="45" spans="1:9" ht="18" x14ac:dyDescent="0.2">
      <c r="A45" s="12" t="s">
        <v>69</v>
      </c>
      <c r="B45" s="12"/>
      <c r="C45" s="9" t="s">
        <v>61</v>
      </c>
      <c r="D45" s="12"/>
      <c r="E45" s="12"/>
      <c r="F45" s="12"/>
      <c r="G45" s="12"/>
      <c r="H45" s="12"/>
      <c r="I45" s="12" t="s">
        <v>61</v>
      </c>
    </row>
    <row r="46" spans="1:9" ht="18" x14ac:dyDescent="0.2">
      <c r="A46" s="12" t="s">
        <v>70</v>
      </c>
      <c r="B46" s="12"/>
      <c r="C46" s="9" t="s">
        <v>61</v>
      </c>
      <c r="D46" s="12"/>
      <c r="E46" s="12"/>
      <c r="F46" s="12"/>
      <c r="G46" s="12"/>
      <c r="H46" s="12"/>
      <c r="I46" s="12" t="s">
        <v>61</v>
      </c>
    </row>
    <row r="47" spans="1:9" ht="18" x14ac:dyDescent="0.2">
      <c r="A47" s="12" t="s">
        <v>71</v>
      </c>
      <c r="B47" s="12"/>
      <c r="C47" s="9" t="s">
        <v>61</v>
      </c>
      <c r="D47" s="12"/>
      <c r="E47" s="12"/>
      <c r="F47" s="12"/>
      <c r="G47" s="12"/>
      <c r="H47" s="12"/>
      <c r="I47" s="12" t="s">
        <v>61</v>
      </c>
    </row>
    <row r="48" spans="1:9" ht="18" x14ac:dyDescent="0.2">
      <c r="A48" s="12" t="s">
        <v>72</v>
      </c>
      <c r="B48" s="12"/>
      <c r="C48" s="9" t="s">
        <v>61</v>
      </c>
      <c r="D48" s="12"/>
      <c r="E48" s="12"/>
      <c r="F48" s="12"/>
      <c r="G48" s="12"/>
      <c r="H48" s="12"/>
      <c r="I48" s="12" t="s">
        <v>61</v>
      </c>
    </row>
    <row r="49" spans="1:9" ht="18" x14ac:dyDescent="0.2">
      <c r="A49" s="12" t="s">
        <v>73</v>
      </c>
      <c r="B49" s="12"/>
      <c r="C49" s="9" t="s">
        <v>61</v>
      </c>
      <c r="D49" s="12"/>
      <c r="E49" s="12"/>
      <c r="F49" s="12"/>
      <c r="G49" s="12"/>
      <c r="H49" s="12"/>
      <c r="I49" s="12" t="s">
        <v>61</v>
      </c>
    </row>
    <row r="50" spans="1:9" ht="18" x14ac:dyDescent="0.2">
      <c r="A50" s="12" t="s">
        <v>74</v>
      </c>
      <c r="B50" s="12"/>
      <c r="C50" s="9" t="s">
        <v>61</v>
      </c>
      <c r="D50" s="12"/>
      <c r="E50" s="12"/>
      <c r="F50" s="12"/>
      <c r="G50" s="12"/>
      <c r="H50" s="12"/>
      <c r="I50" s="12" t="s">
        <v>61</v>
      </c>
    </row>
    <row r="51" spans="1:9" ht="18" x14ac:dyDescent="0.2">
      <c r="A51" s="12" t="s">
        <v>75</v>
      </c>
      <c r="B51" s="12"/>
      <c r="C51" s="9" t="s">
        <v>61</v>
      </c>
      <c r="D51" s="12"/>
      <c r="E51" s="12"/>
      <c r="F51" s="12"/>
      <c r="G51" s="12"/>
      <c r="H51" s="12"/>
      <c r="I51" s="12" t="s">
        <v>61</v>
      </c>
    </row>
    <row r="52" spans="1:9" ht="18" x14ac:dyDescent="0.2">
      <c r="A52" s="12" t="s">
        <v>76</v>
      </c>
      <c r="B52" s="12"/>
      <c r="C52" s="9" t="s">
        <v>61</v>
      </c>
      <c r="D52" s="12"/>
      <c r="E52" s="12"/>
      <c r="F52" s="12"/>
      <c r="G52" s="12"/>
      <c r="H52" s="12"/>
      <c r="I52" s="12" t="s">
        <v>61</v>
      </c>
    </row>
    <row r="53" spans="1:9" ht="18" x14ac:dyDescent="0.2">
      <c r="A53" s="12" t="s">
        <v>77</v>
      </c>
      <c r="B53" s="12"/>
      <c r="C53" s="9" t="s">
        <v>61</v>
      </c>
      <c r="D53" s="12"/>
      <c r="E53" s="12"/>
      <c r="F53" s="12"/>
      <c r="G53" s="12"/>
      <c r="H53" s="12"/>
      <c r="I53" s="12" t="s">
        <v>61</v>
      </c>
    </row>
    <row r="54" spans="1:9" ht="18" x14ac:dyDescent="0.2">
      <c r="A54" s="12" t="s">
        <v>78</v>
      </c>
      <c r="B54" s="12"/>
      <c r="C54" s="9" t="s">
        <v>61</v>
      </c>
      <c r="D54" s="12"/>
      <c r="E54" s="12"/>
      <c r="F54" s="12"/>
      <c r="G54" s="12"/>
      <c r="H54" s="12"/>
      <c r="I54" s="12" t="s">
        <v>61</v>
      </c>
    </row>
    <row r="55" spans="1:9" ht="18" x14ac:dyDescent="0.2">
      <c r="A55" s="58" t="s">
        <v>154</v>
      </c>
      <c r="B55" s="12"/>
      <c r="C55" s="9" t="s">
        <v>61</v>
      </c>
      <c r="D55" s="12" t="s">
        <v>64</v>
      </c>
      <c r="E55" s="12" t="s">
        <v>64</v>
      </c>
      <c r="F55" s="12"/>
      <c r="G55" s="12"/>
      <c r="H55" s="12"/>
      <c r="I55" s="12"/>
    </row>
    <row r="56" spans="1:9" ht="18" x14ac:dyDescent="0.2">
      <c r="A56" s="12" t="s">
        <v>155</v>
      </c>
      <c r="B56" s="12"/>
      <c r="C56" s="9" t="s">
        <v>61</v>
      </c>
      <c r="D56" s="12"/>
      <c r="E56" s="12"/>
      <c r="F56" s="12"/>
      <c r="G56" s="12"/>
      <c r="H56" s="12"/>
      <c r="I56" s="12"/>
    </row>
    <row r="57" spans="1:9" ht="18" x14ac:dyDescent="0.2">
      <c r="A57" s="12" t="s">
        <v>79</v>
      </c>
      <c r="B57" s="12"/>
      <c r="C57" s="9" t="s">
        <v>61</v>
      </c>
      <c r="D57" s="12"/>
      <c r="E57" s="12"/>
      <c r="F57" s="12"/>
      <c r="G57" s="12"/>
      <c r="H57" s="12"/>
      <c r="I57" s="12" t="s">
        <v>61</v>
      </c>
    </row>
    <row r="58" spans="1:9" ht="18" x14ac:dyDescent="0.2">
      <c r="A58" s="12" t="s">
        <v>80</v>
      </c>
      <c r="B58" s="12"/>
      <c r="C58" s="9" t="s">
        <v>61</v>
      </c>
      <c r="D58" s="12"/>
      <c r="E58" s="12"/>
      <c r="F58" s="12"/>
      <c r="G58" s="12"/>
      <c r="H58" s="12"/>
      <c r="I58" s="12" t="s">
        <v>61</v>
      </c>
    </row>
    <row r="75" spans="1:4" ht="18" x14ac:dyDescent="0.2">
      <c r="A75" s="12" t="s">
        <v>28</v>
      </c>
      <c r="B75" s="12"/>
      <c r="D75" t="s">
        <v>69</v>
      </c>
    </row>
    <row r="76" spans="1:4" ht="18" x14ac:dyDescent="0.2">
      <c r="A76" s="12" t="s">
        <v>6</v>
      </c>
      <c r="B76" s="12"/>
      <c r="D76" t="s">
        <v>70</v>
      </c>
    </row>
    <row r="77" spans="1:4" ht="18" x14ac:dyDescent="0.2">
      <c r="A77" s="12" t="s">
        <v>7</v>
      </c>
      <c r="B77" s="12"/>
      <c r="D77" t="s">
        <v>71</v>
      </c>
    </row>
    <row r="78" spans="1:4" ht="18" x14ac:dyDescent="0.2">
      <c r="A78" s="12" t="s">
        <v>31</v>
      </c>
      <c r="B78" s="12"/>
      <c r="D78" t="s">
        <v>72</v>
      </c>
    </row>
    <row r="79" spans="1:4" ht="18" x14ac:dyDescent="0.2">
      <c r="A79" s="12" t="s">
        <v>30</v>
      </c>
      <c r="B79" s="12"/>
      <c r="D79" t="s">
        <v>73</v>
      </c>
    </row>
    <row r="80" spans="1:4" ht="18" x14ac:dyDescent="0.2">
      <c r="A80" s="12" t="s">
        <v>32</v>
      </c>
      <c r="B80" s="12"/>
      <c r="D80" t="s">
        <v>74</v>
      </c>
    </row>
    <row r="81" spans="1:4" ht="18" x14ac:dyDescent="0.2">
      <c r="A81" s="12" t="s">
        <v>34</v>
      </c>
      <c r="B81" s="12"/>
      <c r="D81" t="s">
        <v>75</v>
      </c>
    </row>
    <row r="82" spans="1:4" ht="18" x14ac:dyDescent="0.2">
      <c r="A82" s="12" t="s">
        <v>36</v>
      </c>
      <c r="B82" s="12"/>
      <c r="D82" t="s">
        <v>76</v>
      </c>
    </row>
    <row r="83" spans="1:4" ht="18" x14ac:dyDescent="0.2">
      <c r="A83" s="12" t="s">
        <v>11</v>
      </c>
      <c r="B83" s="12"/>
      <c r="D83" t="s">
        <v>77</v>
      </c>
    </row>
    <row r="84" spans="1:4" ht="18" x14ac:dyDescent="0.2">
      <c r="A84" s="12" t="s">
        <v>13</v>
      </c>
      <c r="B84" s="12"/>
      <c r="D84" t="s">
        <v>78</v>
      </c>
    </row>
    <row r="85" spans="1:4" ht="18" x14ac:dyDescent="0.2">
      <c r="A85" s="12" t="s">
        <v>15</v>
      </c>
      <c r="B85" s="12"/>
      <c r="D85" t="s">
        <v>154</v>
      </c>
    </row>
    <row r="86" spans="1:4" ht="18" x14ac:dyDescent="0.2">
      <c r="A86" s="12" t="s">
        <v>16</v>
      </c>
      <c r="B86" s="12"/>
      <c r="D86" t="s">
        <v>155</v>
      </c>
    </row>
    <row r="87" spans="1:4" ht="18" x14ac:dyDescent="0.2">
      <c r="A87" s="12" t="s">
        <v>19</v>
      </c>
      <c r="B87" s="12"/>
      <c r="D87" t="s">
        <v>79</v>
      </c>
    </row>
    <row r="88" spans="1:4" ht="18" x14ac:dyDescent="0.2">
      <c r="A88" s="12" t="s">
        <v>21</v>
      </c>
      <c r="B88" s="12"/>
      <c r="D88" t="s">
        <v>80</v>
      </c>
    </row>
  </sheetData>
  <autoFilter ref="A1:I58" xr:uid="{D6D884F1-82A7-984A-B124-F6A2F6399F0A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609-3905-414C-9DEE-F349E5DBD3B1}">
  <dimension ref="B1:Q117"/>
  <sheetViews>
    <sheetView tabSelected="1" topLeftCell="A60" zoomScale="113" zoomScaleNormal="90" workbookViewId="0">
      <pane xSplit="3440" ySplit="1360" topLeftCell="A51" activePane="bottomRight"/>
      <selection activeCell="H65" sqref="H65"/>
      <selection pane="topRight" activeCell="E61" sqref="E61"/>
      <selection pane="bottomLeft" activeCell="B115" sqref="B115"/>
      <selection pane="bottomRight" activeCell="C82" sqref="C82"/>
    </sheetView>
  </sheetViews>
  <sheetFormatPr baseColWidth="10" defaultRowHeight="16" x14ac:dyDescent="0.2"/>
  <cols>
    <col min="1" max="1" width="3.6640625" bestFit="1" customWidth="1"/>
    <col min="2" max="2" width="17.83203125" bestFit="1" customWidth="1"/>
    <col min="3" max="3" width="19.1640625" customWidth="1"/>
    <col min="4" max="5" width="18" bestFit="1" customWidth="1"/>
    <col min="6" max="6" width="24.83203125" bestFit="1" customWidth="1"/>
    <col min="7" max="7" width="18.1640625" bestFit="1" customWidth="1"/>
    <col min="8" max="8" width="22.1640625" bestFit="1" customWidth="1"/>
    <col min="9" max="9" width="18.5" bestFit="1" customWidth="1"/>
    <col min="10" max="10" width="18.83203125" bestFit="1" customWidth="1"/>
    <col min="11" max="12" width="15.83203125" bestFit="1" customWidth="1"/>
    <col min="13" max="13" width="9" bestFit="1" customWidth="1"/>
    <col min="14" max="14" width="20.6640625" bestFit="1" customWidth="1"/>
    <col min="15" max="15" width="19.83203125" bestFit="1" customWidth="1"/>
    <col min="16" max="16" width="20" bestFit="1" customWidth="1"/>
    <col min="17" max="17" width="12.1640625" bestFit="1" customWidth="1"/>
  </cols>
  <sheetData>
    <row r="1" spans="2:17" ht="18" x14ac:dyDescent="0.2">
      <c r="E1" s="2"/>
    </row>
    <row r="2" spans="2:17" ht="18" x14ac:dyDescent="0.2">
      <c r="B2" s="8"/>
      <c r="C2" s="59" t="s">
        <v>81</v>
      </c>
      <c r="D2" s="60" t="s">
        <v>82</v>
      </c>
      <c r="E2" s="61"/>
    </row>
    <row r="3" spans="2:17" ht="18" x14ac:dyDescent="0.2">
      <c r="B3" s="8"/>
      <c r="C3" s="59"/>
      <c r="D3" s="6" t="s">
        <v>83</v>
      </c>
      <c r="E3" s="6" t="s">
        <v>84</v>
      </c>
    </row>
    <row r="4" spans="2:17" ht="18" x14ac:dyDescent="0.2">
      <c r="B4" s="2" t="s">
        <v>69</v>
      </c>
      <c r="C4" s="2">
        <v>6</v>
      </c>
      <c r="D4" s="2">
        <v>136</v>
      </c>
      <c r="E4" s="2">
        <v>272</v>
      </c>
      <c r="P4">
        <v>4208</v>
      </c>
    </row>
    <row r="5" spans="2:17" ht="18" x14ac:dyDescent="0.2">
      <c r="B5" s="2" t="s">
        <v>70</v>
      </c>
      <c r="C5" s="2">
        <v>4</v>
      </c>
      <c r="D5" s="2">
        <v>32</v>
      </c>
      <c r="E5" s="2">
        <v>64</v>
      </c>
      <c r="P5">
        <v>48</v>
      </c>
      <c r="Q5">
        <v>4256</v>
      </c>
    </row>
    <row r="6" spans="2:17" ht="18" x14ac:dyDescent="0.2">
      <c r="B6" s="2" t="s">
        <v>71</v>
      </c>
      <c r="C6" s="2">
        <v>7</v>
      </c>
      <c r="D6" s="2">
        <v>56</v>
      </c>
      <c r="E6" s="2">
        <v>112</v>
      </c>
      <c r="P6">
        <v>8560</v>
      </c>
      <c r="Q6">
        <v>8608</v>
      </c>
    </row>
    <row r="7" spans="2:17" ht="18" x14ac:dyDescent="0.2">
      <c r="B7" s="2" t="s">
        <v>72</v>
      </c>
      <c r="C7" s="2">
        <v>13</v>
      </c>
      <c r="D7" s="2">
        <v>272</v>
      </c>
      <c r="E7" s="2">
        <v>544</v>
      </c>
      <c r="P7">
        <v>48</v>
      </c>
      <c r="Q7">
        <v>2848</v>
      </c>
    </row>
    <row r="8" spans="2:17" ht="18" x14ac:dyDescent="0.2">
      <c r="B8" s="2" t="s">
        <v>73</v>
      </c>
      <c r="C8" s="2">
        <v>5</v>
      </c>
      <c r="D8" s="2">
        <v>536</v>
      </c>
      <c r="E8" s="2">
        <v>1072</v>
      </c>
      <c r="P8">
        <v>2800</v>
      </c>
      <c r="Q8">
        <v>14512</v>
      </c>
    </row>
    <row r="9" spans="2:17" ht="18" x14ac:dyDescent="0.2">
      <c r="B9" s="2" t="s">
        <v>74</v>
      </c>
      <c r="C9" s="2">
        <v>5</v>
      </c>
      <c r="D9" s="2">
        <v>536</v>
      </c>
      <c r="E9" s="2">
        <v>1072</v>
      </c>
      <c r="P9">
        <v>48</v>
      </c>
      <c r="Q9">
        <v>2480</v>
      </c>
    </row>
    <row r="10" spans="2:17" ht="18" x14ac:dyDescent="0.2">
      <c r="B10" s="2" t="s">
        <v>75</v>
      </c>
      <c r="C10" s="2">
        <v>20</v>
      </c>
      <c r="D10" s="2">
        <v>7200</v>
      </c>
      <c r="E10" s="2">
        <v>14400</v>
      </c>
      <c r="P10">
        <v>7792</v>
      </c>
      <c r="Q10">
        <v>2288</v>
      </c>
    </row>
    <row r="11" spans="2:17" ht="18" x14ac:dyDescent="0.2">
      <c r="B11" s="2" t="s">
        <v>76</v>
      </c>
      <c r="C11" s="2">
        <v>19</v>
      </c>
      <c r="D11" s="2">
        <v>6960</v>
      </c>
      <c r="E11" s="2">
        <v>13920</v>
      </c>
      <c r="P11">
        <v>6720</v>
      </c>
      <c r="Q11">
        <v>4864</v>
      </c>
    </row>
    <row r="12" spans="2:17" ht="18" x14ac:dyDescent="0.2">
      <c r="B12" s="2" t="s">
        <v>77</v>
      </c>
      <c r="C12" s="2">
        <v>5</v>
      </c>
      <c r="D12" s="2">
        <v>80</v>
      </c>
      <c r="E12" s="2">
        <v>160</v>
      </c>
      <c r="P12">
        <v>2432</v>
      </c>
      <c r="Q12">
        <v>3712</v>
      </c>
    </row>
    <row r="13" spans="2:17" ht="18" x14ac:dyDescent="0.2">
      <c r="B13" s="2" t="s">
        <v>78</v>
      </c>
      <c r="C13" s="2">
        <v>7</v>
      </c>
      <c r="D13" s="2">
        <v>120</v>
      </c>
      <c r="E13" s="2">
        <v>240</v>
      </c>
      <c r="P13">
        <v>48</v>
      </c>
      <c r="Q13">
        <v>19144</v>
      </c>
    </row>
    <row r="14" spans="2:17" ht="18" x14ac:dyDescent="0.2">
      <c r="B14" s="2" t="s">
        <v>79</v>
      </c>
      <c r="C14" s="2">
        <v>9</v>
      </c>
      <c r="D14" s="2">
        <v>160</v>
      </c>
      <c r="E14" s="2">
        <v>320</v>
      </c>
      <c r="P14">
        <v>2240</v>
      </c>
      <c r="Q14">
        <v>2352</v>
      </c>
    </row>
    <row r="15" spans="2:17" ht="18" x14ac:dyDescent="0.2">
      <c r="B15" s="2" t="s">
        <v>80</v>
      </c>
      <c r="C15" s="2">
        <v>9</v>
      </c>
      <c r="D15" s="2">
        <v>160</v>
      </c>
      <c r="E15" s="2">
        <v>320</v>
      </c>
      <c r="P15">
        <v>48</v>
      </c>
      <c r="Q15">
        <v>3344</v>
      </c>
    </row>
    <row r="16" spans="2:17" x14ac:dyDescent="0.2">
      <c r="P16">
        <v>4816</v>
      </c>
      <c r="Q16">
        <v>3552</v>
      </c>
    </row>
    <row r="21" spans="2:12" ht="38" x14ac:dyDescent="0.2">
      <c r="C21" s="19" t="s">
        <v>22</v>
      </c>
      <c r="D21" s="19" t="s">
        <v>130</v>
      </c>
      <c r="E21" s="19" t="s">
        <v>129</v>
      </c>
      <c r="F21" s="19" t="s">
        <v>131</v>
      </c>
      <c r="G21" s="19" t="s">
        <v>89</v>
      </c>
      <c r="H21" s="19" t="s">
        <v>90</v>
      </c>
      <c r="I21" s="30" t="s">
        <v>127</v>
      </c>
      <c r="J21" s="19" t="s">
        <v>125</v>
      </c>
      <c r="K21" s="19" t="s">
        <v>126</v>
      </c>
    </row>
    <row r="22" spans="2:12" ht="18" x14ac:dyDescent="0.2">
      <c r="B22" s="12" t="s">
        <v>115</v>
      </c>
      <c r="C22" s="3">
        <v>25</v>
      </c>
      <c r="D22" s="3">
        <v>137</v>
      </c>
      <c r="E22" s="3">
        <v>113</v>
      </c>
      <c r="F22" s="20">
        <f xml:space="preserve"> (E22/D22)</f>
        <v>0.82481751824817517</v>
      </c>
      <c r="G22" s="3">
        <v>48</v>
      </c>
      <c r="H22" s="3">
        <v>188</v>
      </c>
      <c r="I22" s="26">
        <v>2.6</v>
      </c>
      <c r="J22" s="3">
        <v>20604088422</v>
      </c>
      <c r="K22" s="3">
        <v>29</v>
      </c>
      <c r="L22" t="b">
        <f t="shared" ref="L22:L50" si="0">IF(F22&gt;0.75, TRUE)</f>
        <v>1</v>
      </c>
    </row>
    <row r="23" spans="2:12" ht="18" x14ac:dyDescent="0.2">
      <c r="B23" s="12" t="s">
        <v>116</v>
      </c>
      <c r="C23" s="3">
        <v>102</v>
      </c>
      <c r="D23" s="3">
        <v>2067</v>
      </c>
      <c r="E23" s="3">
        <v>1962</v>
      </c>
      <c r="F23" s="20">
        <f t="shared" ref="F23:F50" si="1" xml:space="preserve"> (E23/D23)</f>
        <v>0.94920174165457183</v>
      </c>
      <c r="G23" s="3">
        <v>66</v>
      </c>
      <c r="H23" s="3">
        <v>16077</v>
      </c>
      <c r="I23" s="26">
        <v>36</v>
      </c>
      <c r="J23" s="3">
        <v>662301863</v>
      </c>
      <c r="K23" s="3">
        <v>19</v>
      </c>
      <c r="L23" t="b">
        <f t="shared" si="0"/>
        <v>1</v>
      </c>
    </row>
    <row r="24" spans="2:12" ht="18" x14ac:dyDescent="0.2">
      <c r="B24" s="12" t="s">
        <v>117</v>
      </c>
      <c r="C24" s="3">
        <v>2226</v>
      </c>
      <c r="D24" s="3">
        <v>56033</v>
      </c>
      <c r="E24" s="3">
        <v>51337</v>
      </c>
      <c r="F24" s="20">
        <f t="shared" si="1"/>
        <v>0.91619224385629894</v>
      </c>
      <c r="G24" s="3">
        <v>6729</v>
      </c>
      <c r="H24" s="3">
        <v>65117646</v>
      </c>
      <c r="I24" s="26">
        <v>179</v>
      </c>
      <c r="J24" s="3">
        <v>4555757974</v>
      </c>
      <c r="K24" s="3">
        <v>29333</v>
      </c>
      <c r="L24" t="b">
        <f t="shared" si="0"/>
        <v>1</v>
      </c>
    </row>
    <row r="25" spans="2:12" ht="18" x14ac:dyDescent="0.2">
      <c r="B25" s="12" t="s">
        <v>118</v>
      </c>
      <c r="C25" s="3">
        <v>19</v>
      </c>
      <c r="D25" s="3">
        <v>56</v>
      </c>
      <c r="E25" s="3">
        <v>38</v>
      </c>
      <c r="F25" s="20">
        <f t="shared" si="1"/>
        <v>0.6785714285714286</v>
      </c>
      <c r="G25" s="3">
        <v>0</v>
      </c>
      <c r="H25" s="3">
        <v>70</v>
      </c>
      <c r="I25" s="26">
        <v>1.1000000000000001</v>
      </c>
      <c r="J25" s="3">
        <v>2651595</v>
      </c>
      <c r="K25" s="3">
        <v>12</v>
      </c>
      <c r="L25" t="b">
        <f t="shared" si="0"/>
        <v>0</v>
      </c>
    </row>
    <row r="26" spans="2:12" ht="18" x14ac:dyDescent="0.2">
      <c r="B26" s="58" t="s">
        <v>156</v>
      </c>
      <c r="C26" s="3">
        <v>4007</v>
      </c>
      <c r="D26" s="3">
        <v>170354</v>
      </c>
      <c r="E26" s="3">
        <v>24674</v>
      </c>
      <c r="F26" s="20">
        <f t="shared" si="1"/>
        <v>0.14483956936731746</v>
      </c>
      <c r="G26" s="3">
        <v>2977</v>
      </c>
      <c r="H26" s="3">
        <v>96429161011</v>
      </c>
      <c r="I26" s="26"/>
      <c r="J26" s="3"/>
      <c r="K26" s="3"/>
      <c r="L26" t="b">
        <f t="shared" si="0"/>
        <v>0</v>
      </c>
    </row>
    <row r="27" spans="2:12" ht="18" x14ac:dyDescent="0.2">
      <c r="B27" s="12" t="s">
        <v>119</v>
      </c>
      <c r="C27" s="67" t="s">
        <v>159</v>
      </c>
      <c r="D27" s="3">
        <v>33617</v>
      </c>
      <c r="E27" s="3">
        <v>18885</v>
      </c>
      <c r="F27" s="20">
        <f t="shared" si="1"/>
        <v>0.56176934289198921</v>
      </c>
      <c r="G27" s="3">
        <v>60</v>
      </c>
      <c r="H27" s="3">
        <v>10316506067</v>
      </c>
      <c r="I27" s="26">
        <v>70</v>
      </c>
      <c r="J27" s="3">
        <v>9984356426</v>
      </c>
      <c r="K27" s="3">
        <v>77</v>
      </c>
      <c r="L27" t="b">
        <f t="shared" si="0"/>
        <v>0</v>
      </c>
    </row>
    <row r="28" spans="2:12" ht="18" x14ac:dyDescent="0.2">
      <c r="B28" s="12" t="s">
        <v>120</v>
      </c>
      <c r="C28" s="3">
        <v>398</v>
      </c>
      <c r="D28" s="3">
        <v>21323</v>
      </c>
      <c r="E28" s="3">
        <v>20926</v>
      </c>
      <c r="F28" s="20">
        <f t="shared" si="1"/>
        <v>0.98138160671575292</v>
      </c>
      <c r="G28" s="3">
        <v>17911</v>
      </c>
      <c r="H28" s="3">
        <v>18929528</v>
      </c>
      <c r="I28" s="26">
        <v>310</v>
      </c>
      <c r="J28" s="3">
        <v>3265253366</v>
      </c>
      <c r="K28" s="3">
        <v>12</v>
      </c>
      <c r="L28" t="b">
        <f t="shared" si="0"/>
        <v>1</v>
      </c>
    </row>
    <row r="29" spans="2:12" ht="18" x14ac:dyDescent="0.2">
      <c r="B29" s="12" t="s">
        <v>121</v>
      </c>
      <c r="C29" s="3">
        <v>115</v>
      </c>
      <c r="D29" s="3">
        <v>802</v>
      </c>
      <c r="E29" s="3">
        <v>680</v>
      </c>
      <c r="F29" s="20">
        <f t="shared" si="1"/>
        <v>0.84788029925187036</v>
      </c>
      <c r="G29" s="3">
        <v>0</v>
      </c>
      <c r="H29" s="3">
        <v>4925</v>
      </c>
      <c r="I29" s="26">
        <v>11</v>
      </c>
      <c r="J29" s="3">
        <v>11536625846</v>
      </c>
      <c r="K29" s="3">
        <v>134</v>
      </c>
      <c r="L29" t="b">
        <f t="shared" si="0"/>
        <v>1</v>
      </c>
    </row>
    <row r="30" spans="2:12" ht="18" x14ac:dyDescent="0.2">
      <c r="B30" s="12" t="s">
        <v>122</v>
      </c>
      <c r="C30" s="3">
        <v>139</v>
      </c>
      <c r="D30" s="3">
        <v>1982</v>
      </c>
      <c r="E30" s="3">
        <v>1664</v>
      </c>
      <c r="F30" s="20">
        <f t="shared" si="1"/>
        <v>0.83955600403632691</v>
      </c>
      <c r="G30" s="3">
        <v>1651</v>
      </c>
      <c r="H30" s="3">
        <v>516678285489</v>
      </c>
      <c r="I30" s="26">
        <v>31</v>
      </c>
      <c r="J30" s="3"/>
      <c r="K30" s="3">
        <v>15</v>
      </c>
      <c r="L30" t="b">
        <f t="shared" si="0"/>
        <v>1</v>
      </c>
    </row>
    <row r="31" spans="2:12" ht="18" x14ac:dyDescent="0.2">
      <c r="B31" s="12" t="s">
        <v>0</v>
      </c>
      <c r="C31" s="3">
        <v>25</v>
      </c>
      <c r="D31" s="3">
        <v>137</v>
      </c>
      <c r="E31" s="3">
        <v>113</v>
      </c>
      <c r="F31" s="20">
        <f t="shared" si="1"/>
        <v>0.82481751824817517</v>
      </c>
      <c r="G31" s="3">
        <v>48</v>
      </c>
      <c r="H31" s="3">
        <v>188</v>
      </c>
      <c r="I31" s="26">
        <v>2.6</v>
      </c>
      <c r="J31" s="3"/>
      <c r="K31" s="3">
        <v>34</v>
      </c>
      <c r="L31" t="b">
        <f t="shared" si="0"/>
        <v>1</v>
      </c>
    </row>
    <row r="32" spans="2:12" ht="18" x14ac:dyDescent="0.2">
      <c r="B32" s="12" t="s">
        <v>1</v>
      </c>
      <c r="C32" s="3">
        <v>25</v>
      </c>
      <c r="D32" s="3">
        <v>72</v>
      </c>
      <c r="E32" s="3">
        <v>44</v>
      </c>
      <c r="F32" s="20">
        <f t="shared" si="1"/>
        <v>0.61111111111111116</v>
      </c>
      <c r="G32" s="3">
        <v>0</v>
      </c>
      <c r="H32" s="3">
        <v>74</v>
      </c>
      <c r="I32" s="26">
        <v>1.2</v>
      </c>
      <c r="J32" s="3"/>
      <c r="K32" s="3">
        <v>39</v>
      </c>
      <c r="L32" t="b">
        <f t="shared" si="0"/>
        <v>0</v>
      </c>
    </row>
    <row r="33" spans="2:12" ht="18" x14ac:dyDescent="0.2">
      <c r="B33" s="58" t="s">
        <v>157</v>
      </c>
      <c r="C33" s="3">
        <v>4007</v>
      </c>
      <c r="D33" s="3">
        <v>170354</v>
      </c>
      <c r="E33" s="3">
        <v>24399</v>
      </c>
      <c r="F33" s="20">
        <f t="shared" si="1"/>
        <v>0.14322528382074973</v>
      </c>
      <c r="G33" s="3">
        <v>2977</v>
      </c>
      <c r="H33" s="3">
        <v>4484946004759</v>
      </c>
      <c r="I33" s="26"/>
      <c r="J33" s="3"/>
      <c r="K33" s="3"/>
    </row>
    <row r="34" spans="2:12" ht="18" x14ac:dyDescent="0.2">
      <c r="B34" s="12" t="s">
        <v>2</v>
      </c>
      <c r="C34" s="3">
        <v>5444</v>
      </c>
      <c r="D34" s="3">
        <v>33617</v>
      </c>
      <c r="E34" s="3">
        <v>19288</v>
      </c>
      <c r="F34" s="20">
        <f t="shared" si="1"/>
        <v>0.57375732516286404</v>
      </c>
      <c r="G34" s="3">
        <v>60</v>
      </c>
      <c r="H34" s="3">
        <v>69077904007</v>
      </c>
      <c r="I34" s="26">
        <v>70</v>
      </c>
      <c r="J34" s="3"/>
      <c r="K34" s="3">
        <v>76</v>
      </c>
      <c r="L34" t="b">
        <f t="shared" si="0"/>
        <v>0</v>
      </c>
    </row>
    <row r="35" spans="2:12" ht="18" x14ac:dyDescent="0.2">
      <c r="B35" s="12" t="s">
        <v>3</v>
      </c>
      <c r="C35" s="3">
        <v>398</v>
      </c>
      <c r="D35" s="3">
        <v>21323</v>
      </c>
      <c r="E35" s="3">
        <v>20926</v>
      </c>
      <c r="F35" s="20">
        <f t="shared" si="1"/>
        <v>0.98138160671575292</v>
      </c>
      <c r="G35" s="3">
        <v>17911</v>
      </c>
      <c r="H35" s="3">
        <v>18929528</v>
      </c>
      <c r="I35" s="26">
        <v>310</v>
      </c>
      <c r="J35" s="3"/>
      <c r="K35" s="3">
        <v>12</v>
      </c>
      <c r="L35" t="b">
        <f t="shared" si="0"/>
        <v>1</v>
      </c>
    </row>
    <row r="36" spans="2:12" ht="18" x14ac:dyDescent="0.2">
      <c r="B36" s="12" t="s">
        <v>4</v>
      </c>
      <c r="C36" s="3">
        <v>115</v>
      </c>
      <c r="D36" s="3">
        <v>802</v>
      </c>
      <c r="E36" s="3">
        <v>680</v>
      </c>
      <c r="F36" s="20">
        <f t="shared" si="1"/>
        <v>0.84788029925187036</v>
      </c>
      <c r="G36" s="3">
        <v>0</v>
      </c>
      <c r="H36" s="3">
        <v>4925</v>
      </c>
      <c r="I36" s="26">
        <v>11</v>
      </c>
      <c r="J36" s="3"/>
      <c r="K36" s="3">
        <v>134</v>
      </c>
      <c r="L36" t="b">
        <f t="shared" si="0"/>
        <v>1</v>
      </c>
    </row>
    <row r="37" spans="2:12" ht="18" x14ac:dyDescent="0.2">
      <c r="B37" s="12" t="s">
        <v>5</v>
      </c>
      <c r="C37" s="3">
        <v>151</v>
      </c>
      <c r="D37" s="3">
        <v>2042</v>
      </c>
      <c r="E37" s="3">
        <v>1672</v>
      </c>
      <c r="F37" s="20">
        <f t="shared" si="1"/>
        <v>0.81880509304603333</v>
      </c>
      <c r="G37" s="3">
        <v>1561</v>
      </c>
      <c r="H37" s="3">
        <v>304699440136</v>
      </c>
      <c r="I37" s="26">
        <v>31</v>
      </c>
      <c r="J37" s="3"/>
      <c r="K37" s="3">
        <v>42</v>
      </c>
      <c r="L37" t="b">
        <f t="shared" si="0"/>
        <v>1</v>
      </c>
    </row>
    <row r="38" spans="2:12" ht="18" x14ac:dyDescent="0.2">
      <c r="B38" s="2" t="s">
        <v>91</v>
      </c>
      <c r="C38" s="3">
        <v>73</v>
      </c>
      <c r="D38" s="3">
        <v>270</v>
      </c>
      <c r="E38" s="3">
        <v>198</v>
      </c>
      <c r="F38" s="20">
        <f t="shared" si="1"/>
        <v>0.73333333333333328</v>
      </c>
      <c r="G38" s="3">
        <v>0</v>
      </c>
      <c r="H38" s="3">
        <v>495</v>
      </c>
      <c r="I38" s="26">
        <v>5.4</v>
      </c>
      <c r="J38" s="3">
        <v>32342202</v>
      </c>
      <c r="K38" s="3">
        <v>17</v>
      </c>
      <c r="L38" t="b">
        <f t="shared" si="0"/>
        <v>0</v>
      </c>
    </row>
    <row r="39" spans="2:12" ht="18" x14ac:dyDescent="0.2">
      <c r="B39" s="2" t="s">
        <v>92</v>
      </c>
      <c r="C39" s="3">
        <v>155</v>
      </c>
      <c r="D39" s="3">
        <v>544</v>
      </c>
      <c r="E39" s="3">
        <v>390</v>
      </c>
      <c r="F39" s="20">
        <f t="shared" si="1"/>
        <v>0.71691176470588236</v>
      </c>
      <c r="G39" s="3">
        <v>0</v>
      </c>
      <c r="H39" s="3">
        <v>4835</v>
      </c>
      <c r="I39" s="26">
        <v>11</v>
      </c>
      <c r="J39" s="3">
        <v>2036518</v>
      </c>
      <c r="K39" s="3">
        <v>1783</v>
      </c>
      <c r="L39" t="b">
        <f t="shared" si="0"/>
        <v>0</v>
      </c>
    </row>
    <row r="40" spans="2:12" ht="18" x14ac:dyDescent="0.2">
      <c r="B40" s="2" t="s">
        <v>93</v>
      </c>
      <c r="C40" s="3">
        <v>39</v>
      </c>
      <c r="D40" s="3">
        <v>201</v>
      </c>
      <c r="E40" s="3">
        <v>163</v>
      </c>
      <c r="F40" s="20">
        <f t="shared" si="1"/>
        <v>0.81094527363184077</v>
      </c>
      <c r="G40" s="3">
        <v>0</v>
      </c>
      <c r="H40" s="3">
        <v>421</v>
      </c>
      <c r="I40" s="26">
        <v>4.2</v>
      </c>
      <c r="J40" s="3">
        <v>2684481412</v>
      </c>
      <c r="K40" s="3">
        <v>13</v>
      </c>
      <c r="L40" t="b">
        <f t="shared" si="0"/>
        <v>1</v>
      </c>
    </row>
    <row r="41" spans="2:12" ht="18" x14ac:dyDescent="0.2">
      <c r="B41" s="2" t="s">
        <v>94</v>
      </c>
      <c r="C41" s="3">
        <v>115</v>
      </c>
      <c r="D41" s="3">
        <v>562</v>
      </c>
      <c r="E41" s="3">
        <v>446</v>
      </c>
      <c r="F41" s="20">
        <f t="shared" si="1"/>
        <v>0.79359430604982206</v>
      </c>
      <c r="G41" s="3">
        <v>38</v>
      </c>
      <c r="H41" s="3">
        <v>14513</v>
      </c>
      <c r="I41" s="26">
        <v>12</v>
      </c>
      <c r="J41" s="3">
        <v>4142726</v>
      </c>
      <c r="K41" s="3">
        <v>18</v>
      </c>
      <c r="L41" t="b">
        <f t="shared" si="0"/>
        <v>1</v>
      </c>
    </row>
    <row r="42" spans="2:12" ht="18" x14ac:dyDescent="0.2">
      <c r="B42" s="2" t="s">
        <v>95</v>
      </c>
      <c r="C42" s="3">
        <v>39</v>
      </c>
      <c r="D42" s="3">
        <v>170</v>
      </c>
      <c r="E42" s="3">
        <v>132</v>
      </c>
      <c r="F42" s="20">
        <f t="shared" si="1"/>
        <v>0.77647058823529413</v>
      </c>
      <c r="G42" s="3">
        <v>0</v>
      </c>
      <c r="H42" s="3">
        <v>241</v>
      </c>
      <c r="I42" s="26">
        <v>3.7</v>
      </c>
      <c r="J42" s="3">
        <v>1503084843</v>
      </c>
      <c r="K42" s="3">
        <v>13</v>
      </c>
      <c r="L42" t="b">
        <f t="shared" si="0"/>
        <v>1</v>
      </c>
    </row>
    <row r="43" spans="2:12" ht="18" x14ac:dyDescent="0.2">
      <c r="B43" s="2" t="s">
        <v>96</v>
      </c>
      <c r="C43" s="3">
        <v>36</v>
      </c>
      <c r="D43" s="3">
        <v>158</v>
      </c>
      <c r="E43" s="3">
        <v>123</v>
      </c>
      <c r="F43" s="20">
        <f t="shared" si="1"/>
        <v>0.77848101265822789</v>
      </c>
      <c r="G43" s="3">
        <v>0</v>
      </c>
      <c r="H43" s="3">
        <v>228</v>
      </c>
      <c r="I43" s="26">
        <v>3.4</v>
      </c>
      <c r="J43" s="3">
        <v>1502953667</v>
      </c>
      <c r="K43" s="3">
        <v>13</v>
      </c>
      <c r="L43" t="b">
        <f t="shared" si="0"/>
        <v>1</v>
      </c>
    </row>
    <row r="44" spans="2:12" ht="18" x14ac:dyDescent="0.2">
      <c r="B44" s="2" t="s">
        <v>97</v>
      </c>
      <c r="C44" s="3">
        <v>43</v>
      </c>
      <c r="D44" s="3">
        <v>379</v>
      </c>
      <c r="E44" s="3">
        <v>337</v>
      </c>
      <c r="F44" s="20">
        <f t="shared" si="1"/>
        <v>0.8891820580474934</v>
      </c>
      <c r="G44" s="3">
        <v>0</v>
      </c>
      <c r="H44" s="3">
        <v>732</v>
      </c>
      <c r="I44" s="26">
        <v>8.1</v>
      </c>
      <c r="J44" s="3">
        <v>16827390</v>
      </c>
      <c r="K44" s="3">
        <v>13</v>
      </c>
      <c r="L44" t="b">
        <f t="shared" si="0"/>
        <v>1</v>
      </c>
    </row>
    <row r="45" spans="2:12" ht="18" x14ac:dyDescent="0.2">
      <c r="B45" s="2" t="s">
        <v>98</v>
      </c>
      <c r="C45" s="3">
        <v>35</v>
      </c>
      <c r="D45" s="3">
        <v>303</v>
      </c>
      <c r="E45" s="3">
        <v>269</v>
      </c>
      <c r="F45" s="20">
        <f t="shared" si="1"/>
        <v>0.88778877887788776</v>
      </c>
      <c r="G45" s="3">
        <v>0</v>
      </c>
      <c r="H45" s="3">
        <v>603</v>
      </c>
      <c r="I45" s="26">
        <v>6.5</v>
      </c>
      <c r="J45" s="3">
        <v>56543</v>
      </c>
      <c r="K45" s="3">
        <v>13</v>
      </c>
      <c r="L45" t="b">
        <f t="shared" si="0"/>
        <v>1</v>
      </c>
    </row>
    <row r="46" spans="2:12" ht="18" x14ac:dyDescent="0.2">
      <c r="B46" s="2" t="s">
        <v>99</v>
      </c>
      <c r="C46" s="3">
        <v>205</v>
      </c>
      <c r="D46" s="3">
        <v>845</v>
      </c>
      <c r="E46" s="3">
        <v>534</v>
      </c>
      <c r="F46" s="20">
        <f t="shared" si="1"/>
        <v>0.63195266272189354</v>
      </c>
      <c r="G46" s="3">
        <v>16</v>
      </c>
      <c r="H46" s="3">
        <v>315116</v>
      </c>
      <c r="I46" s="26">
        <v>13</v>
      </c>
      <c r="J46" s="3">
        <v>43807206</v>
      </c>
      <c r="K46" s="3">
        <v>69</v>
      </c>
      <c r="L46" t="b">
        <f t="shared" si="0"/>
        <v>0</v>
      </c>
    </row>
    <row r="47" spans="2:12" ht="18" x14ac:dyDescent="0.2">
      <c r="B47" s="2" t="s">
        <v>100</v>
      </c>
      <c r="C47" s="3">
        <v>30</v>
      </c>
      <c r="D47" s="3">
        <v>170</v>
      </c>
      <c r="E47" s="3">
        <v>141</v>
      </c>
      <c r="F47" s="20">
        <f t="shared" si="1"/>
        <v>0.8294117647058824</v>
      </c>
      <c r="G47" s="3">
        <v>0</v>
      </c>
      <c r="H47" s="3">
        <v>239</v>
      </c>
      <c r="I47" s="26">
        <v>3.7</v>
      </c>
      <c r="J47" s="3">
        <v>368206583</v>
      </c>
      <c r="K47" s="3">
        <v>13</v>
      </c>
      <c r="L47" t="b">
        <f t="shared" si="0"/>
        <v>1</v>
      </c>
    </row>
    <row r="48" spans="2:12" ht="18" x14ac:dyDescent="0.2">
      <c r="B48" s="4" t="s">
        <v>158</v>
      </c>
      <c r="C48" s="3">
        <v>143</v>
      </c>
      <c r="D48" s="3">
        <v>659</v>
      </c>
      <c r="E48" s="3">
        <v>515</v>
      </c>
      <c r="F48" s="20">
        <f t="shared" si="1"/>
        <v>0.78148710166919577</v>
      </c>
      <c r="G48" s="3">
        <v>90</v>
      </c>
      <c r="H48" s="3">
        <v>2450</v>
      </c>
      <c r="I48" s="26"/>
      <c r="J48" s="3"/>
      <c r="K48" s="3"/>
      <c r="L48" t="b">
        <f t="shared" si="0"/>
        <v>1</v>
      </c>
    </row>
    <row r="49" spans="2:12" ht="18" x14ac:dyDescent="0.2">
      <c r="B49" s="2" t="s">
        <v>101</v>
      </c>
      <c r="C49" s="3">
        <v>42</v>
      </c>
      <c r="D49" s="3">
        <v>239</v>
      </c>
      <c r="E49" s="3">
        <v>198</v>
      </c>
      <c r="F49" s="20">
        <f t="shared" si="1"/>
        <v>0.82845188284518834</v>
      </c>
      <c r="G49" s="3">
        <v>0</v>
      </c>
      <c r="H49" s="3">
        <v>434</v>
      </c>
      <c r="I49" s="26">
        <v>4.8</v>
      </c>
      <c r="J49" s="3">
        <v>161904699</v>
      </c>
      <c r="K49" s="3">
        <v>13</v>
      </c>
      <c r="L49" t="b">
        <f t="shared" si="0"/>
        <v>1</v>
      </c>
    </row>
    <row r="50" spans="2:12" ht="18" x14ac:dyDescent="0.2">
      <c r="B50" s="2" t="s">
        <v>102</v>
      </c>
      <c r="C50" s="3">
        <v>42</v>
      </c>
      <c r="D50" s="3">
        <v>252</v>
      </c>
      <c r="E50" s="3">
        <v>211</v>
      </c>
      <c r="F50" s="20">
        <f t="shared" si="1"/>
        <v>0.83730158730158732</v>
      </c>
      <c r="G50" s="3">
        <v>0</v>
      </c>
      <c r="H50" s="3">
        <v>437</v>
      </c>
      <c r="I50" s="26">
        <v>5.0999999999999996</v>
      </c>
      <c r="J50" s="3">
        <v>27427576</v>
      </c>
      <c r="K50" s="3">
        <v>13</v>
      </c>
      <c r="L50" t="b">
        <f t="shared" si="0"/>
        <v>1</v>
      </c>
    </row>
    <row r="58" spans="2:12" ht="38" x14ac:dyDescent="0.2">
      <c r="C58" s="30" t="s">
        <v>127</v>
      </c>
      <c r="D58" s="30" t="s">
        <v>135</v>
      </c>
      <c r="E58" s="30" t="s">
        <v>134</v>
      </c>
      <c r="F58" s="30" t="s">
        <v>133</v>
      </c>
      <c r="G58" s="30" t="s">
        <v>132</v>
      </c>
    </row>
    <row r="59" spans="2:12" ht="18" x14ac:dyDescent="0.2">
      <c r="B59" s="12" t="s">
        <v>115</v>
      </c>
      <c r="C59" s="26">
        <v>2.6</v>
      </c>
      <c r="D59" s="32">
        <v>1.28125</v>
      </c>
      <c r="E59" s="32">
        <v>27</v>
      </c>
      <c r="F59" s="3">
        <v>5</v>
      </c>
      <c r="G59" s="33">
        <v>4.0099999999999999E-4</v>
      </c>
    </row>
    <row r="60" spans="2:12" ht="18" x14ac:dyDescent="0.2">
      <c r="B60" s="12" t="s">
        <v>116</v>
      </c>
      <c r="C60" s="26">
        <v>36</v>
      </c>
      <c r="D60" s="32">
        <v>25.078125</v>
      </c>
      <c r="E60" s="32">
        <v>18.5625</v>
      </c>
      <c r="F60" s="3">
        <v>32</v>
      </c>
      <c r="G60" s="33">
        <v>4.1199999999999999E-4</v>
      </c>
    </row>
    <row r="61" spans="2:12" ht="18" x14ac:dyDescent="0.2">
      <c r="B61" s="12" t="s">
        <v>117</v>
      </c>
      <c r="C61" s="26">
        <v>179</v>
      </c>
      <c r="D61" s="32">
        <v>65.765625</v>
      </c>
      <c r="E61" s="32">
        <v>11630.25</v>
      </c>
      <c r="F61" s="3">
        <v>127</v>
      </c>
      <c r="G61" s="33">
        <v>3.79E-4</v>
      </c>
    </row>
    <row r="62" spans="2:12" ht="18" x14ac:dyDescent="0.2">
      <c r="B62" s="12" t="s">
        <v>118</v>
      </c>
      <c r="C62" s="26">
        <v>1.1000000000000001</v>
      </c>
      <c r="D62" s="32">
        <v>0.734375</v>
      </c>
      <c r="E62" s="32">
        <v>0</v>
      </c>
      <c r="F62" s="3">
        <v>9</v>
      </c>
      <c r="G62" s="33">
        <v>3.8400000000000001E-4</v>
      </c>
    </row>
    <row r="63" spans="2:12" ht="18" x14ac:dyDescent="0.2">
      <c r="B63" s="58" t="s">
        <v>156</v>
      </c>
      <c r="C63" s="26"/>
      <c r="D63" s="32"/>
      <c r="E63" s="32"/>
      <c r="F63" s="3"/>
      <c r="G63" s="33"/>
    </row>
    <row r="64" spans="2:12" ht="18" x14ac:dyDescent="0.2">
      <c r="B64" s="12" t="s">
        <v>119</v>
      </c>
      <c r="C64" s="26">
        <v>70</v>
      </c>
      <c r="D64" s="32">
        <v>48.1875</v>
      </c>
      <c r="E64" s="32">
        <v>4.21875</v>
      </c>
      <c r="F64" s="3">
        <v>76</v>
      </c>
      <c r="G64" s="33">
        <v>3.79E-4</v>
      </c>
    </row>
    <row r="65" spans="2:7" ht="18" x14ac:dyDescent="0.2">
      <c r="B65" s="12" t="s">
        <v>120</v>
      </c>
      <c r="C65" s="26">
        <v>310</v>
      </c>
      <c r="D65" s="32">
        <v>46.296875</v>
      </c>
      <c r="E65" s="32">
        <v>291385.0078125</v>
      </c>
      <c r="F65" s="3">
        <v>107</v>
      </c>
      <c r="G65" s="33">
        <v>4.08E-4</v>
      </c>
    </row>
    <row r="66" spans="2:7" ht="18" x14ac:dyDescent="0.2">
      <c r="B66" s="12" t="s">
        <v>121</v>
      </c>
      <c r="C66" s="26">
        <v>11</v>
      </c>
      <c r="D66" s="32">
        <v>7.390625</v>
      </c>
      <c r="E66" s="32">
        <v>0</v>
      </c>
      <c r="F66" s="3">
        <v>14</v>
      </c>
      <c r="G66" s="33">
        <v>3.8099999999999999E-4</v>
      </c>
    </row>
    <row r="67" spans="2:7" ht="18" x14ac:dyDescent="0.2">
      <c r="B67" s="12" t="s">
        <v>122</v>
      </c>
      <c r="C67" s="26">
        <v>31</v>
      </c>
      <c r="D67" s="32">
        <v>4.734375</v>
      </c>
      <c r="E67" s="32">
        <v>2877.1875</v>
      </c>
      <c r="F67" s="3">
        <v>28</v>
      </c>
      <c r="G67" s="33">
        <v>3.9100000000000002E-4</v>
      </c>
    </row>
    <row r="68" spans="2:7" ht="18" x14ac:dyDescent="0.2">
      <c r="B68" s="12" t="s">
        <v>0</v>
      </c>
      <c r="C68" s="26">
        <v>2.6</v>
      </c>
      <c r="D68" s="32">
        <v>1.28125</v>
      </c>
      <c r="E68" s="32">
        <v>27</v>
      </c>
      <c r="F68" s="3">
        <v>7</v>
      </c>
      <c r="G68" s="33">
        <v>4.0099999999999999E-4</v>
      </c>
    </row>
    <row r="69" spans="2:7" ht="18" x14ac:dyDescent="0.2">
      <c r="B69" s="12" t="s">
        <v>1</v>
      </c>
      <c r="C69" s="26">
        <v>1.2</v>
      </c>
      <c r="D69" s="32">
        <v>0.796875</v>
      </c>
      <c r="E69" s="32">
        <v>0</v>
      </c>
      <c r="F69" s="3">
        <v>7</v>
      </c>
      <c r="G69" s="33">
        <v>6.0099999999999997E-4</v>
      </c>
    </row>
    <row r="70" spans="2:7" ht="18" x14ac:dyDescent="0.2">
      <c r="B70" s="58" t="s">
        <v>157</v>
      </c>
      <c r="C70" s="26"/>
      <c r="D70" s="32"/>
      <c r="E70" s="32"/>
      <c r="F70" s="3"/>
      <c r="G70" s="33"/>
    </row>
    <row r="71" spans="2:7" ht="18" x14ac:dyDescent="0.2">
      <c r="B71" s="12" t="s">
        <v>2</v>
      </c>
      <c r="C71" s="26">
        <v>70</v>
      </c>
      <c r="D71" s="32">
        <v>48.1875</v>
      </c>
      <c r="E71" s="32">
        <v>4.21875</v>
      </c>
      <c r="F71" s="3">
        <v>61</v>
      </c>
      <c r="G71" s="33">
        <v>3.7800000000000003E-4</v>
      </c>
    </row>
    <row r="72" spans="2:7" ht="18" x14ac:dyDescent="0.2">
      <c r="B72" s="12" t="s">
        <v>3</v>
      </c>
      <c r="C72" s="26">
        <v>310</v>
      </c>
      <c r="D72" s="32">
        <v>46.296875</v>
      </c>
      <c r="E72" s="32">
        <v>291385.0078125</v>
      </c>
      <c r="F72" s="3">
        <v>100</v>
      </c>
      <c r="G72" s="33">
        <v>4.08E-4</v>
      </c>
    </row>
    <row r="73" spans="2:7" ht="18" x14ac:dyDescent="0.2">
      <c r="B73" s="12" t="s">
        <v>4</v>
      </c>
      <c r="C73" s="26">
        <v>11</v>
      </c>
      <c r="D73" s="32">
        <v>7.390625</v>
      </c>
      <c r="E73" s="32">
        <v>0</v>
      </c>
      <c r="F73" s="3">
        <v>16</v>
      </c>
      <c r="G73" s="33">
        <v>3.8200000000000002E-4</v>
      </c>
    </row>
    <row r="74" spans="2:7" ht="18" x14ac:dyDescent="0.2">
      <c r="B74" s="12" t="s">
        <v>5</v>
      </c>
      <c r="C74" s="26">
        <v>31</v>
      </c>
      <c r="D74" s="32">
        <v>4.84375</v>
      </c>
      <c r="E74" s="32">
        <v>2621.71875</v>
      </c>
      <c r="F74" s="3">
        <v>23</v>
      </c>
      <c r="G74" s="33">
        <v>5.7200000000000003E-4</v>
      </c>
    </row>
    <row r="75" spans="2:7" ht="18" x14ac:dyDescent="0.2">
      <c r="B75" s="2" t="s">
        <v>91</v>
      </c>
      <c r="C75" s="26">
        <v>5.4</v>
      </c>
      <c r="D75" s="32">
        <v>3.90625</v>
      </c>
      <c r="E75" s="32">
        <v>4.6875E-2</v>
      </c>
      <c r="F75" s="3">
        <v>3</v>
      </c>
      <c r="G75" s="33">
        <v>3.9300000000000001E-4</v>
      </c>
    </row>
    <row r="76" spans="2:7" ht="18" x14ac:dyDescent="0.2">
      <c r="B76" s="2" t="s">
        <v>92</v>
      </c>
      <c r="C76" s="26">
        <v>11</v>
      </c>
      <c r="D76" s="32">
        <v>7.90625</v>
      </c>
      <c r="E76" s="32">
        <v>4.6875E-2</v>
      </c>
      <c r="F76" s="3">
        <v>16</v>
      </c>
      <c r="G76" s="33">
        <v>3.7199999999999999E-4</v>
      </c>
    </row>
    <row r="77" spans="2:7" ht="18" x14ac:dyDescent="0.2">
      <c r="B77" s="2" t="s">
        <v>93</v>
      </c>
      <c r="C77" s="26">
        <v>4.2</v>
      </c>
      <c r="D77" s="32">
        <v>2.921875</v>
      </c>
      <c r="E77" s="32">
        <v>4.6875E-2</v>
      </c>
      <c r="F77" s="3">
        <v>23</v>
      </c>
      <c r="G77" s="33">
        <v>3.8000000000000002E-4</v>
      </c>
    </row>
    <row r="78" spans="2:7" ht="18" x14ac:dyDescent="0.2">
      <c r="B78" s="2" t="s">
        <v>94</v>
      </c>
      <c r="C78" s="26">
        <v>12</v>
      </c>
      <c r="D78" s="32">
        <v>7.71875</v>
      </c>
      <c r="E78" s="32">
        <v>6.5625</v>
      </c>
      <c r="F78" s="3">
        <v>9</v>
      </c>
      <c r="G78" s="33">
        <v>3.7800000000000003E-4</v>
      </c>
    </row>
    <row r="79" spans="2:7" ht="18" x14ac:dyDescent="0.2">
      <c r="B79" s="2" t="s">
        <v>95</v>
      </c>
      <c r="C79" s="26">
        <v>3.7</v>
      </c>
      <c r="D79" s="32">
        <v>2.59375</v>
      </c>
      <c r="E79" s="32">
        <v>4.6875E-2</v>
      </c>
      <c r="F79" s="3">
        <v>6</v>
      </c>
      <c r="G79" s="33">
        <v>4.1599999999999997E-4</v>
      </c>
    </row>
    <row r="80" spans="2:7" ht="18" x14ac:dyDescent="0.2">
      <c r="B80" s="2" t="s">
        <v>96</v>
      </c>
      <c r="C80" s="26">
        <v>3.4</v>
      </c>
      <c r="D80" s="32">
        <v>2.390625</v>
      </c>
      <c r="E80" s="32">
        <v>4.6875E-2</v>
      </c>
      <c r="F80" s="3">
        <v>11</v>
      </c>
      <c r="G80" s="33">
        <v>3.9300000000000001E-4</v>
      </c>
    </row>
    <row r="81" spans="2:7" ht="18" x14ac:dyDescent="0.2">
      <c r="B81" s="2" t="s">
        <v>97</v>
      </c>
      <c r="C81" s="26">
        <v>8.1</v>
      </c>
      <c r="D81" s="32">
        <v>5.75</v>
      </c>
      <c r="E81" s="32">
        <v>4.6875E-2</v>
      </c>
      <c r="F81" s="3">
        <v>10</v>
      </c>
      <c r="G81" s="33">
        <v>4.2900000000000002E-4</v>
      </c>
    </row>
    <row r="82" spans="2:7" ht="18" x14ac:dyDescent="0.2">
      <c r="B82" s="2" t="s">
        <v>98</v>
      </c>
      <c r="C82" s="26">
        <v>6.5</v>
      </c>
      <c r="D82" s="32">
        <v>4.5625</v>
      </c>
      <c r="E82" s="32">
        <v>4.6875E-2</v>
      </c>
      <c r="F82" s="3">
        <v>22</v>
      </c>
      <c r="G82" s="33">
        <v>5.4900000000000001E-4</v>
      </c>
    </row>
    <row r="83" spans="2:7" ht="18" x14ac:dyDescent="0.2">
      <c r="B83" s="2" t="s">
        <v>99</v>
      </c>
      <c r="C83" s="26">
        <v>13</v>
      </c>
      <c r="D83" s="32">
        <v>8.609375</v>
      </c>
      <c r="E83" s="32">
        <v>1.40625</v>
      </c>
      <c r="F83" s="3">
        <v>14</v>
      </c>
      <c r="G83" s="33">
        <v>3.8999999999999999E-4</v>
      </c>
    </row>
    <row r="84" spans="2:7" ht="18" x14ac:dyDescent="0.2">
      <c r="B84" s="2" t="s">
        <v>100</v>
      </c>
      <c r="C84" s="26">
        <v>3.7</v>
      </c>
      <c r="D84" s="32">
        <v>2.609375</v>
      </c>
      <c r="E84" s="32">
        <v>4.6875E-2</v>
      </c>
      <c r="F84" s="3">
        <v>3</v>
      </c>
      <c r="G84" s="33">
        <v>3.9100000000000002E-4</v>
      </c>
    </row>
    <row r="85" spans="2:7" ht="18" x14ac:dyDescent="0.2">
      <c r="B85" s="4" t="s">
        <v>158</v>
      </c>
      <c r="C85" s="26"/>
      <c r="D85" s="32"/>
      <c r="E85" s="32"/>
      <c r="F85" s="3"/>
      <c r="G85" s="33"/>
    </row>
    <row r="86" spans="2:7" ht="18" x14ac:dyDescent="0.2">
      <c r="B86" s="2" t="s">
        <v>101</v>
      </c>
      <c r="C86" s="26">
        <v>4.8</v>
      </c>
      <c r="D86" s="32">
        <v>3.421875</v>
      </c>
      <c r="E86" s="32">
        <v>4.6875E-2</v>
      </c>
      <c r="F86" s="3">
        <v>3</v>
      </c>
      <c r="G86" s="33">
        <v>3.9100000000000002E-4</v>
      </c>
    </row>
    <row r="87" spans="2:7" ht="18" x14ac:dyDescent="0.2">
      <c r="B87" s="2" t="s">
        <v>102</v>
      </c>
      <c r="C87" s="26">
        <v>5.0999999999999996</v>
      </c>
      <c r="D87" s="32">
        <v>3.609375</v>
      </c>
      <c r="E87" s="32">
        <v>4.6875E-2</v>
      </c>
      <c r="F87" s="3">
        <v>30</v>
      </c>
      <c r="G87" s="33">
        <v>3.9100000000000002E-4</v>
      </c>
    </row>
    <row r="90" spans="2:7" ht="38" x14ac:dyDescent="0.2">
      <c r="C90" s="30" t="s">
        <v>127</v>
      </c>
      <c r="D90" s="30" t="s">
        <v>135</v>
      </c>
      <c r="E90" s="30" t="s">
        <v>134</v>
      </c>
      <c r="F90" s="30" t="s">
        <v>133</v>
      </c>
      <c r="G90" s="30" t="s">
        <v>132</v>
      </c>
    </row>
    <row r="91" spans="2:7" ht="18" x14ac:dyDescent="0.2">
      <c r="B91" s="12" t="s">
        <v>115</v>
      </c>
      <c r="C91" s="26">
        <v>2.6</v>
      </c>
      <c r="D91" s="32">
        <v>1.28125</v>
      </c>
      <c r="E91" s="32">
        <v>27</v>
      </c>
      <c r="F91" s="3">
        <v>5</v>
      </c>
      <c r="G91" s="33"/>
    </row>
    <row r="92" spans="2:7" ht="18" x14ac:dyDescent="0.2">
      <c r="B92" s="12" t="s">
        <v>116</v>
      </c>
      <c r="C92" s="26">
        <v>36</v>
      </c>
      <c r="D92" s="32">
        <v>25.078125</v>
      </c>
      <c r="E92" s="32">
        <v>18.5625</v>
      </c>
      <c r="F92" s="3">
        <v>32</v>
      </c>
      <c r="G92" s="33"/>
    </row>
    <row r="93" spans="2:7" ht="18" x14ac:dyDescent="0.2">
      <c r="B93" s="12" t="s">
        <v>117</v>
      </c>
      <c r="C93" s="26">
        <v>179</v>
      </c>
      <c r="D93" s="32">
        <v>65.765625</v>
      </c>
      <c r="E93" s="32">
        <v>11630.25</v>
      </c>
      <c r="F93" s="3">
        <v>127</v>
      </c>
      <c r="G93" s="33"/>
    </row>
    <row r="94" spans="2:7" ht="18" x14ac:dyDescent="0.2">
      <c r="B94" s="12" t="s">
        <v>118</v>
      </c>
      <c r="C94" s="26">
        <v>1.1000000000000001</v>
      </c>
      <c r="D94" s="32">
        <v>0.734375</v>
      </c>
      <c r="E94" s="32">
        <v>0</v>
      </c>
      <c r="F94" s="3">
        <v>9</v>
      </c>
      <c r="G94" s="33"/>
    </row>
    <row r="95" spans="2:7" ht="18" x14ac:dyDescent="0.2">
      <c r="B95" s="12" t="s">
        <v>119</v>
      </c>
      <c r="C95" s="26">
        <v>70</v>
      </c>
      <c r="D95" s="32">
        <v>48.1875</v>
      </c>
      <c r="E95" s="32">
        <v>4.21875</v>
      </c>
      <c r="F95" s="3">
        <v>76</v>
      </c>
      <c r="G95" s="33"/>
    </row>
    <row r="96" spans="2:7" ht="18" x14ac:dyDescent="0.2">
      <c r="B96" s="12" t="s">
        <v>120</v>
      </c>
      <c r="C96" s="26">
        <v>310</v>
      </c>
      <c r="D96" s="32">
        <v>46.296875</v>
      </c>
      <c r="E96" s="32">
        <v>291385.0078125</v>
      </c>
      <c r="F96" s="3">
        <v>107</v>
      </c>
      <c r="G96" s="33"/>
    </row>
    <row r="97" spans="2:7" ht="18" x14ac:dyDescent="0.2">
      <c r="B97" s="12" t="s">
        <v>121</v>
      </c>
      <c r="C97" s="26">
        <v>11</v>
      </c>
      <c r="D97" s="32">
        <v>7.390625</v>
      </c>
      <c r="E97" s="32">
        <v>0</v>
      </c>
      <c r="F97" s="3">
        <v>14</v>
      </c>
      <c r="G97" s="33"/>
    </row>
    <row r="98" spans="2:7" ht="18" x14ac:dyDescent="0.2">
      <c r="B98" s="12" t="s">
        <v>122</v>
      </c>
      <c r="C98" s="26">
        <v>31</v>
      </c>
      <c r="D98" s="32">
        <v>4.734375</v>
      </c>
      <c r="E98" s="32">
        <v>2877.1875</v>
      </c>
      <c r="F98" s="3">
        <v>28</v>
      </c>
      <c r="G98" s="33"/>
    </row>
    <row r="99" spans="2:7" ht="18" x14ac:dyDescent="0.2">
      <c r="B99" s="12" t="s">
        <v>0</v>
      </c>
      <c r="C99" s="26">
        <v>2.6</v>
      </c>
      <c r="D99" s="32">
        <v>1.28125</v>
      </c>
      <c r="E99" s="32">
        <v>27</v>
      </c>
      <c r="F99" s="3">
        <v>7</v>
      </c>
      <c r="G99" s="33"/>
    </row>
    <row r="100" spans="2:7" ht="18" x14ac:dyDescent="0.2">
      <c r="B100" s="12" t="s">
        <v>1</v>
      </c>
      <c r="C100" s="26">
        <v>1.2</v>
      </c>
      <c r="D100" s="32">
        <v>0.796875</v>
      </c>
      <c r="E100" s="32">
        <v>0</v>
      </c>
      <c r="F100" s="3">
        <v>7</v>
      </c>
      <c r="G100" s="33"/>
    </row>
    <row r="101" spans="2:7" ht="18" x14ac:dyDescent="0.2">
      <c r="B101" s="12" t="s">
        <v>2</v>
      </c>
      <c r="C101" s="26">
        <v>70</v>
      </c>
      <c r="D101" s="32">
        <v>48.1875</v>
      </c>
      <c r="E101" s="32">
        <v>4.21875</v>
      </c>
      <c r="F101" s="3">
        <v>61</v>
      </c>
      <c r="G101" s="33"/>
    </row>
    <row r="102" spans="2:7" ht="18" x14ac:dyDescent="0.2">
      <c r="B102" s="12" t="s">
        <v>3</v>
      </c>
      <c r="C102" s="26">
        <v>310</v>
      </c>
      <c r="D102" s="32">
        <v>46.296875</v>
      </c>
      <c r="E102" s="32">
        <v>291385.0078125</v>
      </c>
      <c r="F102" s="3">
        <v>100</v>
      </c>
      <c r="G102" s="33"/>
    </row>
    <row r="103" spans="2:7" ht="18" x14ac:dyDescent="0.2">
      <c r="B103" s="12" t="s">
        <v>4</v>
      </c>
      <c r="C103" s="26">
        <v>11</v>
      </c>
      <c r="D103" s="32">
        <v>7.390625</v>
      </c>
      <c r="E103" s="32">
        <v>0</v>
      </c>
      <c r="F103" s="3">
        <v>16</v>
      </c>
      <c r="G103" s="33"/>
    </row>
    <row r="104" spans="2:7" ht="18" x14ac:dyDescent="0.2">
      <c r="B104" s="12" t="s">
        <v>5</v>
      </c>
      <c r="C104" s="26">
        <v>31</v>
      </c>
      <c r="D104" s="32">
        <v>4.84375</v>
      </c>
      <c r="E104" s="32">
        <v>2621.71875</v>
      </c>
      <c r="F104" s="3">
        <v>23</v>
      </c>
      <c r="G104" s="33"/>
    </row>
    <row r="105" spans="2:7" ht="18" x14ac:dyDescent="0.2">
      <c r="B105" s="2" t="s">
        <v>91</v>
      </c>
      <c r="C105" s="26">
        <v>5.4</v>
      </c>
      <c r="D105" s="32">
        <v>3.90625</v>
      </c>
      <c r="E105" s="32">
        <v>4.6875E-2</v>
      </c>
      <c r="F105" s="3">
        <v>3</v>
      </c>
      <c r="G105" s="33">
        <v>3.9300000000000001E-4</v>
      </c>
    </row>
    <row r="106" spans="2:7" ht="18" x14ac:dyDescent="0.2">
      <c r="B106" s="2" t="s">
        <v>92</v>
      </c>
      <c r="C106" s="26">
        <v>11</v>
      </c>
      <c r="D106" s="32">
        <v>7.90625</v>
      </c>
      <c r="E106" s="32">
        <v>4.6875E-2</v>
      </c>
      <c r="F106" s="3">
        <v>16</v>
      </c>
      <c r="G106" s="33">
        <v>3.7199999999999999E-4</v>
      </c>
    </row>
    <row r="107" spans="2:7" ht="18" x14ac:dyDescent="0.2">
      <c r="B107" s="2" t="s">
        <v>93</v>
      </c>
      <c r="C107" s="26">
        <v>4.2</v>
      </c>
      <c r="D107" s="32">
        <v>2.921875</v>
      </c>
      <c r="E107" s="32">
        <v>4.6875E-2</v>
      </c>
      <c r="F107" s="3">
        <v>23</v>
      </c>
      <c r="G107" s="33">
        <v>3.8000000000000002E-4</v>
      </c>
    </row>
    <row r="108" spans="2:7" ht="18" x14ac:dyDescent="0.2">
      <c r="B108" s="2" t="s">
        <v>94</v>
      </c>
      <c r="C108" s="26">
        <v>12</v>
      </c>
      <c r="D108" s="32">
        <v>7.71875</v>
      </c>
      <c r="E108" s="32">
        <v>6.5625</v>
      </c>
      <c r="F108" s="3">
        <v>9</v>
      </c>
      <c r="G108" s="33">
        <v>3.7800000000000003E-4</v>
      </c>
    </row>
    <row r="109" spans="2:7" ht="18" x14ac:dyDescent="0.2">
      <c r="B109" s="2" t="s">
        <v>95</v>
      </c>
      <c r="C109" s="26">
        <v>3.7</v>
      </c>
      <c r="D109" s="32">
        <v>2.59375</v>
      </c>
      <c r="E109" s="32">
        <v>4.6875E-2</v>
      </c>
      <c r="F109" s="3">
        <v>6</v>
      </c>
      <c r="G109" s="33">
        <v>4.1599999999999997E-4</v>
      </c>
    </row>
    <row r="110" spans="2:7" ht="18" x14ac:dyDescent="0.2">
      <c r="B110" s="2" t="s">
        <v>96</v>
      </c>
      <c r="C110" s="26">
        <v>3.4</v>
      </c>
      <c r="D110" s="32">
        <v>2.390625</v>
      </c>
      <c r="E110" s="32">
        <v>4.6875E-2</v>
      </c>
      <c r="F110" s="3">
        <v>11</v>
      </c>
      <c r="G110" s="33">
        <v>3.9300000000000001E-4</v>
      </c>
    </row>
    <row r="111" spans="2:7" ht="18" x14ac:dyDescent="0.2">
      <c r="B111" s="2" t="s">
        <v>97</v>
      </c>
      <c r="C111" s="26">
        <v>8.1</v>
      </c>
      <c r="D111" s="32">
        <v>5.75</v>
      </c>
      <c r="E111" s="32">
        <v>4.6875E-2</v>
      </c>
      <c r="F111" s="3">
        <v>10</v>
      </c>
      <c r="G111" s="33">
        <v>4.2900000000000002E-4</v>
      </c>
    </row>
    <row r="112" spans="2:7" ht="18" x14ac:dyDescent="0.2">
      <c r="B112" s="2" t="s">
        <v>98</v>
      </c>
      <c r="C112" s="26">
        <v>6.5</v>
      </c>
      <c r="D112" s="32">
        <v>4.5625</v>
      </c>
      <c r="E112" s="32">
        <v>4.6875E-2</v>
      </c>
      <c r="F112" s="3">
        <v>22</v>
      </c>
      <c r="G112" s="33">
        <v>5.4900000000000001E-4</v>
      </c>
    </row>
    <row r="113" spans="2:7" ht="18" x14ac:dyDescent="0.2">
      <c r="B113" s="2" t="s">
        <v>99</v>
      </c>
      <c r="C113" s="26">
        <v>13</v>
      </c>
      <c r="D113" s="32">
        <v>8.609375</v>
      </c>
      <c r="E113" s="32">
        <v>1.40625</v>
      </c>
      <c r="F113" s="3">
        <v>14</v>
      </c>
      <c r="G113" s="33">
        <v>3.8999999999999999E-4</v>
      </c>
    </row>
    <row r="114" spans="2:7" ht="18" x14ac:dyDescent="0.2">
      <c r="B114" s="2" t="s">
        <v>100</v>
      </c>
      <c r="C114" s="26">
        <v>3.7</v>
      </c>
      <c r="D114" s="32">
        <v>2.609375</v>
      </c>
      <c r="E114" s="32">
        <v>4.6875E-2</v>
      </c>
      <c r="F114" s="3">
        <v>3</v>
      </c>
      <c r="G114" s="33">
        <v>3.9100000000000002E-4</v>
      </c>
    </row>
    <row r="115" spans="2:7" ht="18" x14ac:dyDescent="0.2">
      <c r="B115" s="4" t="s">
        <v>158</v>
      </c>
      <c r="C115" s="26"/>
      <c r="D115" s="32"/>
      <c r="E115" s="32"/>
      <c r="F115" s="3"/>
      <c r="G115" s="33"/>
    </row>
    <row r="116" spans="2:7" ht="18" x14ac:dyDescent="0.2">
      <c r="B116" s="2" t="s">
        <v>101</v>
      </c>
      <c r="C116" s="26">
        <v>4.8</v>
      </c>
      <c r="D116" s="32">
        <v>3.421875</v>
      </c>
      <c r="E116" s="32">
        <v>4.6875E-2</v>
      </c>
      <c r="F116" s="3">
        <v>3</v>
      </c>
      <c r="G116" s="33">
        <v>3.9100000000000002E-4</v>
      </c>
    </row>
    <row r="117" spans="2:7" ht="18" x14ac:dyDescent="0.2">
      <c r="B117" s="2" t="s">
        <v>102</v>
      </c>
      <c r="C117" s="26">
        <v>5.0999999999999996</v>
      </c>
      <c r="D117" s="32">
        <v>3.609375</v>
      </c>
      <c r="E117" s="32">
        <v>4.6875E-2</v>
      </c>
      <c r="F117" s="3">
        <v>30</v>
      </c>
      <c r="G117" s="33">
        <v>3.9100000000000002E-4</v>
      </c>
    </row>
  </sheetData>
  <mergeCells count="2">
    <mergeCell ref="D2:E2"/>
    <mergeCell ref="C2:C3"/>
  </mergeCells>
  <conditionalFormatting sqref="L22:L50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D338-1764-6C49-88FF-A1097ACEBC60}">
  <dimension ref="A1:K65"/>
  <sheetViews>
    <sheetView zoomScaleNormal="70" workbookViewId="0">
      <selection activeCell="C24" sqref="C24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1" width="11.6640625" style="1" bestFit="1" customWidth="1"/>
    <col min="12" max="16384" width="10.83203125" style="1"/>
  </cols>
  <sheetData>
    <row r="1" spans="1:7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7" x14ac:dyDescent="0.2">
      <c r="A2" s="12" t="s">
        <v>115</v>
      </c>
      <c r="B2" s="3">
        <v>32869</v>
      </c>
      <c r="C2" s="5">
        <v>56219</v>
      </c>
      <c r="D2" s="3">
        <v>702600</v>
      </c>
      <c r="E2" s="5">
        <v>57006</v>
      </c>
      <c r="F2" s="5">
        <v>63658</v>
      </c>
    </row>
    <row r="3" spans="1:7" x14ac:dyDescent="0.2">
      <c r="A3" s="12" t="s">
        <v>116</v>
      </c>
      <c r="B3" s="3">
        <v>25970</v>
      </c>
      <c r="C3" s="5">
        <v>42521</v>
      </c>
      <c r="D3" s="5">
        <v>68627</v>
      </c>
      <c r="E3" s="5">
        <v>44332</v>
      </c>
      <c r="F3" s="5">
        <v>44415</v>
      </c>
    </row>
    <row r="4" spans="1:7" x14ac:dyDescent="0.2">
      <c r="A4" s="12" t="s">
        <v>117</v>
      </c>
      <c r="B4" s="3">
        <v>39798</v>
      </c>
      <c r="C4" s="5">
        <v>100657</v>
      </c>
      <c r="D4" s="5">
        <v>112550</v>
      </c>
      <c r="E4" s="5">
        <v>102594</v>
      </c>
      <c r="F4" s="5">
        <v>102838</v>
      </c>
      <c r="G4" s="1" t="s">
        <v>105</v>
      </c>
    </row>
    <row r="5" spans="1:7" x14ac:dyDescent="0.2">
      <c r="A5" s="12" t="s">
        <v>118</v>
      </c>
      <c r="B5" s="3">
        <v>24488</v>
      </c>
      <c r="C5" s="5">
        <v>30012</v>
      </c>
      <c r="D5" s="5">
        <v>32098</v>
      </c>
      <c r="E5" s="5">
        <v>32201</v>
      </c>
      <c r="F5" s="5">
        <v>32125</v>
      </c>
      <c r="G5" s="1" t="s">
        <v>106</v>
      </c>
    </row>
    <row r="6" spans="1:7" x14ac:dyDescent="0.2">
      <c r="A6" s="58" t="s">
        <v>156</v>
      </c>
      <c r="B6" s="69">
        <v>38624</v>
      </c>
      <c r="C6" s="69">
        <v>51535</v>
      </c>
      <c r="D6" s="69">
        <v>114172</v>
      </c>
      <c r="E6" s="69">
        <v>50575</v>
      </c>
      <c r="F6" s="69">
        <v>55020</v>
      </c>
    </row>
    <row r="7" spans="1:7" x14ac:dyDescent="0.2">
      <c r="A7" s="12" t="s">
        <v>119</v>
      </c>
      <c r="B7" s="3">
        <v>29569</v>
      </c>
      <c r="C7" s="5">
        <v>52975</v>
      </c>
      <c r="D7" s="3">
        <v>364200</v>
      </c>
      <c r="E7" s="5">
        <v>52507</v>
      </c>
      <c r="F7" s="5">
        <v>54505</v>
      </c>
    </row>
    <row r="8" spans="1:7" x14ac:dyDescent="0.2">
      <c r="A8" s="12" t="s">
        <v>120</v>
      </c>
      <c r="B8" s="3">
        <v>11043</v>
      </c>
      <c r="C8" s="5">
        <v>20051</v>
      </c>
      <c r="D8" s="3">
        <v>137310</v>
      </c>
      <c r="E8" s="5">
        <v>20886</v>
      </c>
      <c r="F8" s="5">
        <v>21456</v>
      </c>
    </row>
    <row r="9" spans="1:7" x14ac:dyDescent="0.2">
      <c r="A9" s="12" t="s">
        <v>121</v>
      </c>
      <c r="B9" s="3">
        <v>38109</v>
      </c>
      <c r="C9" s="5">
        <v>64314</v>
      </c>
      <c r="D9" s="3">
        <v>491700</v>
      </c>
      <c r="E9" s="5">
        <v>64337</v>
      </c>
      <c r="F9" s="5">
        <v>65811</v>
      </c>
    </row>
    <row r="10" spans="1:7" x14ac:dyDescent="0.2">
      <c r="A10" s="12" t="s">
        <v>122</v>
      </c>
      <c r="B10" s="3">
        <v>12007</v>
      </c>
      <c r="C10" s="5">
        <v>20046</v>
      </c>
      <c r="D10" s="5">
        <v>29961</v>
      </c>
      <c r="E10" s="5">
        <v>20200</v>
      </c>
      <c r="F10" s="5">
        <v>20047</v>
      </c>
    </row>
    <row r="11" spans="1:7" x14ac:dyDescent="0.2">
      <c r="A11" s="12" t="s">
        <v>0</v>
      </c>
      <c r="B11" s="3">
        <v>66451</v>
      </c>
      <c r="C11" s="5">
        <v>112016</v>
      </c>
      <c r="D11" s="3">
        <v>1618600</v>
      </c>
      <c r="E11" s="5">
        <v>116305</v>
      </c>
      <c r="F11" s="5">
        <v>129930</v>
      </c>
    </row>
    <row r="12" spans="1:7" x14ac:dyDescent="0.2">
      <c r="A12" s="12" t="s">
        <v>1</v>
      </c>
      <c r="B12" s="3">
        <v>116294</v>
      </c>
      <c r="C12" s="5">
        <v>112234</v>
      </c>
      <c r="D12" s="5">
        <v>117036</v>
      </c>
      <c r="E12" s="5">
        <v>117313</v>
      </c>
      <c r="F12" s="5">
        <v>117419</v>
      </c>
      <c r="G12" s="1" t="s">
        <v>106</v>
      </c>
    </row>
    <row r="13" spans="1:7" x14ac:dyDescent="0.2">
      <c r="A13" s="58" t="s">
        <v>157</v>
      </c>
      <c r="B13" s="69">
        <v>38444</v>
      </c>
      <c r="C13" s="69">
        <v>51837</v>
      </c>
      <c r="D13" s="69">
        <v>112813</v>
      </c>
      <c r="E13" s="69">
        <v>51191</v>
      </c>
      <c r="F13" s="69">
        <v>55299</v>
      </c>
    </row>
    <row r="14" spans="1:7" x14ac:dyDescent="0.2">
      <c r="A14" s="12" t="s">
        <v>2</v>
      </c>
      <c r="B14" s="3">
        <v>29341</v>
      </c>
      <c r="C14" s="5">
        <v>50118</v>
      </c>
      <c r="D14" s="3">
        <v>362900</v>
      </c>
      <c r="E14" s="5">
        <v>52506</v>
      </c>
      <c r="F14" s="5">
        <v>53796</v>
      </c>
    </row>
    <row r="15" spans="1:7" x14ac:dyDescent="0.2">
      <c r="A15" s="12" t="s">
        <v>3</v>
      </c>
      <c r="B15" s="3">
        <v>11136</v>
      </c>
      <c r="C15" s="5">
        <v>18811</v>
      </c>
      <c r="D15" s="3">
        <v>137400</v>
      </c>
      <c r="E15" s="5">
        <v>20806</v>
      </c>
      <c r="F15" s="5">
        <v>21453</v>
      </c>
    </row>
    <row r="16" spans="1:7" x14ac:dyDescent="0.2">
      <c r="A16" s="12" t="s">
        <v>4</v>
      </c>
      <c r="B16" s="3">
        <v>38181</v>
      </c>
      <c r="C16" s="5">
        <v>61069</v>
      </c>
      <c r="D16" s="3">
        <v>494100</v>
      </c>
      <c r="E16" s="5">
        <v>64577</v>
      </c>
      <c r="F16" s="5">
        <v>65877</v>
      </c>
    </row>
    <row r="17" spans="1:10" x14ac:dyDescent="0.2">
      <c r="A17" s="12" t="s">
        <v>5</v>
      </c>
      <c r="B17" s="3">
        <v>31298</v>
      </c>
      <c r="C17" s="5">
        <v>60957</v>
      </c>
      <c r="D17" s="5">
        <v>96640</v>
      </c>
      <c r="E17" s="5">
        <v>62900</v>
      </c>
      <c r="F17" s="5">
        <v>63540</v>
      </c>
      <c r="G17" s="21" t="s">
        <v>108</v>
      </c>
    </row>
    <row r="18" spans="1:10" x14ac:dyDescent="0.2">
      <c r="B18" s="22"/>
      <c r="C18" s="22"/>
      <c r="D18" s="22"/>
      <c r="E18" s="22"/>
      <c r="F18" s="22"/>
    </row>
    <row r="19" spans="1:10" x14ac:dyDescent="0.2">
      <c r="B19" s="22"/>
      <c r="C19" s="22"/>
      <c r="D19" s="22"/>
      <c r="E19" s="22"/>
      <c r="F19" s="22"/>
    </row>
    <row r="20" spans="1:10" x14ac:dyDescent="0.2">
      <c r="B20" s="22"/>
      <c r="C20" s="22"/>
      <c r="D20" s="22"/>
      <c r="E20" s="22"/>
      <c r="F20" s="22"/>
    </row>
    <row r="23" spans="1:10" x14ac:dyDescent="0.2">
      <c r="A23" s="2" t="s">
        <v>87</v>
      </c>
      <c r="B23" s="2" t="s">
        <v>86</v>
      </c>
      <c r="C23" s="2" t="s">
        <v>111</v>
      </c>
      <c r="D23" s="2" t="s">
        <v>112</v>
      </c>
      <c r="E23" s="2" t="s">
        <v>109</v>
      </c>
      <c r="F23" s="2" t="s">
        <v>110</v>
      </c>
    </row>
    <row r="24" spans="1:10" x14ac:dyDescent="0.2">
      <c r="A24" s="12" t="s">
        <v>115</v>
      </c>
      <c r="B24" s="20">
        <f>B2/$B2</f>
        <v>1</v>
      </c>
      <c r="C24" s="20">
        <f t="shared" ref="C24:F24" si="0">C2/$B2</f>
        <v>1.7103958136846269</v>
      </c>
      <c r="D24" s="20">
        <f t="shared" si="0"/>
        <v>21.375764398065048</v>
      </c>
      <c r="E24" s="20">
        <f t="shared" si="0"/>
        <v>1.7343393471051751</v>
      </c>
      <c r="F24" s="20">
        <f t="shared" si="0"/>
        <v>1.936718488545438</v>
      </c>
      <c r="G24" s="21"/>
      <c r="I24" s="21"/>
      <c r="J24" s="21"/>
    </row>
    <row r="25" spans="1:10" x14ac:dyDescent="0.2">
      <c r="A25" s="12" t="s">
        <v>116</v>
      </c>
      <c r="B25" s="20">
        <f>B3/$B3</f>
        <v>1</v>
      </c>
      <c r="C25" s="20">
        <f t="shared" ref="C25:F25" si="1">C3/$B3</f>
        <v>1.6373122834039275</v>
      </c>
      <c r="D25" s="20">
        <f t="shared" si="1"/>
        <v>2.6425490951097421</v>
      </c>
      <c r="E25" s="20">
        <f t="shared" si="1"/>
        <v>1.7070465922217943</v>
      </c>
      <c r="F25" s="20">
        <f t="shared" si="1"/>
        <v>1.7102425876010781</v>
      </c>
      <c r="G25" s="21"/>
      <c r="I25" s="21"/>
      <c r="J25" s="21"/>
    </row>
    <row r="26" spans="1:10" x14ac:dyDescent="0.2">
      <c r="A26" s="12" t="s">
        <v>117</v>
      </c>
      <c r="B26" s="20">
        <f>B4/$B4</f>
        <v>1</v>
      </c>
      <c r="C26" s="20">
        <f t="shared" ref="C26:F26" si="2">C4/$B4</f>
        <v>2.5291974471078951</v>
      </c>
      <c r="D26" s="20">
        <f t="shared" si="2"/>
        <v>2.8280315593748431</v>
      </c>
      <c r="E26" s="20">
        <f t="shared" si="2"/>
        <v>2.5778682345846526</v>
      </c>
      <c r="F26" s="20">
        <f t="shared" si="2"/>
        <v>2.5839991959394943</v>
      </c>
      <c r="G26" s="21"/>
      <c r="I26" s="21"/>
      <c r="J26" s="21"/>
    </row>
    <row r="27" spans="1:10" x14ac:dyDescent="0.2">
      <c r="A27" s="12" t="s">
        <v>118</v>
      </c>
      <c r="B27" s="20">
        <f>B5/$B5</f>
        <v>1</v>
      </c>
      <c r="C27" s="20">
        <f t="shared" ref="C27:F27" si="3">C5/$B5</f>
        <v>1.2255798758575629</v>
      </c>
      <c r="D27" s="20">
        <f t="shared" si="3"/>
        <v>1.310764456060111</v>
      </c>
      <c r="E27" s="20">
        <f t="shared" si="3"/>
        <v>1.314970597843842</v>
      </c>
      <c r="F27" s="20">
        <f t="shared" si="3"/>
        <v>1.3118670369160406</v>
      </c>
      <c r="G27" s="21"/>
      <c r="I27" s="21"/>
      <c r="J27" s="21"/>
    </row>
    <row r="28" spans="1:10" x14ac:dyDescent="0.2">
      <c r="A28" s="58" t="s">
        <v>156</v>
      </c>
      <c r="B28" s="68">
        <f t="shared" ref="B28:B35" si="4">B6/$B6</f>
        <v>1</v>
      </c>
      <c r="C28" s="68">
        <f t="shared" ref="C28:F28" si="5">C6/$B6</f>
        <v>1.3342740265120132</v>
      </c>
      <c r="D28" s="68">
        <f t="shared" si="5"/>
        <v>2.9559859154929575</v>
      </c>
      <c r="E28" s="68">
        <f t="shared" si="5"/>
        <v>1.309419014084507</v>
      </c>
      <c r="F28" s="68">
        <f t="shared" si="5"/>
        <v>1.4245028997514499</v>
      </c>
      <c r="G28" s="21"/>
      <c r="I28" s="21"/>
      <c r="J28" s="21"/>
    </row>
    <row r="29" spans="1:10" x14ac:dyDescent="0.2">
      <c r="A29" s="12" t="s">
        <v>119</v>
      </c>
      <c r="B29" s="20">
        <f t="shared" si="4"/>
        <v>1</v>
      </c>
      <c r="C29" s="20">
        <f t="shared" ref="C29:F29" si="6">C7/$B7</f>
        <v>1.7915722547262336</v>
      </c>
      <c r="D29" s="20">
        <f t="shared" si="6"/>
        <v>12.316953566234908</v>
      </c>
      <c r="E29" s="20">
        <f t="shared" si="6"/>
        <v>1.7757448679360142</v>
      </c>
      <c r="F29" s="20">
        <f t="shared" si="6"/>
        <v>1.8433156346173358</v>
      </c>
      <c r="G29" s="21"/>
      <c r="I29" s="21"/>
      <c r="J29" s="21"/>
    </row>
    <row r="30" spans="1:10" x14ac:dyDescent="0.2">
      <c r="A30" s="12" t="s">
        <v>120</v>
      </c>
      <c r="B30" s="20">
        <f t="shared" si="4"/>
        <v>1</v>
      </c>
      <c r="C30" s="20">
        <f t="shared" ref="C30:F30" si="7">C8/$B8</f>
        <v>1.8157203658426153</v>
      </c>
      <c r="D30" s="20">
        <f t="shared" si="7"/>
        <v>12.43412116272752</v>
      </c>
      <c r="E30" s="20">
        <f t="shared" si="7"/>
        <v>1.89133387666395</v>
      </c>
      <c r="F30" s="20">
        <f t="shared" si="7"/>
        <v>1.9429502852485738</v>
      </c>
      <c r="G30" s="21"/>
      <c r="I30" s="21"/>
      <c r="J30" s="21"/>
    </row>
    <row r="31" spans="1:10" x14ac:dyDescent="0.2">
      <c r="A31" s="12" t="s">
        <v>121</v>
      </c>
      <c r="B31" s="20">
        <f t="shared" si="4"/>
        <v>1</v>
      </c>
      <c r="C31" s="20">
        <f t="shared" ref="C31:F31" si="8">C9/$B9</f>
        <v>1.687632842635598</v>
      </c>
      <c r="D31" s="20">
        <f t="shared" si="8"/>
        <v>12.902463984885459</v>
      </c>
      <c r="E31" s="20">
        <f t="shared" si="8"/>
        <v>1.6882363746096722</v>
      </c>
      <c r="F31" s="20">
        <f t="shared" si="8"/>
        <v>1.7269149019916554</v>
      </c>
      <c r="G31" s="21"/>
      <c r="I31" s="21"/>
      <c r="J31" s="21"/>
    </row>
    <row r="32" spans="1:10" x14ac:dyDescent="0.2">
      <c r="A32" s="12" t="s">
        <v>122</v>
      </c>
      <c r="B32" s="20">
        <f t="shared" si="4"/>
        <v>1</v>
      </c>
      <c r="C32" s="20">
        <f t="shared" ref="C32:F32" si="9">C10/$B10</f>
        <v>1.6695261097693013</v>
      </c>
      <c r="D32" s="20">
        <f t="shared" si="9"/>
        <v>2.4952944115932372</v>
      </c>
      <c r="E32" s="20">
        <f t="shared" si="9"/>
        <v>1.6823519613558757</v>
      </c>
      <c r="F32" s="20">
        <f t="shared" si="9"/>
        <v>1.6696093945198633</v>
      </c>
      <c r="G32" s="21"/>
      <c r="I32" s="21"/>
      <c r="J32" s="21"/>
    </row>
    <row r="33" spans="1:11" x14ac:dyDescent="0.2">
      <c r="A33" s="12" t="s">
        <v>0</v>
      </c>
      <c r="B33" s="20">
        <f t="shared" si="4"/>
        <v>1</v>
      </c>
      <c r="C33" s="20">
        <f t="shared" ref="C33:F33" si="10">C11/$B11</f>
        <v>1.6856932175588026</v>
      </c>
      <c r="D33" s="20">
        <f t="shared" si="10"/>
        <v>24.357797474831077</v>
      </c>
      <c r="E33" s="20">
        <f t="shared" si="10"/>
        <v>1.7502370167491836</v>
      </c>
      <c r="F33" s="20">
        <f t="shared" si="10"/>
        <v>1.9552753156461151</v>
      </c>
      <c r="G33" s="21"/>
      <c r="I33" s="21"/>
      <c r="J33" s="21"/>
    </row>
    <row r="34" spans="1:11" x14ac:dyDescent="0.2">
      <c r="A34" s="12" t="s">
        <v>1</v>
      </c>
      <c r="B34" s="20">
        <f t="shared" si="4"/>
        <v>1</v>
      </c>
      <c r="C34" s="20">
        <f t="shared" ref="C34:F34" si="11">C12/$B12</f>
        <v>0.96508848263882918</v>
      </c>
      <c r="D34" s="20">
        <f t="shared" si="11"/>
        <v>1.0063803807591105</v>
      </c>
      <c r="E34" s="20">
        <f t="shared" si="11"/>
        <v>1.0087622749238998</v>
      </c>
      <c r="F34" s="20">
        <f t="shared" si="11"/>
        <v>1.009673757889487</v>
      </c>
      <c r="G34" s="21"/>
      <c r="I34" s="21"/>
      <c r="J34" s="21"/>
    </row>
    <row r="35" spans="1:11" x14ac:dyDescent="0.2">
      <c r="A35" s="58" t="s">
        <v>157</v>
      </c>
      <c r="B35" s="68">
        <f t="shared" si="4"/>
        <v>1</v>
      </c>
      <c r="C35" s="68">
        <f t="shared" ref="C35:F35" si="12">C13/$B13</f>
        <v>1.3483768598480907</v>
      </c>
      <c r="D35" s="68">
        <f t="shared" si="12"/>
        <v>2.9344761211112269</v>
      </c>
      <c r="E35" s="68">
        <f t="shared" si="12"/>
        <v>1.3315731973780043</v>
      </c>
      <c r="F35" s="68">
        <f t="shared" si="12"/>
        <v>1.4384299240453646</v>
      </c>
      <c r="G35" s="21"/>
      <c r="I35" s="21"/>
      <c r="J35" s="21"/>
    </row>
    <row r="36" spans="1:11" x14ac:dyDescent="0.2">
      <c r="A36" s="12" t="s">
        <v>2</v>
      </c>
      <c r="B36" s="20">
        <f>B14/$B14</f>
        <v>1</v>
      </c>
      <c r="C36" s="20">
        <f t="shared" ref="C36:F36" si="13">C14/$B14</f>
        <v>1.7081217409086262</v>
      </c>
      <c r="D36" s="20">
        <f t="shared" si="13"/>
        <v>12.368358269997614</v>
      </c>
      <c r="E36" s="20">
        <f t="shared" si="13"/>
        <v>1.7895095600013633</v>
      </c>
      <c r="F36" s="20">
        <f t="shared" si="13"/>
        <v>1.8334753416720631</v>
      </c>
      <c r="G36" s="21"/>
      <c r="I36" s="21"/>
      <c r="J36" s="21"/>
    </row>
    <row r="37" spans="1:11" x14ac:dyDescent="0.2">
      <c r="A37" s="12" t="s">
        <v>3</v>
      </c>
      <c r="B37" s="20">
        <f>B15/$B15</f>
        <v>1</v>
      </c>
      <c r="C37" s="20">
        <f t="shared" ref="C37:F37" si="14">C15/$B15</f>
        <v>1.6892061781609196</v>
      </c>
      <c r="D37" s="20">
        <f t="shared" si="14"/>
        <v>12.338362068965518</v>
      </c>
      <c r="E37" s="20">
        <f t="shared" si="14"/>
        <v>1.8683548850574712</v>
      </c>
      <c r="F37" s="20">
        <f t="shared" si="14"/>
        <v>1.9264547413793103</v>
      </c>
    </row>
    <row r="38" spans="1:11" x14ac:dyDescent="0.2">
      <c r="A38" s="12" t="s">
        <v>4</v>
      </c>
      <c r="B38" s="20">
        <f>B16/$B16</f>
        <v>1</v>
      </c>
      <c r="C38" s="20">
        <f t="shared" ref="C38:F38" si="15">C16/$B16</f>
        <v>1.599460464629004</v>
      </c>
      <c r="D38" s="20">
        <f t="shared" si="15"/>
        <v>12.940991592676985</v>
      </c>
      <c r="E38" s="20">
        <f t="shared" si="15"/>
        <v>1.6913386239228936</v>
      </c>
      <c r="F38" s="20">
        <f t="shared" si="15"/>
        <v>1.7253869725779838</v>
      </c>
    </row>
    <row r="39" spans="1:11" x14ac:dyDescent="0.2">
      <c r="A39" s="12" t="s">
        <v>5</v>
      </c>
      <c r="B39" s="20">
        <f>B17/$B17</f>
        <v>1</v>
      </c>
      <c r="C39" s="20">
        <f t="shared" ref="C39:F39" si="16">C17/$B17</f>
        <v>1.9476324365774171</v>
      </c>
      <c r="D39" s="20">
        <f t="shared" si="16"/>
        <v>3.087737235606109</v>
      </c>
      <c r="E39" s="20">
        <f t="shared" si="16"/>
        <v>2.0097130807080323</v>
      </c>
      <c r="F39" s="20">
        <f t="shared" si="16"/>
        <v>2.0301616716723112</v>
      </c>
    </row>
    <row r="40" spans="1:11" x14ac:dyDescent="0.2">
      <c r="A40" s="2" t="s">
        <v>85</v>
      </c>
      <c r="B40" s="20">
        <f t="shared" ref="B40" si="17">GEOMEAN(B24:B39)</f>
        <v>1</v>
      </c>
      <c r="C40" s="20">
        <f t="shared" ref="C40:F40" si="18">GEOMEAN(C24:C39)</f>
        <v>1.6126845866503123</v>
      </c>
      <c r="D40" s="20">
        <f t="shared" si="18"/>
        <v>5.7268698795566282</v>
      </c>
      <c r="E40" s="20">
        <f t="shared" si="18"/>
        <v>1.6607677624132051</v>
      </c>
      <c r="F40" s="20">
        <f t="shared" si="18"/>
        <v>1.7188099331003612</v>
      </c>
      <c r="G40" s="31">
        <f>D40/F40</f>
        <v>3.3318808375901074</v>
      </c>
    </row>
    <row r="41" spans="1:11" x14ac:dyDescent="0.2">
      <c r="B41" s="21"/>
      <c r="C41" s="21"/>
      <c r="D41" s="21"/>
      <c r="E41" s="21"/>
      <c r="F41" s="21"/>
      <c r="G41" s="1">
        <f>E40/C40</f>
        <v>1.0298156106661662</v>
      </c>
    </row>
    <row r="42" spans="1:11" x14ac:dyDescent="0.2">
      <c r="B42" s="21"/>
      <c r="C42" s="21"/>
      <c r="D42" s="21"/>
      <c r="F42" s="21"/>
    </row>
    <row r="45" spans="1:11" x14ac:dyDescent="0.2">
      <c r="G45" s="1" t="s">
        <v>128</v>
      </c>
    </row>
    <row r="46" spans="1:11" x14ac:dyDescent="0.2">
      <c r="A46" s="2" t="s">
        <v>88</v>
      </c>
      <c r="B46" s="23" t="s">
        <v>86</v>
      </c>
      <c r="C46" s="2" t="s">
        <v>111</v>
      </c>
      <c r="D46" s="2" t="s">
        <v>112</v>
      </c>
      <c r="E46" s="2" t="s">
        <v>109</v>
      </c>
      <c r="F46" s="2" t="s">
        <v>110</v>
      </c>
      <c r="G46" s="2" t="s">
        <v>111</v>
      </c>
      <c r="H46" s="2" t="s">
        <v>112</v>
      </c>
      <c r="I46" s="2" t="s">
        <v>109</v>
      </c>
      <c r="J46" s="2" t="s">
        <v>110</v>
      </c>
    </row>
    <row r="47" spans="1:11" x14ac:dyDescent="0.2">
      <c r="A47" s="12" t="s">
        <v>115</v>
      </c>
      <c r="B47" s="3">
        <v>623988</v>
      </c>
      <c r="C47" s="3">
        <v>625992</v>
      </c>
      <c r="D47" s="3">
        <v>625968</v>
      </c>
      <c r="E47" s="3">
        <v>625828</v>
      </c>
      <c r="F47" s="3">
        <v>625804</v>
      </c>
      <c r="G47" s="20">
        <f>(C47-$B47)/1024</f>
        <v>1.95703125</v>
      </c>
      <c r="H47" s="20">
        <f>(D47-$B47)/1024</f>
        <v>1.93359375</v>
      </c>
      <c r="I47" s="20">
        <f>(E47-$B47)/1024</f>
        <v>1.796875</v>
      </c>
      <c r="J47" s="20">
        <f>(F47-$B47)/1024</f>
        <v>1.7734375</v>
      </c>
      <c r="K47" s="25"/>
    </row>
    <row r="48" spans="1:11" x14ac:dyDescent="0.2">
      <c r="A48" s="12" t="s">
        <v>116</v>
      </c>
      <c r="B48" s="3">
        <v>166548</v>
      </c>
      <c r="C48" s="3">
        <v>167016</v>
      </c>
      <c r="D48" s="3">
        <v>167796</v>
      </c>
      <c r="E48" s="3">
        <v>167076</v>
      </c>
      <c r="F48" s="3">
        <v>167020</v>
      </c>
      <c r="G48" s="20">
        <f t="shared" ref="G48:G61" si="19">(C48-$B48)/1024</f>
        <v>0.45703125</v>
      </c>
      <c r="H48" s="20">
        <f>(D48-$B48)/1024</f>
        <v>1.21875</v>
      </c>
      <c r="I48" s="20">
        <f>(E48-$B48)/1024</f>
        <v>0.515625</v>
      </c>
      <c r="J48" s="20">
        <f t="shared" ref="J48:J61" si="20">(F48-$B48)/1024</f>
        <v>0.4609375</v>
      </c>
      <c r="K48" s="25"/>
    </row>
    <row r="49" spans="1:11" x14ac:dyDescent="0.2">
      <c r="A49" s="12" t="s">
        <v>117</v>
      </c>
      <c r="B49" s="3">
        <v>424120</v>
      </c>
      <c r="C49" s="3">
        <v>425676</v>
      </c>
      <c r="D49" s="3">
        <v>427916</v>
      </c>
      <c r="E49" s="3">
        <v>425304</v>
      </c>
      <c r="F49" s="3">
        <v>425328</v>
      </c>
      <c r="G49" s="20">
        <f t="shared" si="19"/>
        <v>1.51953125</v>
      </c>
      <c r="H49" s="20">
        <f>(D49-$B49)/1024</f>
        <v>3.70703125</v>
      </c>
      <c r="I49" s="20">
        <f>(E49-$B49)/1024</f>
        <v>1.15625</v>
      </c>
      <c r="J49" s="20">
        <f t="shared" si="20"/>
        <v>1.1796875</v>
      </c>
      <c r="K49" s="25"/>
    </row>
    <row r="50" spans="1:11" x14ac:dyDescent="0.2">
      <c r="A50" s="12" t="s">
        <v>118</v>
      </c>
      <c r="B50" s="3">
        <v>420396</v>
      </c>
      <c r="C50" s="3">
        <v>422404</v>
      </c>
      <c r="D50" s="3">
        <v>422488</v>
      </c>
      <c r="E50" s="3">
        <v>422024</v>
      </c>
      <c r="F50" s="3">
        <v>422052</v>
      </c>
      <c r="G50" s="20">
        <f t="shared" si="19"/>
        <v>1.9609375</v>
      </c>
      <c r="H50" s="20">
        <f>(D50-$B50)/1024</f>
        <v>2.04296875</v>
      </c>
      <c r="I50" s="20">
        <f>(E50-$B50)/1024</f>
        <v>1.58984375</v>
      </c>
      <c r="J50" s="20">
        <f t="shared" si="20"/>
        <v>1.6171875</v>
      </c>
      <c r="K50" s="25"/>
    </row>
    <row r="51" spans="1:11" x14ac:dyDescent="0.2">
      <c r="A51" s="58" t="s">
        <v>156</v>
      </c>
      <c r="B51" s="69">
        <v>247416</v>
      </c>
      <c r="C51" s="69">
        <v>249712</v>
      </c>
      <c r="D51" s="69">
        <v>249712</v>
      </c>
      <c r="E51" s="69">
        <v>249136</v>
      </c>
      <c r="F51" s="69">
        <v>249200</v>
      </c>
      <c r="G51" s="68">
        <f t="shared" ref="G51:G58" si="21">(C51-$B51)/1024</f>
        <v>2.2421875</v>
      </c>
      <c r="H51" s="68">
        <f t="shared" ref="H51:H58" si="22">(D51-$B51)/1024</f>
        <v>2.2421875</v>
      </c>
      <c r="I51" s="68">
        <f t="shared" ref="I51:I58" si="23">(E51-$B51)/1024</f>
        <v>1.6796875</v>
      </c>
      <c r="J51" s="68">
        <f t="shared" ref="J51:J58" si="24">(F51-$B51)/1024</f>
        <v>1.7421875</v>
      </c>
      <c r="K51" s="25"/>
    </row>
    <row r="52" spans="1:11" x14ac:dyDescent="0.2">
      <c r="A52" s="12" t="s">
        <v>119</v>
      </c>
      <c r="B52" s="3">
        <v>490640</v>
      </c>
      <c r="C52" s="3">
        <v>495192</v>
      </c>
      <c r="D52" s="3">
        <v>504596</v>
      </c>
      <c r="E52" s="3">
        <v>494404</v>
      </c>
      <c r="F52" s="3">
        <v>494656</v>
      </c>
      <c r="G52" s="20">
        <f t="shared" si="21"/>
        <v>4.4453125</v>
      </c>
      <c r="H52" s="20">
        <f t="shared" si="22"/>
        <v>13.62890625</v>
      </c>
      <c r="I52" s="20">
        <f t="shared" si="23"/>
        <v>3.67578125</v>
      </c>
      <c r="J52" s="20">
        <f t="shared" si="24"/>
        <v>3.921875</v>
      </c>
      <c r="K52" s="25"/>
    </row>
    <row r="53" spans="1:11" x14ac:dyDescent="0.2">
      <c r="A53" s="12" t="s">
        <v>120</v>
      </c>
      <c r="B53" s="3">
        <v>159952</v>
      </c>
      <c r="C53" s="3">
        <v>162632</v>
      </c>
      <c r="D53" s="3">
        <v>167692</v>
      </c>
      <c r="E53" s="3">
        <v>162452</v>
      </c>
      <c r="F53" s="3">
        <v>162660</v>
      </c>
      <c r="G53" s="20">
        <f t="shared" si="21"/>
        <v>2.6171875</v>
      </c>
      <c r="H53" s="20">
        <f t="shared" si="22"/>
        <v>7.55859375</v>
      </c>
      <c r="I53" s="20">
        <f t="shared" si="23"/>
        <v>2.44140625</v>
      </c>
      <c r="J53" s="20">
        <f t="shared" si="24"/>
        <v>2.64453125</v>
      </c>
      <c r="K53" s="25"/>
    </row>
    <row r="54" spans="1:11" x14ac:dyDescent="0.2">
      <c r="A54" s="12" t="s">
        <v>121</v>
      </c>
      <c r="B54" s="3">
        <v>27644</v>
      </c>
      <c r="C54" s="3">
        <v>28364</v>
      </c>
      <c r="D54" s="3">
        <v>29636</v>
      </c>
      <c r="E54" s="3">
        <v>28308</v>
      </c>
      <c r="F54" s="3">
        <v>28296</v>
      </c>
      <c r="G54" s="20">
        <f t="shared" si="21"/>
        <v>0.703125</v>
      </c>
      <c r="H54" s="20">
        <f t="shared" si="22"/>
        <v>1.9453125</v>
      </c>
      <c r="I54" s="20">
        <f t="shared" si="23"/>
        <v>0.6484375</v>
      </c>
      <c r="J54" s="20">
        <f t="shared" si="24"/>
        <v>0.63671875</v>
      </c>
      <c r="K54" s="25"/>
    </row>
    <row r="55" spans="1:11" x14ac:dyDescent="0.2">
      <c r="A55" s="12" t="s">
        <v>122</v>
      </c>
      <c r="B55" s="3">
        <v>743004</v>
      </c>
      <c r="C55" s="3">
        <v>745468</v>
      </c>
      <c r="D55" s="3">
        <v>745992</v>
      </c>
      <c r="E55" s="3">
        <v>745384</v>
      </c>
      <c r="F55" s="3">
        <v>745524</v>
      </c>
      <c r="G55" s="20">
        <f t="shared" si="21"/>
        <v>2.40625</v>
      </c>
      <c r="H55" s="20">
        <f t="shared" si="22"/>
        <v>2.91796875</v>
      </c>
      <c r="I55" s="20">
        <f t="shared" si="23"/>
        <v>2.32421875</v>
      </c>
      <c r="J55" s="20">
        <f t="shared" si="24"/>
        <v>2.4609375</v>
      </c>
      <c r="K55" s="25"/>
    </row>
    <row r="56" spans="1:11" x14ac:dyDescent="0.2">
      <c r="A56" s="12" t="s">
        <v>0</v>
      </c>
      <c r="B56" s="3">
        <v>4056652</v>
      </c>
      <c r="C56" s="3">
        <v>4058360</v>
      </c>
      <c r="D56" s="3">
        <v>4058448</v>
      </c>
      <c r="E56" s="3">
        <v>4058224</v>
      </c>
      <c r="F56" s="3">
        <v>4058300</v>
      </c>
      <c r="G56" s="20">
        <f t="shared" si="21"/>
        <v>1.66796875</v>
      </c>
      <c r="H56" s="20">
        <f t="shared" si="22"/>
        <v>1.75390625</v>
      </c>
      <c r="I56" s="20">
        <f t="shared" si="23"/>
        <v>1.53515625</v>
      </c>
      <c r="J56" s="20">
        <f t="shared" si="24"/>
        <v>1.609375</v>
      </c>
      <c r="K56" s="25"/>
    </row>
    <row r="57" spans="1:11" x14ac:dyDescent="0.2">
      <c r="A57" s="12" t="s">
        <v>1</v>
      </c>
      <c r="B57" s="3">
        <v>3302240</v>
      </c>
      <c r="C57" s="3">
        <v>3303732</v>
      </c>
      <c r="D57" s="3">
        <v>3303936</v>
      </c>
      <c r="E57" s="3">
        <v>3303668</v>
      </c>
      <c r="F57" s="3">
        <v>3303576</v>
      </c>
      <c r="G57" s="20">
        <f t="shared" si="21"/>
        <v>1.45703125</v>
      </c>
      <c r="H57" s="20">
        <f t="shared" si="22"/>
        <v>1.65625</v>
      </c>
      <c r="I57" s="20">
        <f t="shared" si="23"/>
        <v>1.39453125</v>
      </c>
      <c r="J57" s="20">
        <f t="shared" si="24"/>
        <v>1.3046875</v>
      </c>
      <c r="K57" s="25"/>
    </row>
    <row r="58" spans="1:11" x14ac:dyDescent="0.2">
      <c r="A58" s="58" t="s">
        <v>157</v>
      </c>
      <c r="B58" s="69">
        <v>247668</v>
      </c>
      <c r="C58" s="69">
        <v>249648</v>
      </c>
      <c r="D58" s="69">
        <v>249776</v>
      </c>
      <c r="E58" s="69">
        <v>249136</v>
      </c>
      <c r="F58" s="69">
        <v>249200</v>
      </c>
      <c r="G58" s="68">
        <f t="shared" si="21"/>
        <v>1.93359375</v>
      </c>
      <c r="H58" s="68">
        <f t="shared" si="22"/>
        <v>2.05859375</v>
      </c>
      <c r="I58" s="68">
        <f t="shared" si="23"/>
        <v>1.43359375</v>
      </c>
      <c r="J58" s="68">
        <f t="shared" si="24"/>
        <v>1.49609375</v>
      </c>
      <c r="K58" s="25"/>
    </row>
    <row r="59" spans="1:11" x14ac:dyDescent="0.2">
      <c r="A59" s="12" t="s">
        <v>2</v>
      </c>
      <c r="B59" s="3">
        <v>491012</v>
      </c>
      <c r="C59" s="3">
        <v>495100</v>
      </c>
      <c r="D59" s="3">
        <v>504536</v>
      </c>
      <c r="E59" s="3">
        <v>494452</v>
      </c>
      <c r="F59" s="3">
        <v>494664</v>
      </c>
      <c r="G59" s="20">
        <f t="shared" si="19"/>
        <v>3.9921875</v>
      </c>
      <c r="H59" s="20">
        <f>(D59-$B59)/1024</f>
        <v>13.20703125</v>
      </c>
      <c r="I59" s="20">
        <f>(E59-$B59)/1024</f>
        <v>3.359375</v>
      </c>
      <c r="J59" s="20">
        <f t="shared" si="20"/>
        <v>3.56640625</v>
      </c>
      <c r="K59" s="25"/>
    </row>
    <row r="60" spans="1:11" x14ac:dyDescent="0.2">
      <c r="A60" s="12" t="s">
        <v>3</v>
      </c>
      <c r="B60" s="3">
        <v>160200</v>
      </c>
      <c r="C60" s="3">
        <v>162660</v>
      </c>
      <c r="D60" s="3">
        <v>167592</v>
      </c>
      <c r="E60" s="3">
        <v>162604</v>
      </c>
      <c r="F60" s="3">
        <v>162624</v>
      </c>
      <c r="G60" s="20">
        <f t="shared" si="19"/>
        <v>2.40234375</v>
      </c>
      <c r="H60" s="20">
        <f>(D60-$B60)/1024</f>
        <v>7.21875</v>
      </c>
      <c r="I60" s="20">
        <f>(E60-$B60)/1024</f>
        <v>2.34765625</v>
      </c>
      <c r="J60" s="20">
        <f t="shared" si="20"/>
        <v>2.3671875</v>
      </c>
      <c r="K60" s="25"/>
    </row>
    <row r="61" spans="1:11" x14ac:dyDescent="0.2">
      <c r="A61" s="12" t="s">
        <v>4</v>
      </c>
      <c r="B61" s="3">
        <v>28044</v>
      </c>
      <c r="C61" s="3">
        <v>28424</v>
      </c>
      <c r="D61" s="3">
        <v>28596</v>
      </c>
      <c r="E61" s="3">
        <v>28240</v>
      </c>
      <c r="F61" s="3">
        <v>28292</v>
      </c>
      <c r="G61" s="20">
        <f t="shared" si="19"/>
        <v>0.37109375</v>
      </c>
      <c r="H61" s="20">
        <f>(D61-$B61)/1024</f>
        <v>0.5390625</v>
      </c>
      <c r="I61" s="20">
        <f>(E61-$B61)/1024</f>
        <v>0.19140625</v>
      </c>
      <c r="J61" s="20">
        <f t="shared" si="20"/>
        <v>0.2421875</v>
      </c>
      <c r="K61" s="25"/>
    </row>
    <row r="62" spans="1:11" x14ac:dyDescent="0.2">
      <c r="A62" s="12" t="s">
        <v>5</v>
      </c>
      <c r="B62" s="3">
        <v>15206648</v>
      </c>
      <c r="C62" s="3">
        <v>15655200</v>
      </c>
      <c r="D62" s="3">
        <v>15701212</v>
      </c>
      <c r="E62" s="3">
        <v>15219108</v>
      </c>
      <c r="F62" s="3">
        <v>15481592</v>
      </c>
      <c r="G62" s="29">
        <v>37</v>
      </c>
      <c r="H62" s="29">
        <v>53</v>
      </c>
      <c r="I62" s="29">
        <v>20</v>
      </c>
      <c r="J62" s="29">
        <v>21</v>
      </c>
      <c r="K62" s="29"/>
    </row>
    <row r="63" spans="1:11" x14ac:dyDescent="0.2">
      <c r="A63" s="1" t="s">
        <v>66</v>
      </c>
      <c r="B63" s="22"/>
      <c r="C63" s="22"/>
      <c r="D63" s="22"/>
      <c r="E63" s="22"/>
      <c r="F63" s="22"/>
      <c r="G63" s="1">
        <f>GEOMEAN(G48:G62)</f>
        <v>2.0169587012564212</v>
      </c>
      <c r="H63" s="1">
        <f>GEOMEAN(H48:H62)</f>
        <v>3.5725812194968047</v>
      </c>
      <c r="I63" s="1">
        <f>GEOMEAN(I48:I62)</f>
        <v>1.6595842368126772</v>
      </c>
      <c r="J63" s="1">
        <f>GEOMEAN(J48:J62)</f>
        <v>1.7182016598897574</v>
      </c>
    </row>
    <row r="64" spans="1:11" x14ac:dyDescent="0.2">
      <c r="B64" s="22"/>
      <c r="C64" s="22"/>
      <c r="D64" s="22"/>
      <c r="E64" s="22"/>
      <c r="F64" s="22"/>
    </row>
    <row r="65" spans="2:6" x14ac:dyDescent="0.2">
      <c r="B65" s="22"/>
      <c r="C65" s="22"/>
      <c r="D65" s="22"/>
      <c r="E65" s="22"/>
      <c r="F65" s="2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03A9-3F83-6C49-99EA-B094B22E50E7}">
  <dimension ref="A1:K53"/>
  <sheetViews>
    <sheetView topLeftCell="A19" zoomScale="80" zoomScaleNormal="80" workbookViewId="0">
      <selection activeCell="G26" sqref="G26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6384" width="10.83203125" style="1"/>
  </cols>
  <sheetData>
    <row r="1" spans="1:11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11" x14ac:dyDescent="0.2">
      <c r="A2" s="2" t="s">
        <v>91</v>
      </c>
      <c r="B2" s="3">
        <v>26</v>
      </c>
      <c r="C2" s="3">
        <v>57</v>
      </c>
      <c r="D2" s="3">
        <v>410</v>
      </c>
      <c r="E2" s="3">
        <v>71</v>
      </c>
      <c r="F2" s="3">
        <v>74</v>
      </c>
      <c r="G2" s="21" t="s">
        <v>108</v>
      </c>
      <c r="K2" s="1" t="s">
        <v>107</v>
      </c>
    </row>
    <row r="3" spans="1:11" x14ac:dyDescent="0.2">
      <c r="A3" s="2" t="s">
        <v>92</v>
      </c>
      <c r="B3" s="3">
        <v>22</v>
      </c>
      <c r="C3" s="3">
        <v>23</v>
      </c>
      <c r="D3" s="3">
        <v>58</v>
      </c>
      <c r="E3" s="3">
        <v>24</v>
      </c>
      <c r="F3" s="3">
        <v>25</v>
      </c>
      <c r="G3" s="21"/>
    </row>
    <row r="4" spans="1:11" x14ac:dyDescent="0.2">
      <c r="A4" s="2" t="s">
        <v>93</v>
      </c>
      <c r="B4" s="3">
        <v>5557</v>
      </c>
      <c r="C4" s="3">
        <v>5691</v>
      </c>
      <c r="D4" s="3">
        <v>14340</v>
      </c>
      <c r="E4" s="3">
        <v>6498</v>
      </c>
      <c r="F4" s="3">
        <v>6214</v>
      </c>
      <c r="G4" s="21"/>
    </row>
    <row r="5" spans="1:11" x14ac:dyDescent="0.2">
      <c r="A5" s="2" t="s">
        <v>94</v>
      </c>
      <c r="B5" s="3">
        <v>44</v>
      </c>
      <c r="C5" s="24">
        <v>41</v>
      </c>
      <c r="D5" s="3">
        <v>75</v>
      </c>
      <c r="E5" s="3">
        <v>42</v>
      </c>
      <c r="F5" s="24">
        <v>43</v>
      </c>
      <c r="G5" s="21" t="s">
        <v>108</v>
      </c>
    </row>
    <row r="6" spans="1:11" x14ac:dyDescent="0.2">
      <c r="A6" s="2" t="s">
        <v>95</v>
      </c>
      <c r="B6" s="3">
        <v>2625</v>
      </c>
      <c r="C6" s="3">
        <v>4677</v>
      </c>
      <c r="D6" s="3">
        <v>29042</v>
      </c>
      <c r="E6" s="3">
        <v>4781</v>
      </c>
      <c r="F6" s="3">
        <v>4553</v>
      </c>
      <c r="G6" s="21"/>
    </row>
    <row r="7" spans="1:11" x14ac:dyDescent="0.2">
      <c r="A7" s="2" t="s">
        <v>96</v>
      </c>
      <c r="B7" s="3">
        <v>3865</v>
      </c>
      <c r="C7" s="3">
        <v>5879</v>
      </c>
      <c r="D7" s="3">
        <v>30555</v>
      </c>
      <c r="E7" s="3">
        <v>5516</v>
      </c>
      <c r="F7" s="3">
        <v>5821</v>
      </c>
      <c r="G7" s="21"/>
    </row>
    <row r="8" spans="1:11" x14ac:dyDescent="0.2">
      <c r="A8" s="2" t="s">
        <v>97</v>
      </c>
      <c r="B8" s="3">
        <v>1809</v>
      </c>
      <c r="C8" s="3">
        <v>1821</v>
      </c>
      <c r="D8" s="3">
        <v>1842</v>
      </c>
      <c r="E8" s="3">
        <v>1822</v>
      </c>
      <c r="F8" s="3">
        <v>1823</v>
      </c>
      <c r="G8" s="21"/>
    </row>
    <row r="9" spans="1:11" x14ac:dyDescent="0.2">
      <c r="A9" s="2" t="s">
        <v>98</v>
      </c>
      <c r="B9" s="3">
        <v>3764</v>
      </c>
      <c r="C9" s="3">
        <v>3685</v>
      </c>
      <c r="D9" s="3">
        <v>3712</v>
      </c>
      <c r="E9" s="3">
        <v>3711</v>
      </c>
      <c r="F9" s="3">
        <v>3799</v>
      </c>
      <c r="G9" s="21"/>
    </row>
    <row r="10" spans="1:11" x14ac:dyDescent="0.2">
      <c r="A10" s="2" t="s">
        <v>99</v>
      </c>
      <c r="B10" s="3">
        <v>31</v>
      </c>
      <c r="C10" s="24">
        <v>83</v>
      </c>
      <c r="D10" s="3">
        <v>894</v>
      </c>
      <c r="E10" s="24">
        <v>98</v>
      </c>
      <c r="F10" s="24">
        <v>106</v>
      </c>
      <c r="G10" s="21" t="s">
        <v>108</v>
      </c>
    </row>
    <row r="11" spans="1:11" x14ac:dyDescent="0.2">
      <c r="A11" s="2" t="s">
        <v>100</v>
      </c>
      <c r="B11" s="3">
        <v>949</v>
      </c>
      <c r="C11" s="3">
        <v>1284</v>
      </c>
      <c r="D11" s="3">
        <v>7754</v>
      </c>
      <c r="E11" s="3">
        <v>1289</v>
      </c>
      <c r="F11" s="3">
        <v>1320</v>
      </c>
    </row>
    <row r="12" spans="1:11" x14ac:dyDescent="0.2">
      <c r="A12" s="4" t="s">
        <v>158</v>
      </c>
      <c r="B12" s="69">
        <v>5884</v>
      </c>
      <c r="C12" s="69">
        <v>6102</v>
      </c>
      <c r="D12" s="69">
        <v>15728</v>
      </c>
      <c r="E12" s="69">
        <v>6319</v>
      </c>
      <c r="F12" s="69">
        <v>6940</v>
      </c>
    </row>
    <row r="13" spans="1:11" x14ac:dyDescent="0.2">
      <c r="A13" s="2" t="s">
        <v>101</v>
      </c>
      <c r="B13" s="3">
        <v>472</v>
      </c>
      <c r="C13" s="3">
        <v>650</v>
      </c>
      <c r="D13" s="3">
        <v>3253</v>
      </c>
      <c r="E13" s="3">
        <v>693</v>
      </c>
      <c r="F13" s="3">
        <v>768</v>
      </c>
    </row>
    <row r="14" spans="1:11" x14ac:dyDescent="0.2">
      <c r="A14" s="2" t="s">
        <v>102</v>
      </c>
      <c r="B14" s="3">
        <v>54</v>
      </c>
      <c r="C14" s="3">
        <v>81</v>
      </c>
      <c r="D14" s="3">
        <v>339</v>
      </c>
      <c r="E14" s="3">
        <v>83</v>
      </c>
      <c r="F14" s="3">
        <v>91</v>
      </c>
    </row>
    <row r="15" spans="1:11" x14ac:dyDescent="0.2">
      <c r="A15" s="2"/>
    </row>
    <row r="17" spans="1:11" x14ac:dyDescent="0.2">
      <c r="A17" s="2" t="s">
        <v>87</v>
      </c>
      <c r="B17" s="2" t="s">
        <v>86</v>
      </c>
      <c r="C17" s="2" t="s">
        <v>111</v>
      </c>
      <c r="D17" s="2" t="s">
        <v>112</v>
      </c>
      <c r="E17" s="2" t="s">
        <v>109</v>
      </c>
      <c r="F17" s="2" t="s">
        <v>110</v>
      </c>
    </row>
    <row r="18" spans="1:11" x14ac:dyDescent="0.2">
      <c r="A18" s="2" t="s">
        <v>91</v>
      </c>
      <c r="B18" s="20">
        <f>B2/$B2</f>
        <v>1</v>
      </c>
      <c r="C18" s="20">
        <f t="shared" ref="C18:F18" si="0">C2/$B2</f>
        <v>2.1923076923076925</v>
      </c>
      <c r="D18" s="20">
        <f t="shared" si="0"/>
        <v>15.76923076923077</v>
      </c>
      <c r="E18" s="20">
        <f t="shared" si="0"/>
        <v>2.7307692307692308</v>
      </c>
      <c r="F18" s="20">
        <f t="shared" si="0"/>
        <v>2.8461538461538463</v>
      </c>
      <c r="G18" s="21"/>
      <c r="I18" s="21"/>
      <c r="J18" s="21"/>
      <c r="K18" s="21"/>
    </row>
    <row r="19" spans="1:11" x14ac:dyDescent="0.2">
      <c r="A19" s="2" t="s">
        <v>92</v>
      </c>
      <c r="B19" s="20">
        <f>B3/$B3</f>
        <v>1</v>
      </c>
      <c r="C19" s="20">
        <f t="shared" ref="C19:F19" si="1">C3/$B3</f>
        <v>1.0454545454545454</v>
      </c>
      <c r="D19" s="20">
        <f t="shared" si="1"/>
        <v>2.6363636363636362</v>
      </c>
      <c r="E19" s="20">
        <f t="shared" si="1"/>
        <v>1.0909090909090908</v>
      </c>
      <c r="F19" s="20">
        <f t="shared" si="1"/>
        <v>1.1363636363636365</v>
      </c>
      <c r="G19" s="21"/>
      <c r="I19" s="21"/>
      <c r="J19" s="21"/>
      <c r="K19" s="21"/>
    </row>
    <row r="20" spans="1:11" x14ac:dyDescent="0.2">
      <c r="A20" s="2" t="s">
        <v>93</v>
      </c>
      <c r="B20" s="20">
        <f>B4/$B4</f>
        <v>1</v>
      </c>
      <c r="C20" s="20">
        <f t="shared" ref="C20:F20" si="2">C4/$B4</f>
        <v>1.0241137304300882</v>
      </c>
      <c r="D20" s="20">
        <f t="shared" si="2"/>
        <v>2.5805290624437647</v>
      </c>
      <c r="E20" s="20">
        <f t="shared" si="2"/>
        <v>1.1693359726471118</v>
      </c>
      <c r="F20" s="20">
        <f t="shared" si="2"/>
        <v>1.1182292603922981</v>
      </c>
      <c r="G20" s="21"/>
      <c r="I20" s="21"/>
      <c r="J20" s="21"/>
      <c r="K20" s="21"/>
    </row>
    <row r="21" spans="1:11" x14ac:dyDescent="0.2">
      <c r="A21" s="2" t="s">
        <v>94</v>
      </c>
      <c r="B21" s="20">
        <f>B5/$B5</f>
        <v>1</v>
      </c>
      <c r="C21" s="20">
        <f t="shared" ref="C21:F21" si="3">C5/$B5</f>
        <v>0.93181818181818177</v>
      </c>
      <c r="D21" s="20">
        <f t="shared" si="3"/>
        <v>1.7045454545454546</v>
      </c>
      <c r="E21" s="20">
        <f t="shared" si="3"/>
        <v>0.95454545454545459</v>
      </c>
      <c r="F21" s="20">
        <f t="shared" si="3"/>
        <v>0.97727272727272729</v>
      </c>
      <c r="G21" s="21"/>
      <c r="I21" s="21"/>
      <c r="J21" s="21"/>
      <c r="K21" s="21"/>
    </row>
    <row r="22" spans="1:11" x14ac:dyDescent="0.2">
      <c r="A22" s="2" t="s">
        <v>95</v>
      </c>
      <c r="B22" s="20">
        <f>B6/$B6</f>
        <v>1</v>
      </c>
      <c r="C22" s="20">
        <f t="shared" ref="C22:F22" si="4">C6/$B6</f>
        <v>1.7817142857142858</v>
      </c>
      <c r="D22" s="20">
        <f t="shared" si="4"/>
        <v>11.063619047619047</v>
      </c>
      <c r="E22" s="20">
        <f t="shared" si="4"/>
        <v>1.8213333333333332</v>
      </c>
      <c r="F22" s="20">
        <f t="shared" si="4"/>
        <v>1.7344761904761905</v>
      </c>
      <c r="G22" s="21"/>
      <c r="I22" s="21"/>
      <c r="J22" s="21"/>
      <c r="K22" s="21"/>
    </row>
    <row r="23" spans="1:11" x14ac:dyDescent="0.2">
      <c r="A23" s="2" t="s">
        <v>96</v>
      </c>
      <c r="B23" s="20">
        <f>B7/$B7</f>
        <v>1</v>
      </c>
      <c r="C23" s="20">
        <f t="shared" ref="C23:F23" si="5">C7/$B7</f>
        <v>1.5210866752910737</v>
      </c>
      <c r="D23" s="20">
        <f t="shared" si="5"/>
        <v>7.9055627425614485</v>
      </c>
      <c r="E23" s="20">
        <f t="shared" si="5"/>
        <v>1.4271668822768435</v>
      </c>
      <c r="F23" s="20">
        <f t="shared" si="5"/>
        <v>1.5060802069857697</v>
      </c>
      <c r="G23" s="21"/>
      <c r="I23" s="21"/>
      <c r="J23" s="21"/>
      <c r="K23" s="21"/>
    </row>
    <row r="24" spans="1:11" x14ac:dyDescent="0.2">
      <c r="A24" s="2" t="s">
        <v>97</v>
      </c>
      <c r="B24" s="20">
        <f>B8/$B8</f>
        <v>1</v>
      </c>
      <c r="C24" s="20">
        <f t="shared" ref="C24:F24" si="6">C8/$B8</f>
        <v>1.0066334991708126</v>
      </c>
      <c r="D24" s="20">
        <f t="shared" si="6"/>
        <v>1.0182421227197347</v>
      </c>
      <c r="E24" s="20">
        <f t="shared" si="6"/>
        <v>1.0071862907683804</v>
      </c>
      <c r="F24" s="20">
        <f t="shared" si="6"/>
        <v>1.007739082365948</v>
      </c>
      <c r="G24" s="21"/>
      <c r="I24" s="21"/>
      <c r="J24" s="21"/>
      <c r="K24" s="21"/>
    </row>
    <row r="25" spans="1:11" x14ac:dyDescent="0.2">
      <c r="A25" s="2" t="s">
        <v>98</v>
      </c>
      <c r="B25" s="20">
        <f>B9/$B9</f>
        <v>1</v>
      </c>
      <c r="C25" s="20">
        <f t="shared" ref="C25:F25" si="7">C9/$B9</f>
        <v>0.97901168969181718</v>
      </c>
      <c r="D25" s="20">
        <f t="shared" si="7"/>
        <v>0.98618490967056327</v>
      </c>
      <c r="E25" s="20">
        <f t="shared" si="7"/>
        <v>0.98591923485653565</v>
      </c>
      <c r="F25" s="20">
        <f t="shared" si="7"/>
        <v>1.0092986184909671</v>
      </c>
      <c r="G25" s="21"/>
      <c r="I25" s="21"/>
      <c r="J25" s="21"/>
      <c r="K25" s="21"/>
    </row>
    <row r="26" spans="1:11" x14ac:dyDescent="0.2">
      <c r="A26" s="2" t="s">
        <v>99</v>
      </c>
      <c r="B26" s="20">
        <f>B10/$B10</f>
        <v>1</v>
      </c>
      <c r="C26" s="20">
        <f t="shared" ref="C26:F26" si="8">C10/$B10</f>
        <v>2.6774193548387095</v>
      </c>
      <c r="D26" s="20">
        <f t="shared" si="8"/>
        <v>28.838709677419356</v>
      </c>
      <c r="E26" s="20">
        <f t="shared" si="8"/>
        <v>3.161290322580645</v>
      </c>
      <c r="F26" s="20">
        <f t="shared" si="8"/>
        <v>3.4193548387096775</v>
      </c>
      <c r="G26" s="21"/>
      <c r="I26" s="21"/>
      <c r="J26" s="21"/>
      <c r="K26" s="21"/>
    </row>
    <row r="27" spans="1:11" x14ac:dyDescent="0.2">
      <c r="A27" s="2" t="s">
        <v>100</v>
      </c>
      <c r="B27" s="20">
        <f>B11/$B11</f>
        <v>1</v>
      </c>
      <c r="C27" s="20">
        <f t="shared" ref="C27:F27" si="9">C11/$B11</f>
        <v>1.3530031612223392</v>
      </c>
      <c r="D27" s="20">
        <f t="shared" si="9"/>
        <v>8.1707060063224439</v>
      </c>
      <c r="E27" s="20">
        <f t="shared" si="9"/>
        <v>1.3582718651211803</v>
      </c>
      <c r="F27" s="20">
        <f t="shared" si="9"/>
        <v>1.3909378292939938</v>
      </c>
      <c r="G27" s="21"/>
      <c r="I27" s="21"/>
      <c r="J27" s="21"/>
      <c r="K27" s="21"/>
    </row>
    <row r="28" spans="1:11" x14ac:dyDescent="0.2">
      <c r="A28" s="4" t="s">
        <v>158</v>
      </c>
      <c r="B28" s="68">
        <f>B12/$B12</f>
        <v>1</v>
      </c>
      <c r="C28" s="68">
        <f t="shared" ref="C28:F28" si="10">C12/$B12</f>
        <v>1.0370496261046906</v>
      </c>
      <c r="D28" s="68">
        <f t="shared" si="10"/>
        <v>2.6730115567641062</v>
      </c>
      <c r="E28" s="68">
        <f t="shared" si="10"/>
        <v>1.073929299796057</v>
      </c>
      <c r="F28" s="68">
        <f t="shared" si="10"/>
        <v>1.1794697484704282</v>
      </c>
      <c r="G28" s="21"/>
      <c r="I28" s="21"/>
      <c r="J28" s="21"/>
      <c r="K28" s="21"/>
    </row>
    <row r="29" spans="1:11" x14ac:dyDescent="0.2">
      <c r="A29" s="2" t="s">
        <v>101</v>
      </c>
      <c r="B29" s="20">
        <f>B13/$B13</f>
        <v>1</v>
      </c>
      <c r="C29" s="20">
        <f t="shared" ref="C29:F29" si="11">C13/$B13</f>
        <v>1.3771186440677967</v>
      </c>
      <c r="D29" s="20">
        <f t="shared" si="11"/>
        <v>6.8919491525423728</v>
      </c>
      <c r="E29" s="20">
        <f t="shared" si="11"/>
        <v>1.4682203389830508</v>
      </c>
      <c r="F29" s="20">
        <f t="shared" si="11"/>
        <v>1.6271186440677967</v>
      </c>
      <c r="G29" s="21"/>
      <c r="I29" s="21"/>
      <c r="J29" s="21"/>
      <c r="K29" s="21"/>
    </row>
    <row r="30" spans="1:11" x14ac:dyDescent="0.2">
      <c r="A30" s="2" t="s">
        <v>102</v>
      </c>
      <c r="B30" s="20">
        <f>B14/$B14</f>
        <v>1</v>
      </c>
      <c r="C30" s="20">
        <f t="shared" ref="C30:F30" si="12">C14/$B14</f>
        <v>1.5</v>
      </c>
      <c r="D30" s="20">
        <f t="shared" si="12"/>
        <v>6.2777777777777777</v>
      </c>
      <c r="E30" s="20">
        <f t="shared" si="12"/>
        <v>1.537037037037037</v>
      </c>
      <c r="F30" s="20">
        <f t="shared" si="12"/>
        <v>1.6851851851851851</v>
      </c>
      <c r="G30" s="21"/>
      <c r="I30" s="21"/>
      <c r="J30" s="21"/>
      <c r="K30" s="21"/>
    </row>
    <row r="31" spans="1:11" x14ac:dyDescent="0.2">
      <c r="A31" s="2" t="s">
        <v>160</v>
      </c>
      <c r="B31" s="20">
        <f>GEOMEAN(B18:B30)</f>
        <v>1</v>
      </c>
      <c r="C31" s="20">
        <f t="shared" ref="C31" si="13">GEOMEAN(C18:C30)</f>
        <v>1.3409621318138527</v>
      </c>
      <c r="D31" s="20">
        <f>GEOMEAN(D18:D30)</f>
        <v>4.6206638097694075</v>
      </c>
      <c r="E31" s="20">
        <f>GEOMEAN(E18:E30)</f>
        <v>1.4127695343529236</v>
      </c>
      <c r="F31" s="20">
        <f>GEOMEAN(F18:F30)</f>
        <v>1.4659923378379092</v>
      </c>
      <c r="G31" s="1">
        <f>D31/F31</f>
        <v>3.151901746351625</v>
      </c>
    </row>
    <row r="32" spans="1:11" x14ac:dyDescent="0.2">
      <c r="B32" s="21"/>
      <c r="C32" s="21"/>
      <c r="D32" s="21"/>
      <c r="E32" s="21"/>
      <c r="F32" s="21"/>
    </row>
    <row r="33" spans="1:11" x14ac:dyDescent="0.2">
      <c r="B33" s="21"/>
      <c r="C33" s="21"/>
      <c r="D33" s="21"/>
      <c r="E33" s="21"/>
      <c r="F33" s="21"/>
    </row>
    <row r="34" spans="1:11" x14ac:dyDescent="0.2">
      <c r="B34" s="21"/>
      <c r="C34" s="21"/>
      <c r="D34" s="21"/>
      <c r="E34" s="21"/>
      <c r="F34" s="21"/>
    </row>
    <row r="35" spans="1:11" x14ac:dyDescent="0.2">
      <c r="B35" s="21"/>
      <c r="C35" s="21"/>
      <c r="D35" s="21"/>
      <c r="E35" s="21"/>
      <c r="F35" s="21"/>
      <c r="G35" s="1">
        <f>E31/C31</f>
        <v>1.0535491650625068</v>
      </c>
    </row>
    <row r="39" spans="1:11" x14ac:dyDescent="0.2">
      <c r="A39" s="2" t="s">
        <v>88</v>
      </c>
      <c r="B39" s="23" t="s">
        <v>86</v>
      </c>
      <c r="C39" s="2" t="s">
        <v>111</v>
      </c>
      <c r="D39" s="2" t="s">
        <v>112</v>
      </c>
      <c r="E39" s="2" t="s">
        <v>109</v>
      </c>
      <c r="F39" s="2" t="s">
        <v>110</v>
      </c>
      <c r="G39" s="2" t="s">
        <v>111</v>
      </c>
      <c r="H39" s="2" t="s">
        <v>109</v>
      </c>
      <c r="I39" s="2" t="s">
        <v>112</v>
      </c>
      <c r="J39" s="2" t="s">
        <v>110</v>
      </c>
    </row>
    <row r="40" spans="1:11" x14ac:dyDescent="0.2">
      <c r="A40" s="2" t="s">
        <v>91</v>
      </c>
      <c r="B40" s="3">
        <v>5360</v>
      </c>
      <c r="C40" s="3">
        <v>7224</v>
      </c>
      <c r="D40" s="3">
        <v>7156</v>
      </c>
      <c r="E40" s="3">
        <v>6888</v>
      </c>
      <c r="F40" s="3">
        <v>6884</v>
      </c>
      <c r="G40" s="26">
        <f>(C40-$B40)/1024</f>
        <v>1.8203125</v>
      </c>
      <c r="H40" s="26">
        <f>(E40-$B40)/1024</f>
        <v>1.4921875</v>
      </c>
      <c r="I40" s="26">
        <f>(D40-$B40)/1024</f>
        <v>1.75390625</v>
      </c>
      <c r="J40" s="26">
        <f>(F40-$B40)/1024</f>
        <v>1.48828125</v>
      </c>
      <c r="K40" s="25">
        <f t="shared" ref="K40:K52" si="14">I40-J40</f>
        <v>0.265625</v>
      </c>
    </row>
    <row r="41" spans="1:11" x14ac:dyDescent="0.2">
      <c r="A41" s="2" t="s">
        <v>92</v>
      </c>
      <c r="B41" s="3">
        <v>41536</v>
      </c>
      <c r="C41" s="3">
        <v>44076</v>
      </c>
      <c r="D41" s="3">
        <v>43832</v>
      </c>
      <c r="E41" s="3">
        <v>44008</v>
      </c>
      <c r="F41" s="3">
        <v>43944</v>
      </c>
      <c r="G41" s="26">
        <f t="shared" ref="G41:G52" si="15">(C41-$B41)/1024</f>
        <v>2.48046875</v>
      </c>
      <c r="H41" s="26">
        <f>(E41-$B41)/1024</f>
        <v>2.4140625</v>
      </c>
      <c r="I41" s="26">
        <f>(D41-$B41)/1024</f>
        <v>2.2421875</v>
      </c>
      <c r="J41" s="26">
        <f t="shared" ref="J41:J52" si="16">(F41-$B41)/1024</f>
        <v>2.3515625</v>
      </c>
      <c r="K41" s="25">
        <f t="shared" si="14"/>
        <v>-0.109375</v>
      </c>
    </row>
    <row r="42" spans="1:11" x14ac:dyDescent="0.2">
      <c r="A42" s="2" t="s">
        <v>93</v>
      </c>
      <c r="B42" s="3">
        <v>12587144</v>
      </c>
      <c r="C42" s="3">
        <v>12589148</v>
      </c>
      <c r="D42" s="3">
        <v>12589168</v>
      </c>
      <c r="E42" s="3">
        <v>12589072</v>
      </c>
      <c r="F42" s="3">
        <v>12588864</v>
      </c>
      <c r="G42" s="26">
        <f t="shared" si="15"/>
        <v>1.95703125</v>
      </c>
      <c r="H42" s="26">
        <f>(E42-$B42)/1024</f>
        <v>1.8828125</v>
      </c>
      <c r="I42" s="26">
        <f>(D42-$B42)/1024</f>
        <v>1.9765625</v>
      </c>
      <c r="J42" s="26">
        <f t="shared" si="16"/>
        <v>1.6796875</v>
      </c>
      <c r="K42" s="25">
        <f t="shared" si="14"/>
        <v>0.296875</v>
      </c>
    </row>
    <row r="43" spans="1:11" x14ac:dyDescent="0.2">
      <c r="A43" s="2" t="s">
        <v>94</v>
      </c>
      <c r="B43" s="3">
        <v>26204</v>
      </c>
      <c r="C43" s="3">
        <v>27948</v>
      </c>
      <c r="D43" s="3">
        <v>27920</v>
      </c>
      <c r="E43" s="3">
        <v>27652</v>
      </c>
      <c r="F43" s="3">
        <v>27744</v>
      </c>
      <c r="G43" s="26">
        <f t="shared" si="15"/>
        <v>1.703125</v>
      </c>
      <c r="H43" s="26">
        <f>(E43-$B43)/1024</f>
        <v>1.4140625</v>
      </c>
      <c r="I43" s="26">
        <f>(D43-$B43)/1024</f>
        <v>1.67578125</v>
      </c>
      <c r="J43" s="26">
        <f t="shared" si="16"/>
        <v>1.50390625</v>
      </c>
      <c r="K43" s="25">
        <f t="shared" si="14"/>
        <v>0.171875</v>
      </c>
    </row>
    <row r="44" spans="1:11" x14ac:dyDescent="0.2">
      <c r="A44" s="2" t="s">
        <v>95</v>
      </c>
      <c r="B44" s="3">
        <v>133964</v>
      </c>
      <c r="C44" s="3">
        <v>135920</v>
      </c>
      <c r="D44" s="3">
        <v>135900</v>
      </c>
      <c r="E44" s="3">
        <v>135776</v>
      </c>
      <c r="F44" s="3">
        <v>135804</v>
      </c>
      <c r="G44" s="26">
        <f t="shared" si="15"/>
        <v>1.91015625</v>
      </c>
      <c r="H44" s="26">
        <f>(E44-$B44)/1024</f>
        <v>1.76953125</v>
      </c>
      <c r="I44" s="26">
        <f>(D44-$B44)/1024</f>
        <v>1.890625</v>
      </c>
      <c r="J44" s="26">
        <f t="shared" si="16"/>
        <v>1.796875</v>
      </c>
      <c r="K44" s="25">
        <f t="shared" si="14"/>
        <v>9.375E-2</v>
      </c>
    </row>
    <row r="45" spans="1:11" x14ac:dyDescent="0.2">
      <c r="A45" s="2" t="s">
        <v>96</v>
      </c>
      <c r="B45" s="3">
        <v>133440</v>
      </c>
      <c r="C45" s="3">
        <v>135404</v>
      </c>
      <c r="D45" s="3">
        <v>135540</v>
      </c>
      <c r="E45" s="3">
        <v>135256</v>
      </c>
      <c r="F45" s="3">
        <v>135344</v>
      </c>
      <c r="G45" s="26">
        <f t="shared" si="15"/>
        <v>1.91796875</v>
      </c>
      <c r="H45" s="26">
        <f>(E45-$B45)/1024</f>
        <v>1.7734375</v>
      </c>
      <c r="I45" s="26">
        <f>(D45-$B45)/1024</f>
        <v>2.05078125</v>
      </c>
      <c r="J45" s="26">
        <f t="shared" si="16"/>
        <v>1.859375</v>
      </c>
      <c r="K45" s="25">
        <f t="shared" si="14"/>
        <v>0.19140625</v>
      </c>
    </row>
    <row r="46" spans="1:11" x14ac:dyDescent="0.2">
      <c r="A46" s="2" t="s">
        <v>97</v>
      </c>
      <c r="B46" s="3">
        <v>3629736</v>
      </c>
      <c r="C46" s="3">
        <v>3631776</v>
      </c>
      <c r="D46" s="3">
        <v>3631860</v>
      </c>
      <c r="E46" s="3">
        <v>3631788</v>
      </c>
      <c r="F46" s="3">
        <v>3631688</v>
      </c>
      <c r="G46" s="26">
        <f t="shared" si="15"/>
        <v>1.9921875</v>
      </c>
      <c r="H46" s="26">
        <f>(E46-$B46)/1024</f>
        <v>2.00390625</v>
      </c>
      <c r="I46" s="26">
        <f>(D46-$B46)/1024</f>
        <v>2.07421875</v>
      </c>
      <c r="J46" s="26">
        <f t="shared" si="16"/>
        <v>1.90625</v>
      </c>
      <c r="K46" s="25">
        <f t="shared" si="14"/>
        <v>0.16796875</v>
      </c>
    </row>
    <row r="47" spans="1:11" x14ac:dyDescent="0.2">
      <c r="A47" s="2" t="s">
        <v>98</v>
      </c>
      <c r="B47" s="3">
        <v>4092668</v>
      </c>
      <c r="C47" s="3">
        <v>4094604</v>
      </c>
      <c r="D47" s="3">
        <v>4094656</v>
      </c>
      <c r="E47" s="3">
        <v>4094596</v>
      </c>
      <c r="F47" s="3">
        <v>4094376</v>
      </c>
      <c r="G47" s="26">
        <f t="shared" si="15"/>
        <v>1.890625</v>
      </c>
      <c r="H47" s="26">
        <f>(E47-$B47)/1024</f>
        <v>1.8828125</v>
      </c>
      <c r="I47" s="26">
        <f>(D47-$B47)/1024</f>
        <v>1.94140625</v>
      </c>
      <c r="J47" s="26">
        <f t="shared" si="16"/>
        <v>1.66796875</v>
      </c>
      <c r="K47" s="25">
        <f t="shared" si="14"/>
        <v>0.2734375</v>
      </c>
    </row>
    <row r="48" spans="1:11" x14ac:dyDescent="0.2">
      <c r="A48" s="2" t="s">
        <v>99</v>
      </c>
      <c r="B48" s="3">
        <v>219128</v>
      </c>
      <c r="C48" s="3">
        <v>220972</v>
      </c>
      <c r="D48" s="3">
        <v>221176</v>
      </c>
      <c r="E48" s="3">
        <v>220688</v>
      </c>
      <c r="F48" s="3">
        <v>220900</v>
      </c>
      <c r="G48" s="26">
        <f t="shared" si="15"/>
        <v>1.80078125</v>
      </c>
      <c r="H48" s="26">
        <f>(E48-$B48)/1024</f>
        <v>1.5234375</v>
      </c>
      <c r="I48" s="26">
        <f>(D48-$B48)/1024</f>
        <v>2</v>
      </c>
      <c r="J48" s="26">
        <f t="shared" si="16"/>
        <v>1.73046875</v>
      </c>
      <c r="K48" s="25">
        <f t="shared" si="14"/>
        <v>0.26953125</v>
      </c>
    </row>
    <row r="49" spans="1:11" x14ac:dyDescent="0.2">
      <c r="A49" s="2" t="s">
        <v>100</v>
      </c>
      <c r="B49" s="3">
        <v>1440684</v>
      </c>
      <c r="C49" s="3">
        <v>1442876</v>
      </c>
      <c r="D49" s="3">
        <v>1442708</v>
      </c>
      <c r="E49" s="3">
        <v>1442688</v>
      </c>
      <c r="F49" s="3">
        <v>1442508</v>
      </c>
      <c r="G49" s="26">
        <f t="shared" si="15"/>
        <v>2.140625</v>
      </c>
      <c r="H49" s="26">
        <f>(E49-$B49)/1024</f>
        <v>1.95703125</v>
      </c>
      <c r="I49" s="26">
        <f>(D49-$B49)/1024</f>
        <v>1.9765625</v>
      </c>
      <c r="J49" s="26">
        <f t="shared" si="16"/>
        <v>1.78125</v>
      </c>
      <c r="K49" s="25">
        <f t="shared" si="14"/>
        <v>0.1953125</v>
      </c>
    </row>
    <row r="50" spans="1:11" x14ac:dyDescent="0.2">
      <c r="A50" s="4" t="s">
        <v>158</v>
      </c>
      <c r="B50" s="69">
        <v>23940</v>
      </c>
      <c r="C50" s="69">
        <v>25680</v>
      </c>
      <c r="D50" s="69">
        <v>25684</v>
      </c>
      <c r="E50" s="69">
        <v>25656</v>
      </c>
      <c r="F50" s="69">
        <v>25664</v>
      </c>
      <c r="G50" s="70">
        <f t="shared" ref="G50" si="17">(C50-$B50)/1024</f>
        <v>1.69921875</v>
      </c>
      <c r="H50" s="70">
        <f>(E50-$B50)/1024</f>
        <v>1.67578125</v>
      </c>
      <c r="I50" s="70">
        <f>(D50-$B50)/1024</f>
        <v>1.703125</v>
      </c>
      <c r="J50" s="70">
        <f t="shared" ref="J50" si="18">(F50-$B50)/1024</f>
        <v>1.68359375</v>
      </c>
      <c r="K50" s="25"/>
    </row>
    <row r="51" spans="1:11" x14ac:dyDescent="0.2">
      <c r="A51" s="2" t="s">
        <v>101</v>
      </c>
      <c r="B51" s="3">
        <v>6708</v>
      </c>
      <c r="C51" s="3">
        <v>8700</v>
      </c>
      <c r="D51" s="3">
        <v>8736</v>
      </c>
      <c r="E51" s="3">
        <v>8532</v>
      </c>
      <c r="F51" s="3">
        <v>8488</v>
      </c>
      <c r="G51" s="26">
        <f t="shared" si="15"/>
        <v>1.9453125</v>
      </c>
      <c r="H51" s="26">
        <f>(E51-$B51)/1024</f>
        <v>1.78125</v>
      </c>
      <c r="I51" s="26">
        <f>(D51-$B51)/1024</f>
        <v>1.98046875</v>
      </c>
      <c r="J51" s="26">
        <f t="shared" si="16"/>
        <v>1.73828125</v>
      </c>
      <c r="K51" s="25">
        <f t="shared" si="14"/>
        <v>0.2421875</v>
      </c>
    </row>
    <row r="52" spans="1:11" x14ac:dyDescent="0.2">
      <c r="A52" s="2" t="s">
        <v>102</v>
      </c>
      <c r="B52" s="3">
        <v>5508</v>
      </c>
      <c r="C52" s="3">
        <v>7580</v>
      </c>
      <c r="D52" s="3">
        <v>7592</v>
      </c>
      <c r="E52" s="3">
        <v>7444</v>
      </c>
      <c r="F52" s="3">
        <v>7320</v>
      </c>
      <c r="G52" s="26">
        <f t="shared" si="15"/>
        <v>2.0234375</v>
      </c>
      <c r="H52" s="26">
        <f>(E52-$B52)/1024</f>
        <v>1.890625</v>
      </c>
      <c r="I52" s="26">
        <f>(D52-$B52)/1024</f>
        <v>2.03515625</v>
      </c>
      <c r="J52" s="26">
        <f t="shared" si="16"/>
        <v>1.76953125</v>
      </c>
      <c r="K52" s="25">
        <f t="shared" si="14"/>
        <v>0.265625</v>
      </c>
    </row>
    <row r="53" spans="1:11" x14ac:dyDescent="0.2">
      <c r="A53" s="2" t="s">
        <v>66</v>
      </c>
      <c r="B53" s="2"/>
      <c r="C53" s="2"/>
      <c r="D53" s="2"/>
      <c r="F53" s="2"/>
      <c r="G53" s="27">
        <f>GEOMEAN(G40:G52)</f>
        <v>1.9356332780233232</v>
      </c>
      <c r="H53" s="27">
        <f>GEOMEAN(H40:H52)</f>
        <v>1.7881262061774543</v>
      </c>
      <c r="I53" s="27">
        <f>GEOMEAN(I40:I52)</f>
        <v>1.9401485266730638</v>
      </c>
      <c r="J53" s="27">
        <f>GEOMEAN(J40:J52)</f>
        <v>1.7550761801760975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F309-DB42-5D47-B840-18C61923646E}">
  <dimension ref="A1:O76"/>
  <sheetViews>
    <sheetView zoomScale="80" zoomScaleNormal="80" workbookViewId="0">
      <selection activeCell="G56" sqref="G56"/>
    </sheetView>
  </sheetViews>
  <sheetFormatPr baseColWidth="10" defaultRowHeight="18" x14ac:dyDescent="0.2"/>
  <cols>
    <col min="1" max="1" width="27.83203125" style="1" bestFit="1" customWidth="1"/>
    <col min="2" max="3" width="14.1640625" style="1" bestFit="1" customWidth="1"/>
    <col min="4" max="4" width="25.6640625" style="1" bestFit="1" customWidth="1"/>
    <col min="5" max="5" width="20.6640625" style="1" bestFit="1" customWidth="1"/>
    <col min="6" max="6" width="35.1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20.6640625" style="1" bestFit="1" customWidth="1"/>
    <col min="11" max="11" width="35.1640625" style="1" bestFit="1" customWidth="1"/>
    <col min="12" max="12" width="30.1640625" style="1" bestFit="1" customWidth="1"/>
    <col min="13" max="16384" width="10.83203125" style="1"/>
  </cols>
  <sheetData>
    <row r="1" spans="1:7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124</v>
      </c>
      <c r="F1" s="2" t="s">
        <v>113</v>
      </c>
      <c r="G1" s="2" t="s">
        <v>123</v>
      </c>
    </row>
    <row r="2" spans="1:7" x14ac:dyDescent="0.2">
      <c r="A2" s="12" t="s">
        <v>28</v>
      </c>
      <c r="B2" s="3">
        <v>32869</v>
      </c>
      <c r="C2" s="3">
        <v>61249</v>
      </c>
      <c r="D2" s="3">
        <v>393700</v>
      </c>
      <c r="E2" s="3">
        <v>322373</v>
      </c>
      <c r="F2" s="3">
        <v>458800</v>
      </c>
      <c r="G2" s="3">
        <v>388900</v>
      </c>
    </row>
    <row r="3" spans="1:7" x14ac:dyDescent="0.2">
      <c r="A3" s="12" t="s">
        <v>6</v>
      </c>
      <c r="B3" s="3">
        <v>25970</v>
      </c>
      <c r="C3" s="3">
        <v>44619</v>
      </c>
      <c r="D3" s="3">
        <v>56892</v>
      </c>
      <c r="E3" s="3">
        <v>51233</v>
      </c>
      <c r="F3" s="3">
        <v>58866</v>
      </c>
      <c r="G3" s="3">
        <v>52843</v>
      </c>
    </row>
    <row r="4" spans="1:7" x14ac:dyDescent="0.2">
      <c r="A4" s="12" t="s">
        <v>7</v>
      </c>
      <c r="B4" s="3">
        <v>39798</v>
      </c>
      <c r="C4" s="3">
        <v>104067</v>
      </c>
      <c r="D4" s="3">
        <v>181311</v>
      </c>
      <c r="E4" s="3">
        <v>143485</v>
      </c>
      <c r="F4" s="3">
        <v>195831</v>
      </c>
      <c r="G4" s="3">
        <v>157595</v>
      </c>
    </row>
    <row r="5" spans="1:7" x14ac:dyDescent="0.2">
      <c r="A5" s="12" t="s">
        <v>31</v>
      </c>
      <c r="B5" s="3">
        <v>24488</v>
      </c>
      <c r="C5" s="3">
        <v>41939</v>
      </c>
      <c r="D5" s="3">
        <v>41541</v>
      </c>
      <c r="E5" s="3">
        <v>41794</v>
      </c>
      <c r="F5" s="3">
        <v>41833</v>
      </c>
      <c r="G5" s="3">
        <v>41701</v>
      </c>
    </row>
    <row r="6" spans="1:7" x14ac:dyDescent="0.2">
      <c r="A6" s="12" t="s">
        <v>30</v>
      </c>
      <c r="B6" s="3">
        <v>29569</v>
      </c>
      <c r="C6" s="3">
        <v>55325</v>
      </c>
      <c r="D6" s="3">
        <v>226761</v>
      </c>
      <c r="E6" s="3">
        <v>143741</v>
      </c>
      <c r="F6" s="3">
        <v>260709</v>
      </c>
      <c r="G6" s="3">
        <v>176264</v>
      </c>
    </row>
    <row r="7" spans="1:7" x14ac:dyDescent="0.2">
      <c r="A7" s="12" t="s">
        <v>32</v>
      </c>
      <c r="B7" s="3">
        <v>11043</v>
      </c>
      <c r="C7" s="3">
        <v>23148</v>
      </c>
      <c r="D7" s="3">
        <v>80574</v>
      </c>
      <c r="E7" s="3">
        <v>62939</v>
      </c>
      <c r="F7" s="3">
        <v>92039</v>
      </c>
      <c r="G7" s="3">
        <v>73311</v>
      </c>
    </row>
    <row r="8" spans="1:7" x14ac:dyDescent="0.2">
      <c r="A8" s="12" t="s">
        <v>34</v>
      </c>
      <c r="B8" s="3">
        <v>38109</v>
      </c>
      <c r="C8" s="3">
        <v>71140</v>
      </c>
      <c r="D8" s="3">
        <v>277611</v>
      </c>
      <c r="E8" s="3">
        <v>164814</v>
      </c>
      <c r="F8" s="3">
        <v>315309</v>
      </c>
      <c r="G8" s="3">
        <v>196404</v>
      </c>
    </row>
    <row r="9" spans="1:7" x14ac:dyDescent="0.2">
      <c r="A9" s="12" t="s">
        <v>36</v>
      </c>
      <c r="B9" s="3">
        <v>12007</v>
      </c>
      <c r="C9" s="3">
        <v>20963</v>
      </c>
      <c r="D9" s="3">
        <v>27253</v>
      </c>
      <c r="E9" s="3">
        <v>24849</v>
      </c>
      <c r="F9" s="3">
        <v>28443</v>
      </c>
      <c r="G9" s="3">
        <v>25916</v>
      </c>
    </row>
    <row r="10" spans="1:7" x14ac:dyDescent="0.2">
      <c r="A10" s="12" t="s">
        <v>11</v>
      </c>
      <c r="B10" s="3">
        <v>66451</v>
      </c>
      <c r="C10" s="3">
        <v>124404</v>
      </c>
      <c r="D10" s="3">
        <v>766000</v>
      </c>
      <c r="E10" s="3">
        <v>625600</v>
      </c>
      <c r="F10" s="3">
        <v>881100</v>
      </c>
      <c r="G10" s="3">
        <v>754600</v>
      </c>
    </row>
    <row r="11" spans="1:7" x14ac:dyDescent="0.2">
      <c r="A11" s="12" t="s">
        <v>13</v>
      </c>
      <c r="B11" s="3">
        <v>116294</v>
      </c>
      <c r="C11" s="3">
        <v>122291</v>
      </c>
      <c r="D11" s="3">
        <v>118549</v>
      </c>
      <c r="E11" s="3">
        <v>118093</v>
      </c>
      <c r="F11" s="3">
        <v>118090</v>
      </c>
      <c r="G11" s="3">
        <v>118523</v>
      </c>
    </row>
    <row r="12" spans="1:7" x14ac:dyDescent="0.2">
      <c r="A12" s="12" t="s">
        <v>15</v>
      </c>
      <c r="B12" s="3">
        <v>29341</v>
      </c>
      <c r="C12" s="3">
        <v>54869</v>
      </c>
      <c r="D12" s="3">
        <v>226410</v>
      </c>
      <c r="E12" s="3">
        <v>141824</v>
      </c>
      <c r="F12" s="3">
        <v>260330</v>
      </c>
      <c r="G12" s="3">
        <v>174995</v>
      </c>
    </row>
    <row r="13" spans="1:7" x14ac:dyDescent="0.2">
      <c r="A13" s="12" t="s">
        <v>16</v>
      </c>
      <c r="B13" s="3">
        <v>11136</v>
      </c>
      <c r="C13" s="3">
        <v>23149</v>
      </c>
      <c r="D13" s="3">
        <v>80515</v>
      </c>
      <c r="E13" s="3">
        <v>62926</v>
      </c>
      <c r="F13" s="3">
        <v>91966</v>
      </c>
      <c r="G13" s="3">
        <v>73369</v>
      </c>
    </row>
    <row r="14" spans="1:7" x14ac:dyDescent="0.2">
      <c r="A14" s="12" t="s">
        <v>19</v>
      </c>
      <c r="B14" s="3">
        <v>38181</v>
      </c>
      <c r="C14" s="3">
        <v>71419</v>
      </c>
      <c r="D14" s="3">
        <v>275313</v>
      </c>
      <c r="E14" s="3">
        <v>166059</v>
      </c>
      <c r="F14" s="3">
        <v>316958</v>
      </c>
      <c r="G14" s="3">
        <v>197495</v>
      </c>
    </row>
    <row r="15" spans="1:7" x14ac:dyDescent="0.2">
      <c r="A15" s="12" t="s">
        <v>21</v>
      </c>
      <c r="B15" s="3">
        <v>31298</v>
      </c>
      <c r="C15" s="3">
        <v>64447</v>
      </c>
      <c r="D15" s="3">
        <v>81707</v>
      </c>
      <c r="E15" s="3">
        <v>76384</v>
      </c>
      <c r="F15" s="3">
        <v>85929</v>
      </c>
      <c r="G15" s="3">
        <v>80178</v>
      </c>
    </row>
    <row r="16" spans="1:7" x14ac:dyDescent="0.2">
      <c r="B16" s="22"/>
      <c r="C16" s="22"/>
      <c r="D16" s="22"/>
      <c r="E16" s="22"/>
      <c r="F16" s="22"/>
      <c r="G16" s="22"/>
    </row>
    <row r="17" spans="1:15" x14ac:dyDescent="0.2">
      <c r="B17" s="22"/>
      <c r="C17" s="22"/>
      <c r="D17" s="22"/>
      <c r="E17" s="22"/>
      <c r="F17" s="22"/>
      <c r="G17" s="22"/>
    </row>
    <row r="18" spans="1:15" x14ac:dyDescent="0.2">
      <c r="B18" s="22"/>
      <c r="C18" s="22"/>
      <c r="D18" s="22"/>
      <c r="E18" s="22"/>
      <c r="F18" s="22"/>
      <c r="G18" s="22"/>
    </row>
    <row r="21" spans="1:15" x14ac:dyDescent="0.2">
      <c r="A21" s="2" t="s">
        <v>87</v>
      </c>
      <c r="B21" s="2" t="s">
        <v>86</v>
      </c>
      <c r="C21" s="2" t="s">
        <v>104</v>
      </c>
      <c r="D21" s="2" t="s">
        <v>109</v>
      </c>
      <c r="E21" s="2" t="s">
        <v>124</v>
      </c>
      <c r="F21" s="2" t="s">
        <v>113</v>
      </c>
      <c r="G21" s="2" t="s">
        <v>123</v>
      </c>
      <c r="I21" s="2" t="s">
        <v>87</v>
      </c>
      <c r="J21" s="2" t="s">
        <v>104</v>
      </c>
      <c r="K21" s="2" t="s">
        <v>113</v>
      </c>
      <c r="L21" s="2" t="s">
        <v>109</v>
      </c>
      <c r="M21" s="2" t="s">
        <v>123</v>
      </c>
      <c r="N21" s="2" t="s">
        <v>124</v>
      </c>
      <c r="O21" s="2"/>
    </row>
    <row r="22" spans="1:15" x14ac:dyDescent="0.2">
      <c r="A22" s="12" t="s">
        <v>115</v>
      </c>
      <c r="B22" s="20">
        <f t="shared" ref="B22:D35" si="0">B2/$B2</f>
        <v>1</v>
      </c>
      <c r="C22" s="20">
        <f t="shared" si="0"/>
        <v>1.8634275457117648</v>
      </c>
      <c r="D22" s="20">
        <f t="shared" si="0"/>
        <v>11.977851470990903</v>
      </c>
      <c r="E22" s="20">
        <f t="shared" ref="E22:G35" si="1">E2/$B2</f>
        <v>9.8078128327603515</v>
      </c>
      <c r="F22" s="20">
        <f t="shared" ref="F22:F35" si="2">F2/$B2</f>
        <v>13.95844108430436</v>
      </c>
      <c r="G22" s="20">
        <f t="shared" si="1"/>
        <v>11.831817213788067</v>
      </c>
      <c r="I22" s="12" t="s">
        <v>115</v>
      </c>
      <c r="J22" s="20">
        <f>C2/$C2</f>
        <v>1</v>
      </c>
      <c r="K22" s="20">
        <f t="shared" ref="K22:N35" si="3">D2/$C2</f>
        <v>6.4278600466946401</v>
      </c>
      <c r="L22" s="20">
        <f t="shared" si="3"/>
        <v>5.2633185847932209</v>
      </c>
      <c r="M22" s="20">
        <f t="shared" si="3"/>
        <v>7.4907345426047769</v>
      </c>
      <c r="N22" s="20">
        <f t="shared" si="3"/>
        <v>6.3494914202680857</v>
      </c>
      <c r="O22" s="20"/>
    </row>
    <row r="23" spans="1:15" x14ac:dyDescent="0.2">
      <c r="A23" s="12" t="s">
        <v>116</v>
      </c>
      <c r="B23" s="20">
        <f t="shared" si="0"/>
        <v>1</v>
      </c>
      <c r="C23" s="20">
        <f t="shared" si="0"/>
        <v>1.7180978051597997</v>
      </c>
      <c r="D23" s="20">
        <f t="shared" si="0"/>
        <v>2.1906815556411243</v>
      </c>
      <c r="E23" s="20">
        <f t="shared" si="1"/>
        <v>1.9727762803234501</v>
      </c>
      <c r="F23" s="20">
        <f t="shared" si="2"/>
        <v>2.2666923373122834</v>
      </c>
      <c r="G23" s="20">
        <f t="shared" si="1"/>
        <v>2.0347708894878704</v>
      </c>
      <c r="I23" s="12" t="s">
        <v>116</v>
      </c>
      <c r="J23" s="20">
        <f t="shared" ref="J23:J35" si="4">C3/$C3</f>
        <v>1</v>
      </c>
      <c r="K23" s="20">
        <f t="shared" si="3"/>
        <v>1.2750621932360653</v>
      </c>
      <c r="L23" s="20">
        <f t="shared" si="3"/>
        <v>1.1482328156166655</v>
      </c>
      <c r="M23" s="20">
        <f t="shared" si="3"/>
        <v>1.319303435756068</v>
      </c>
      <c r="N23" s="20">
        <f t="shared" si="3"/>
        <v>1.1843160985230508</v>
      </c>
      <c r="O23" s="20"/>
    </row>
    <row r="24" spans="1:15" x14ac:dyDescent="0.2">
      <c r="A24" s="12" t="s">
        <v>117</v>
      </c>
      <c r="B24" s="20">
        <f t="shared" si="0"/>
        <v>1</v>
      </c>
      <c r="C24" s="20">
        <f t="shared" si="0"/>
        <v>2.6148801447308911</v>
      </c>
      <c r="D24" s="20">
        <f t="shared" si="0"/>
        <v>4.5557816975727423</v>
      </c>
      <c r="E24" s="20">
        <f t="shared" si="1"/>
        <v>3.6053319262274486</v>
      </c>
      <c r="F24" s="20">
        <f t="shared" si="2"/>
        <v>4.9206241519674352</v>
      </c>
      <c r="G24" s="20">
        <f t="shared" si="1"/>
        <v>3.9598723553947432</v>
      </c>
      <c r="I24" s="12" t="s">
        <v>117</v>
      </c>
      <c r="J24" s="20">
        <f t="shared" si="4"/>
        <v>1</v>
      </c>
      <c r="K24" s="20">
        <f t="shared" si="3"/>
        <v>1.7422525872755052</v>
      </c>
      <c r="L24" s="20">
        <f t="shared" si="3"/>
        <v>1.3787752121229593</v>
      </c>
      <c r="M24" s="20">
        <f t="shared" si="3"/>
        <v>1.8817780852719883</v>
      </c>
      <c r="N24" s="20">
        <f t="shared" si="3"/>
        <v>1.5143609405479161</v>
      </c>
      <c r="O24" s="20"/>
    </row>
    <row r="25" spans="1:15" x14ac:dyDescent="0.2">
      <c r="A25" s="12" t="s">
        <v>118</v>
      </c>
      <c r="B25" s="20">
        <f t="shared" si="0"/>
        <v>1</v>
      </c>
      <c r="C25" s="20">
        <f t="shared" si="0"/>
        <v>1.7126347598823914</v>
      </c>
      <c r="D25" s="20">
        <f t="shared" si="0"/>
        <v>1.6963819013394315</v>
      </c>
      <c r="E25" s="20">
        <f t="shared" si="1"/>
        <v>1.7067134923227703</v>
      </c>
      <c r="F25" s="20">
        <f t="shared" si="2"/>
        <v>1.7083061091146685</v>
      </c>
      <c r="G25" s="20">
        <f t="shared" si="1"/>
        <v>1.7029157138190134</v>
      </c>
      <c r="I25" s="12" t="s">
        <v>118</v>
      </c>
      <c r="J25" s="20">
        <f t="shared" si="4"/>
        <v>1</v>
      </c>
      <c r="K25" s="20">
        <f t="shared" si="3"/>
        <v>0.99051002646701158</v>
      </c>
      <c r="L25" s="20">
        <f t="shared" si="3"/>
        <v>0.99654259758220276</v>
      </c>
      <c r="M25" s="20">
        <f t="shared" si="3"/>
        <v>0.99747251961181715</v>
      </c>
      <c r="N25" s="20">
        <f t="shared" si="3"/>
        <v>0.99432509120389134</v>
      </c>
      <c r="O25" s="20"/>
    </row>
    <row r="26" spans="1:15" x14ac:dyDescent="0.2">
      <c r="A26" s="12" t="s">
        <v>119</v>
      </c>
      <c r="B26" s="20">
        <f t="shared" si="0"/>
        <v>1</v>
      </c>
      <c r="C26" s="20">
        <f t="shared" si="0"/>
        <v>1.871047380702763</v>
      </c>
      <c r="D26" s="20">
        <f t="shared" si="0"/>
        <v>7.6688761878994898</v>
      </c>
      <c r="E26" s="20">
        <f t="shared" si="1"/>
        <v>4.8612059927626907</v>
      </c>
      <c r="F26" s="20">
        <f t="shared" si="2"/>
        <v>8.8169704758361807</v>
      </c>
      <c r="G26" s="20">
        <f t="shared" si="1"/>
        <v>5.9611079170753154</v>
      </c>
      <c r="I26" s="12" t="s">
        <v>119</v>
      </c>
      <c r="J26" s="20">
        <f t="shared" si="4"/>
        <v>1</v>
      </c>
      <c r="K26" s="20">
        <f t="shared" si="3"/>
        <v>4.0987076366922732</v>
      </c>
      <c r="L26" s="20">
        <f t="shared" si="3"/>
        <v>2.5981201988251241</v>
      </c>
      <c r="M26" s="20">
        <f t="shared" si="3"/>
        <v>4.7123181201988249</v>
      </c>
      <c r="N26" s="20">
        <f t="shared" si="3"/>
        <v>3.1859737912336197</v>
      </c>
      <c r="O26" s="20"/>
    </row>
    <row r="27" spans="1:15" x14ac:dyDescent="0.2">
      <c r="A27" s="12" t="s">
        <v>120</v>
      </c>
      <c r="B27" s="20">
        <f t="shared" si="0"/>
        <v>1</v>
      </c>
      <c r="C27" s="20">
        <f t="shared" si="0"/>
        <v>2.0961695191524043</v>
      </c>
      <c r="D27" s="20">
        <f t="shared" si="0"/>
        <v>7.2963868513990766</v>
      </c>
      <c r="E27" s="20">
        <f t="shared" si="1"/>
        <v>5.6994476138730414</v>
      </c>
      <c r="F27" s="20">
        <f t="shared" si="2"/>
        <v>8.3346011047722541</v>
      </c>
      <c r="G27" s="20">
        <f t="shared" si="1"/>
        <v>6.6386851399076336</v>
      </c>
      <c r="I27" s="12" t="s">
        <v>120</v>
      </c>
      <c r="J27" s="20">
        <f t="shared" si="4"/>
        <v>1</v>
      </c>
      <c r="K27" s="20">
        <f t="shared" si="3"/>
        <v>3.4808190772420944</v>
      </c>
      <c r="L27" s="20">
        <f t="shared" si="3"/>
        <v>2.7189822014860896</v>
      </c>
      <c r="M27" s="20">
        <f t="shared" si="3"/>
        <v>3.9761102471055816</v>
      </c>
      <c r="N27" s="20">
        <f t="shared" si="3"/>
        <v>3.1670554691550028</v>
      </c>
      <c r="O27" s="20"/>
    </row>
    <row r="28" spans="1:15" x14ac:dyDescent="0.2">
      <c r="A28" s="12" t="s">
        <v>121</v>
      </c>
      <c r="B28" s="20">
        <f t="shared" si="0"/>
        <v>1</v>
      </c>
      <c r="C28" s="20">
        <f t="shared" si="0"/>
        <v>1.8667506363326249</v>
      </c>
      <c r="D28" s="20">
        <f t="shared" si="0"/>
        <v>7.2846571675982048</v>
      </c>
      <c r="E28" s="20">
        <f t="shared" si="1"/>
        <v>4.3248051641344567</v>
      </c>
      <c r="F28" s="20">
        <f t="shared" si="2"/>
        <v>8.2738723136267023</v>
      </c>
      <c r="G28" s="20">
        <f t="shared" si="1"/>
        <v>5.1537432102652918</v>
      </c>
      <c r="I28" s="12" t="s">
        <v>121</v>
      </c>
      <c r="J28" s="20">
        <f t="shared" si="4"/>
        <v>1</v>
      </c>
      <c r="K28" s="20">
        <f t="shared" si="3"/>
        <v>3.9023193702558334</v>
      </c>
      <c r="L28" s="20">
        <f t="shared" si="3"/>
        <v>2.3167556929997191</v>
      </c>
      <c r="M28" s="20">
        <f t="shared" si="3"/>
        <v>4.4322322181613716</v>
      </c>
      <c r="N28" s="20">
        <f t="shared" si="3"/>
        <v>2.7608096710711272</v>
      </c>
      <c r="O28" s="20"/>
    </row>
    <row r="29" spans="1:15" x14ac:dyDescent="0.2">
      <c r="A29" s="12" t="s">
        <v>122</v>
      </c>
      <c r="B29" s="20">
        <f t="shared" si="0"/>
        <v>1</v>
      </c>
      <c r="C29" s="20">
        <f t="shared" si="0"/>
        <v>1.745898226034813</v>
      </c>
      <c r="D29" s="20">
        <f t="shared" si="0"/>
        <v>2.2697593070708755</v>
      </c>
      <c r="E29" s="20">
        <f t="shared" si="1"/>
        <v>2.0695427667194135</v>
      </c>
      <c r="F29" s="20">
        <f t="shared" si="2"/>
        <v>2.36886816023986</v>
      </c>
      <c r="G29" s="20">
        <f t="shared" si="1"/>
        <v>2.1584075955692512</v>
      </c>
      <c r="I29" s="12" t="s">
        <v>122</v>
      </c>
      <c r="J29" s="20">
        <f t="shared" si="4"/>
        <v>1</v>
      </c>
      <c r="K29" s="20">
        <f t="shared" si="3"/>
        <v>1.3000524734055241</v>
      </c>
      <c r="L29" s="20">
        <f t="shared" si="3"/>
        <v>1.1853742307875781</v>
      </c>
      <c r="M29" s="20">
        <f t="shared" si="3"/>
        <v>1.3568191575633259</v>
      </c>
      <c r="N29" s="20">
        <f t="shared" si="3"/>
        <v>1.2362734341458761</v>
      </c>
      <c r="O29" s="20"/>
    </row>
    <row r="30" spans="1:15" x14ac:dyDescent="0.2">
      <c r="A30" s="12" t="s">
        <v>0</v>
      </c>
      <c r="B30" s="20">
        <f t="shared" si="0"/>
        <v>1</v>
      </c>
      <c r="C30" s="20">
        <f t="shared" si="0"/>
        <v>1.872116296218266</v>
      </c>
      <c r="D30" s="20">
        <f t="shared" si="0"/>
        <v>11.527290785691713</v>
      </c>
      <c r="E30" s="20">
        <f t="shared" si="1"/>
        <v>9.4144557643978271</v>
      </c>
      <c r="F30" s="20">
        <f t="shared" si="2"/>
        <v>13.259394140043039</v>
      </c>
      <c r="G30" s="20">
        <f t="shared" si="1"/>
        <v>11.355735805330243</v>
      </c>
      <c r="I30" s="12" t="s">
        <v>0</v>
      </c>
      <c r="J30" s="20">
        <f t="shared" si="4"/>
        <v>1</v>
      </c>
      <c r="K30" s="20">
        <f t="shared" si="3"/>
        <v>6.1573582842995398</v>
      </c>
      <c r="L30" s="20">
        <f t="shared" si="3"/>
        <v>5.0287772097360213</v>
      </c>
      <c r="M30" s="20">
        <f t="shared" si="3"/>
        <v>7.0825696922928527</v>
      </c>
      <c r="N30" s="20">
        <f t="shared" si="3"/>
        <v>6.0657213594418184</v>
      </c>
      <c r="O30" s="20"/>
    </row>
    <row r="31" spans="1:15" x14ac:dyDescent="0.2">
      <c r="A31" s="12" t="s">
        <v>1</v>
      </c>
      <c r="B31" s="20">
        <f t="shared" si="0"/>
        <v>1</v>
      </c>
      <c r="C31" s="20">
        <f t="shared" si="0"/>
        <v>1.051567578722892</v>
      </c>
      <c r="D31" s="20">
        <f t="shared" si="0"/>
        <v>1.0193905102584828</v>
      </c>
      <c r="E31" s="20">
        <f t="shared" si="1"/>
        <v>1.0154694137272775</v>
      </c>
      <c r="F31" s="20">
        <f t="shared" si="2"/>
        <v>1.0154436170395722</v>
      </c>
      <c r="G31" s="20">
        <f t="shared" si="1"/>
        <v>1.0191669389650369</v>
      </c>
      <c r="I31" s="12" t="s">
        <v>1</v>
      </c>
      <c r="J31" s="20">
        <f t="shared" si="4"/>
        <v>1</v>
      </c>
      <c r="K31" s="20">
        <f t="shared" si="3"/>
        <v>0.96940085533686049</v>
      </c>
      <c r="L31" s="20">
        <f t="shared" si="3"/>
        <v>0.96567204454947619</v>
      </c>
      <c r="M31" s="20">
        <f t="shared" si="3"/>
        <v>0.9656475128995593</v>
      </c>
      <c r="N31" s="20">
        <f t="shared" si="3"/>
        <v>0.96918824770424639</v>
      </c>
      <c r="O31" s="20"/>
    </row>
    <row r="32" spans="1:15" x14ac:dyDescent="0.2">
      <c r="A32" s="12" t="s">
        <v>2</v>
      </c>
      <c r="B32" s="20">
        <f t="shared" si="0"/>
        <v>1</v>
      </c>
      <c r="C32" s="20">
        <f t="shared" si="0"/>
        <v>1.8700453290617225</v>
      </c>
      <c r="D32" s="20">
        <f t="shared" si="0"/>
        <v>7.7165059132272251</v>
      </c>
      <c r="E32" s="20">
        <f t="shared" si="1"/>
        <v>4.8336457516785387</v>
      </c>
      <c r="F32" s="20">
        <f t="shared" si="2"/>
        <v>8.8725673971575603</v>
      </c>
      <c r="G32" s="20">
        <f t="shared" si="1"/>
        <v>5.9641798166388327</v>
      </c>
      <c r="I32" s="12" t="s">
        <v>2</v>
      </c>
      <c r="J32" s="20">
        <f t="shared" si="4"/>
        <v>1</v>
      </c>
      <c r="K32" s="20">
        <f t="shared" si="3"/>
        <v>4.126373726512238</v>
      </c>
      <c r="L32" s="20">
        <f t="shared" si="3"/>
        <v>2.584774645063697</v>
      </c>
      <c r="M32" s="20">
        <f t="shared" si="3"/>
        <v>4.7445734385536458</v>
      </c>
      <c r="N32" s="20">
        <f t="shared" si="3"/>
        <v>3.189323661812681</v>
      </c>
      <c r="O32" s="20"/>
    </row>
    <row r="33" spans="1:15" x14ac:dyDescent="0.2">
      <c r="A33" s="12" t="s">
        <v>3</v>
      </c>
      <c r="B33" s="20">
        <f t="shared" si="0"/>
        <v>1</v>
      </c>
      <c r="C33" s="20">
        <f t="shared" si="0"/>
        <v>2.078753591954023</v>
      </c>
      <c r="D33" s="20">
        <f t="shared" si="0"/>
        <v>7.2301544540229887</v>
      </c>
      <c r="E33" s="20">
        <f t="shared" si="1"/>
        <v>5.6506824712643677</v>
      </c>
      <c r="F33" s="20">
        <f t="shared" si="2"/>
        <v>8.2584410919540225</v>
      </c>
      <c r="G33" s="20">
        <f t="shared" si="1"/>
        <v>6.5884518678160919</v>
      </c>
      <c r="I33" s="12" t="s">
        <v>3</v>
      </c>
      <c r="J33" s="20">
        <f t="shared" si="4"/>
        <v>1</v>
      </c>
      <c r="K33" s="20">
        <f t="shared" si="3"/>
        <v>3.478120005183809</v>
      </c>
      <c r="L33" s="20">
        <f t="shared" si="3"/>
        <v>2.7183031664434747</v>
      </c>
      <c r="M33" s="20">
        <f t="shared" si="3"/>
        <v>3.9727850015119444</v>
      </c>
      <c r="N33" s="20">
        <f t="shared" si="3"/>
        <v>3.1694241651907209</v>
      </c>
      <c r="O33" s="20"/>
    </row>
    <row r="34" spans="1:15" x14ac:dyDescent="0.2">
      <c r="A34" s="12" t="s">
        <v>4</v>
      </c>
      <c r="B34" s="20">
        <f t="shared" si="0"/>
        <v>1</v>
      </c>
      <c r="C34" s="20">
        <f t="shared" si="0"/>
        <v>1.8705377019983762</v>
      </c>
      <c r="D34" s="20">
        <f t="shared" si="0"/>
        <v>7.2107330871375819</v>
      </c>
      <c r="E34" s="20">
        <f t="shared" si="1"/>
        <v>4.3492574840889446</v>
      </c>
      <c r="F34" s="20">
        <f t="shared" si="2"/>
        <v>8.301458840784683</v>
      </c>
      <c r="G34" s="20">
        <f t="shared" si="1"/>
        <v>5.1725989366438805</v>
      </c>
      <c r="I34" s="12" t="s">
        <v>4</v>
      </c>
      <c r="J34" s="20">
        <f t="shared" si="4"/>
        <v>1</v>
      </c>
      <c r="K34" s="20">
        <f t="shared" si="3"/>
        <v>3.8548985564065585</v>
      </c>
      <c r="L34" s="20">
        <f t="shared" si="3"/>
        <v>2.3251375684341702</v>
      </c>
      <c r="M34" s="20">
        <f t="shared" si="3"/>
        <v>4.438006692896848</v>
      </c>
      <c r="N34" s="20">
        <f t="shared" si="3"/>
        <v>2.7653005502737367</v>
      </c>
      <c r="O34" s="20"/>
    </row>
    <row r="35" spans="1:15" x14ac:dyDescent="0.2">
      <c r="A35" s="12" t="s">
        <v>5</v>
      </c>
      <c r="B35" s="20">
        <f t="shared" si="0"/>
        <v>1</v>
      </c>
      <c r="C35" s="20">
        <f t="shared" si="0"/>
        <v>2.0591411591795001</v>
      </c>
      <c r="D35" s="20">
        <f t="shared" si="0"/>
        <v>2.6106140967473959</v>
      </c>
      <c r="E35" s="20">
        <f t="shared" si="1"/>
        <v>2.4405393315866828</v>
      </c>
      <c r="F35" s="20">
        <f t="shared" si="2"/>
        <v>2.7455108952648732</v>
      </c>
      <c r="G35" s="20">
        <f t="shared" si="1"/>
        <v>2.5617611348967984</v>
      </c>
      <c r="I35" s="12" t="s">
        <v>5</v>
      </c>
      <c r="J35" s="20">
        <f t="shared" si="4"/>
        <v>1</v>
      </c>
      <c r="K35" s="20">
        <f t="shared" si="3"/>
        <v>1.2678169658789393</v>
      </c>
      <c r="L35" s="20">
        <f t="shared" si="3"/>
        <v>1.1852219653358573</v>
      </c>
      <c r="M35" s="20">
        <f t="shared" si="3"/>
        <v>1.333328161124645</v>
      </c>
      <c r="N35" s="20">
        <f t="shared" si="3"/>
        <v>1.2440920446258166</v>
      </c>
      <c r="O35" s="20"/>
    </row>
    <row r="36" spans="1:15" x14ac:dyDescent="0.2">
      <c r="A36" s="2" t="s">
        <v>85</v>
      </c>
      <c r="B36" s="20">
        <f t="shared" ref="B36:D36" si="5">GEOMEAN(B22:B35)</f>
        <v>1</v>
      </c>
      <c r="C36" s="20">
        <f t="shared" si="5"/>
        <v>1.8476181560103755</v>
      </c>
      <c r="D36" s="20">
        <f t="shared" si="5"/>
        <v>4.6655435097550528</v>
      </c>
      <c r="E36" s="20">
        <f>GEOMEAN(E22:E35)</f>
        <v>3.6745826883437345</v>
      </c>
      <c r="F36" s="20">
        <f>GEOMEAN(F22:F35)</f>
        <v>5.1245444978469061</v>
      </c>
      <c r="G36" s="20">
        <f>GEOMEAN(G22:G35)</f>
        <v>4.13737523717624</v>
      </c>
      <c r="H36" s="1">
        <f>F36/G36</f>
        <v>1.2385979525860964</v>
      </c>
      <c r="I36" s="2" t="s">
        <v>85</v>
      </c>
      <c r="J36" s="20">
        <f t="shared" ref="J36:K36" si="6">GEOMEAN(J22:J35)</f>
        <v>1</v>
      </c>
      <c r="K36" s="20">
        <f t="shared" si="6"/>
        <v>2.5251665202454601</v>
      </c>
      <c r="L36" s="20">
        <f>GEOMEAN(L22:L35)</f>
        <v>1.9888214869453251</v>
      </c>
      <c r="M36" s="20">
        <f>GEOMEAN(M22:M35)</f>
        <v>2.7735950099735485</v>
      </c>
      <c r="N36" s="20">
        <f>GEOMEAN(N22:N35)</f>
        <v>2.239302111054275</v>
      </c>
      <c r="O36" s="20"/>
    </row>
    <row r="37" spans="1:15" x14ac:dyDescent="0.2">
      <c r="B37" s="21"/>
      <c r="C37" s="21"/>
      <c r="D37" s="21"/>
      <c r="E37" s="21"/>
      <c r="F37" s="21"/>
      <c r="G37" s="21"/>
    </row>
    <row r="38" spans="1:15" x14ac:dyDescent="0.2">
      <c r="B38" s="21"/>
      <c r="C38" s="21"/>
      <c r="D38" s="21"/>
      <c r="E38" s="21"/>
      <c r="F38" s="21"/>
      <c r="G38" s="21"/>
    </row>
    <row r="42" spans="1:15" x14ac:dyDescent="0.2">
      <c r="A42" s="2" t="s">
        <v>88</v>
      </c>
      <c r="B42" s="23" t="s">
        <v>86</v>
      </c>
      <c r="C42" s="2" t="s">
        <v>104</v>
      </c>
      <c r="D42" s="2" t="s">
        <v>109</v>
      </c>
      <c r="E42" s="2" t="s">
        <v>124</v>
      </c>
      <c r="F42" s="2" t="s">
        <v>113</v>
      </c>
      <c r="G42" s="2" t="s">
        <v>123</v>
      </c>
      <c r="H42" s="2" t="s">
        <v>104</v>
      </c>
      <c r="I42" s="2" t="s">
        <v>109</v>
      </c>
      <c r="J42" s="2" t="s">
        <v>124</v>
      </c>
      <c r="K42" s="2" t="s">
        <v>113</v>
      </c>
      <c r="L42" s="2" t="s">
        <v>123</v>
      </c>
    </row>
    <row r="43" spans="1:15" x14ac:dyDescent="0.2">
      <c r="A43" s="12" t="s">
        <v>115</v>
      </c>
      <c r="B43" s="3">
        <v>623988</v>
      </c>
      <c r="C43" s="3">
        <v>631656</v>
      </c>
      <c r="D43" s="3">
        <v>679972</v>
      </c>
      <c r="E43" s="3">
        <v>632524</v>
      </c>
      <c r="F43" s="3">
        <v>680084</v>
      </c>
      <c r="G43" s="3">
        <v>632620</v>
      </c>
      <c r="H43" s="3">
        <f>(C43-$B43)/1024</f>
        <v>7.48828125</v>
      </c>
      <c r="I43" s="3">
        <f>(D43-$B43)/1024</f>
        <v>54.671875</v>
      </c>
      <c r="J43" s="3">
        <f>(E43-$B43)/1024</f>
        <v>8.3359375</v>
      </c>
      <c r="K43" s="3">
        <f>(F43-$B43)/1024</f>
        <v>54.78125</v>
      </c>
      <c r="L43" s="3">
        <f>(G43-$B43)/1024</f>
        <v>8.4296875</v>
      </c>
      <c r="M43" s="25">
        <f t="shared" ref="M43:M56" si="7">K43-L43</f>
        <v>46.3515625</v>
      </c>
    </row>
    <row r="44" spans="1:15" x14ac:dyDescent="0.2">
      <c r="A44" s="12" t="s">
        <v>116</v>
      </c>
      <c r="B44" s="3">
        <v>166548</v>
      </c>
      <c r="C44" s="3">
        <v>174952</v>
      </c>
      <c r="D44" s="3">
        <v>235356</v>
      </c>
      <c r="E44" s="3">
        <v>176120</v>
      </c>
      <c r="F44" s="3">
        <v>235524</v>
      </c>
      <c r="G44" s="3">
        <v>176192</v>
      </c>
      <c r="H44" s="3">
        <f t="shared" ref="H44:H55" si="8">(C44-$B44)/1024</f>
        <v>8.20703125</v>
      </c>
      <c r="I44" s="3">
        <f t="shared" ref="I44:I55" si="9">(D44-$B44)/1024</f>
        <v>67.1953125</v>
      </c>
      <c r="J44" s="3">
        <f t="shared" ref="J44:J55" si="10">(E44-$B44)/1024</f>
        <v>9.34765625</v>
      </c>
      <c r="K44" s="3">
        <f t="shared" ref="K44:K56" si="11">(F44-$B44)/1024</f>
        <v>67.359375</v>
      </c>
      <c r="L44" s="3">
        <f t="shared" ref="L44:L56" si="12">(G44-$B44)/1024</f>
        <v>9.41796875</v>
      </c>
      <c r="M44" s="25">
        <f t="shared" si="7"/>
        <v>57.94140625</v>
      </c>
    </row>
    <row r="45" spans="1:15" x14ac:dyDescent="0.2">
      <c r="A45" s="12" t="s">
        <v>117</v>
      </c>
      <c r="B45" s="3">
        <v>424120</v>
      </c>
      <c r="C45" s="3">
        <v>532096</v>
      </c>
      <c r="D45" s="3">
        <v>1837868</v>
      </c>
      <c r="E45" s="3">
        <v>535876</v>
      </c>
      <c r="F45" s="3">
        <v>1839932</v>
      </c>
      <c r="G45" s="3">
        <v>537444</v>
      </c>
      <c r="H45" s="3">
        <f t="shared" si="8"/>
        <v>105.4453125</v>
      </c>
      <c r="I45" s="3">
        <f t="shared" si="9"/>
        <v>1380.61328125</v>
      </c>
      <c r="J45" s="3">
        <f t="shared" si="10"/>
        <v>109.13671875</v>
      </c>
      <c r="K45" s="3">
        <f t="shared" si="11"/>
        <v>1382.62890625</v>
      </c>
      <c r="L45" s="3">
        <f t="shared" si="12"/>
        <v>110.66796875</v>
      </c>
      <c r="M45" s="25">
        <f t="shared" si="7"/>
        <v>1271.9609375</v>
      </c>
    </row>
    <row r="46" spans="1:15" x14ac:dyDescent="0.2">
      <c r="A46" s="12" t="s">
        <v>118</v>
      </c>
      <c r="B46" s="3">
        <v>420396</v>
      </c>
      <c r="C46" s="3">
        <v>427684</v>
      </c>
      <c r="D46" s="3">
        <v>472928</v>
      </c>
      <c r="E46" s="3">
        <v>428808</v>
      </c>
      <c r="F46" s="3">
        <v>473264</v>
      </c>
      <c r="G46" s="3">
        <v>428680</v>
      </c>
      <c r="H46" s="3">
        <f t="shared" si="8"/>
        <v>7.1171875</v>
      </c>
      <c r="I46" s="3">
        <f t="shared" si="9"/>
        <v>51.30078125</v>
      </c>
      <c r="J46" s="3">
        <f t="shared" si="10"/>
        <v>8.21484375</v>
      </c>
      <c r="K46" s="3">
        <f t="shared" si="11"/>
        <v>51.62890625</v>
      </c>
      <c r="L46" s="3">
        <f t="shared" si="12"/>
        <v>8.08984375</v>
      </c>
      <c r="M46" s="25">
        <f t="shared" si="7"/>
        <v>43.5390625</v>
      </c>
    </row>
    <row r="47" spans="1:15" x14ac:dyDescent="0.2">
      <c r="A47" s="12" t="s">
        <v>119</v>
      </c>
      <c r="B47" s="3">
        <v>490640</v>
      </c>
      <c r="C47" s="3">
        <v>508848</v>
      </c>
      <c r="D47" s="3">
        <v>739320</v>
      </c>
      <c r="E47" s="3">
        <v>511764</v>
      </c>
      <c r="F47" s="3">
        <v>741216</v>
      </c>
      <c r="G47" s="3">
        <v>513348</v>
      </c>
      <c r="H47" s="3">
        <f t="shared" si="8"/>
        <v>17.78125</v>
      </c>
      <c r="I47" s="3">
        <f t="shared" si="9"/>
        <v>242.8515625</v>
      </c>
      <c r="J47" s="3">
        <f t="shared" si="10"/>
        <v>20.62890625</v>
      </c>
      <c r="K47" s="3">
        <f t="shared" si="11"/>
        <v>244.703125</v>
      </c>
      <c r="L47" s="3">
        <f t="shared" si="12"/>
        <v>22.17578125</v>
      </c>
      <c r="M47" s="25">
        <f t="shared" si="7"/>
        <v>222.52734375</v>
      </c>
    </row>
    <row r="48" spans="1:15" x14ac:dyDescent="0.2">
      <c r="A48" s="12" t="s">
        <v>120</v>
      </c>
      <c r="B48" s="3">
        <v>159952</v>
      </c>
      <c r="C48" s="3">
        <v>172224</v>
      </c>
      <c r="D48" s="3">
        <v>275884</v>
      </c>
      <c r="E48" s="3">
        <v>176780</v>
      </c>
      <c r="F48" s="3">
        <v>273232</v>
      </c>
      <c r="G48" s="3">
        <v>177136</v>
      </c>
      <c r="H48" s="3">
        <f t="shared" si="8"/>
        <v>11.984375</v>
      </c>
      <c r="I48" s="3">
        <f t="shared" si="9"/>
        <v>113.21484375</v>
      </c>
      <c r="J48" s="3">
        <f t="shared" si="10"/>
        <v>16.43359375</v>
      </c>
      <c r="K48" s="3">
        <f t="shared" si="11"/>
        <v>110.625</v>
      </c>
      <c r="L48" s="3">
        <f t="shared" si="12"/>
        <v>16.78125</v>
      </c>
      <c r="M48" s="25">
        <f t="shared" si="7"/>
        <v>93.84375</v>
      </c>
    </row>
    <row r="49" spans="1:13" x14ac:dyDescent="0.2">
      <c r="A49" s="12" t="s">
        <v>121</v>
      </c>
      <c r="B49" s="3">
        <v>27644</v>
      </c>
      <c r="C49" s="3">
        <v>86128</v>
      </c>
      <c r="D49" s="3">
        <v>333520</v>
      </c>
      <c r="E49" s="3">
        <v>87252</v>
      </c>
      <c r="F49" s="3">
        <v>333976</v>
      </c>
      <c r="G49" s="3">
        <v>87420</v>
      </c>
      <c r="H49" s="3">
        <f t="shared" si="8"/>
        <v>57.11328125</v>
      </c>
      <c r="I49" s="3">
        <f t="shared" si="9"/>
        <v>298.70703125</v>
      </c>
      <c r="J49" s="3">
        <f t="shared" si="10"/>
        <v>58.2109375</v>
      </c>
      <c r="K49" s="3">
        <f t="shared" si="11"/>
        <v>299.15234375</v>
      </c>
      <c r="L49" s="3">
        <f t="shared" si="12"/>
        <v>58.375</v>
      </c>
      <c r="M49" s="25">
        <f t="shared" si="7"/>
        <v>240.77734375</v>
      </c>
    </row>
    <row r="50" spans="1:13" x14ac:dyDescent="0.2">
      <c r="A50" s="12" t="s">
        <v>122</v>
      </c>
      <c r="B50" s="3">
        <v>743004</v>
      </c>
      <c r="C50" s="3">
        <v>751400</v>
      </c>
      <c r="D50" s="3">
        <v>797204</v>
      </c>
      <c r="E50" s="3">
        <v>752772</v>
      </c>
      <c r="F50" s="3">
        <v>797372</v>
      </c>
      <c r="G50" s="3">
        <v>752864</v>
      </c>
      <c r="H50" s="3">
        <f t="shared" si="8"/>
        <v>8.19921875</v>
      </c>
      <c r="I50" s="3">
        <f t="shared" si="9"/>
        <v>52.9296875</v>
      </c>
      <c r="J50" s="3">
        <f t="shared" si="10"/>
        <v>9.5390625</v>
      </c>
      <c r="K50" s="3">
        <f t="shared" si="11"/>
        <v>53.09375</v>
      </c>
      <c r="L50" s="3">
        <f t="shared" si="12"/>
        <v>9.62890625</v>
      </c>
      <c r="M50" s="25">
        <f t="shared" si="7"/>
        <v>43.46484375</v>
      </c>
    </row>
    <row r="51" spans="1:13" x14ac:dyDescent="0.2">
      <c r="A51" s="12" t="s">
        <v>0</v>
      </c>
      <c r="B51" s="3">
        <v>4056652</v>
      </c>
      <c r="C51" s="3">
        <v>4064044</v>
      </c>
      <c r="D51" s="3">
        <v>4111984</v>
      </c>
      <c r="E51" s="3">
        <v>4064964</v>
      </c>
      <c r="F51" s="3">
        <v>4112300</v>
      </c>
      <c r="G51" s="3">
        <v>4065020</v>
      </c>
      <c r="H51" s="3">
        <f t="shared" si="8"/>
        <v>7.21875</v>
      </c>
      <c r="I51" s="3">
        <f t="shared" si="9"/>
        <v>54.03515625</v>
      </c>
      <c r="J51" s="3">
        <f t="shared" si="10"/>
        <v>8.1171875</v>
      </c>
      <c r="K51" s="3">
        <f t="shared" si="11"/>
        <v>54.34375</v>
      </c>
      <c r="L51" s="3">
        <f t="shared" si="12"/>
        <v>8.171875</v>
      </c>
      <c r="M51" s="25">
        <f t="shared" si="7"/>
        <v>46.171875</v>
      </c>
    </row>
    <row r="52" spans="1:13" x14ac:dyDescent="0.2">
      <c r="A52" s="12" t="s">
        <v>1</v>
      </c>
      <c r="B52" s="3">
        <v>3302240</v>
      </c>
      <c r="C52" s="3">
        <v>3310468</v>
      </c>
      <c r="D52" s="3">
        <v>3370548</v>
      </c>
      <c r="E52" s="3">
        <v>3312568</v>
      </c>
      <c r="F52" s="3">
        <v>3370436</v>
      </c>
      <c r="G52" s="3">
        <v>3312784</v>
      </c>
      <c r="H52" s="3">
        <f t="shared" si="8"/>
        <v>8.03515625</v>
      </c>
      <c r="I52" s="3">
        <f t="shared" si="9"/>
        <v>66.70703125</v>
      </c>
      <c r="J52" s="3">
        <f t="shared" si="10"/>
        <v>10.0859375</v>
      </c>
      <c r="K52" s="3">
        <f t="shared" si="11"/>
        <v>66.59765625</v>
      </c>
      <c r="L52" s="3">
        <f t="shared" si="12"/>
        <v>10.296875</v>
      </c>
      <c r="M52" s="25">
        <f t="shared" si="7"/>
        <v>56.30078125</v>
      </c>
    </row>
    <row r="53" spans="1:13" x14ac:dyDescent="0.2">
      <c r="A53" s="12" t="s">
        <v>2</v>
      </c>
      <c r="B53" s="3">
        <v>491012</v>
      </c>
      <c r="C53" s="3">
        <v>508752</v>
      </c>
      <c r="D53" s="3">
        <v>738776</v>
      </c>
      <c r="E53" s="3">
        <v>511668</v>
      </c>
      <c r="F53" s="3">
        <v>740612</v>
      </c>
      <c r="G53" s="3">
        <v>513236</v>
      </c>
      <c r="H53" s="3">
        <f t="shared" si="8"/>
        <v>17.32421875</v>
      </c>
      <c r="I53" s="3">
        <f t="shared" si="9"/>
        <v>241.95703125</v>
      </c>
      <c r="J53" s="3">
        <f t="shared" si="10"/>
        <v>20.171875</v>
      </c>
      <c r="K53" s="3">
        <f t="shared" si="11"/>
        <v>243.75</v>
      </c>
      <c r="L53" s="3">
        <f t="shared" si="12"/>
        <v>21.703125</v>
      </c>
      <c r="M53" s="25">
        <f t="shared" si="7"/>
        <v>222.046875</v>
      </c>
    </row>
    <row r="54" spans="1:13" x14ac:dyDescent="0.2">
      <c r="A54" s="12" t="s">
        <v>3</v>
      </c>
      <c r="B54" s="3">
        <v>160200</v>
      </c>
      <c r="C54" s="3">
        <v>172196</v>
      </c>
      <c r="D54" s="3">
        <v>275840</v>
      </c>
      <c r="E54" s="3">
        <v>176796</v>
      </c>
      <c r="F54" s="3">
        <v>273264</v>
      </c>
      <c r="G54" s="3">
        <v>177152</v>
      </c>
      <c r="H54" s="3">
        <f t="shared" si="8"/>
        <v>11.71484375</v>
      </c>
      <c r="I54" s="3">
        <f t="shared" si="9"/>
        <v>112.9296875</v>
      </c>
      <c r="J54" s="3">
        <f t="shared" si="10"/>
        <v>16.20703125</v>
      </c>
      <c r="K54" s="3">
        <f t="shared" si="11"/>
        <v>110.4140625</v>
      </c>
      <c r="L54" s="3">
        <f t="shared" si="12"/>
        <v>16.5546875</v>
      </c>
      <c r="M54" s="25">
        <f t="shared" si="7"/>
        <v>93.859375</v>
      </c>
    </row>
    <row r="55" spans="1:13" x14ac:dyDescent="0.2">
      <c r="A55" s="12" t="s">
        <v>4</v>
      </c>
      <c r="B55" s="3">
        <v>28044</v>
      </c>
      <c r="C55" s="3">
        <v>86228</v>
      </c>
      <c r="D55" s="3">
        <v>333404</v>
      </c>
      <c r="E55" s="3">
        <v>87204</v>
      </c>
      <c r="F55" s="3">
        <v>333948</v>
      </c>
      <c r="G55" s="3">
        <v>87464</v>
      </c>
      <c r="H55" s="3">
        <f t="shared" si="8"/>
        <v>56.8203125</v>
      </c>
      <c r="I55" s="3">
        <f t="shared" si="9"/>
        <v>298.203125</v>
      </c>
      <c r="J55" s="3">
        <f t="shared" si="10"/>
        <v>57.7734375</v>
      </c>
      <c r="K55" s="3">
        <f t="shared" si="11"/>
        <v>298.734375</v>
      </c>
      <c r="L55" s="3">
        <f t="shared" si="12"/>
        <v>58.02734375</v>
      </c>
      <c r="M55" s="25">
        <f t="shared" si="7"/>
        <v>240.70703125</v>
      </c>
    </row>
    <row r="56" spans="1:13" x14ac:dyDescent="0.2">
      <c r="A56" s="12" t="s">
        <v>5</v>
      </c>
      <c r="B56" s="3">
        <v>15741624</v>
      </c>
      <c r="C56" s="3">
        <v>15706200</v>
      </c>
      <c r="D56" s="3">
        <v>15779704</v>
      </c>
      <c r="E56" s="3">
        <v>15744700</v>
      </c>
      <c r="F56" s="3">
        <v>15795580</v>
      </c>
      <c r="G56" s="3">
        <v>15763444</v>
      </c>
      <c r="H56" s="3">
        <v>19</v>
      </c>
      <c r="I56" s="3">
        <f>(D56-$B56)/1024</f>
        <v>37.1875</v>
      </c>
      <c r="J56" s="3">
        <v>20</v>
      </c>
      <c r="K56" s="3">
        <f t="shared" si="11"/>
        <v>52.69140625</v>
      </c>
      <c r="L56" s="3">
        <f t="shared" si="12"/>
        <v>21.30859375</v>
      </c>
      <c r="M56" s="25">
        <f t="shared" si="7"/>
        <v>31.3828125</v>
      </c>
    </row>
    <row r="57" spans="1:13" x14ac:dyDescent="0.2">
      <c r="A57" s="1" t="s">
        <v>66</v>
      </c>
      <c r="B57" s="22"/>
      <c r="C57" s="22"/>
      <c r="D57" s="22"/>
      <c r="E57" s="22"/>
      <c r="F57" s="22"/>
      <c r="G57" s="22"/>
      <c r="H57" s="22">
        <f>GEOMEAN(H43:H56)</f>
        <v>15.763390524474127</v>
      </c>
      <c r="I57" s="22">
        <f>GEOMEAN(I43:I56)</f>
        <v>119.66995116169697</v>
      </c>
      <c r="J57" s="22">
        <f>GEOMEAN(J43:J56)</f>
        <v>18.105288259872243</v>
      </c>
      <c r="K57" s="22">
        <f>GEOMEAN(K43:K56)</f>
        <v>122.61599360895013</v>
      </c>
      <c r="L57" s="22">
        <f>GEOMEAN(L43:L56)</f>
        <v>18.513671580555755</v>
      </c>
    </row>
    <row r="58" spans="1:13" x14ac:dyDescent="0.2">
      <c r="B58" s="22"/>
      <c r="C58" s="22"/>
      <c r="D58" s="22"/>
      <c r="E58" s="22"/>
      <c r="F58" s="22"/>
      <c r="G58" s="22"/>
      <c r="H58" s="22"/>
    </row>
    <row r="59" spans="1:13" x14ac:dyDescent="0.2">
      <c r="B59" s="22"/>
      <c r="C59" s="22"/>
      <c r="D59" s="22"/>
      <c r="E59" s="22"/>
      <c r="F59" s="22"/>
      <c r="G59" s="22"/>
      <c r="H59" s="22"/>
    </row>
    <row r="61" spans="1:13" x14ac:dyDescent="0.2">
      <c r="A61" s="2" t="s">
        <v>88</v>
      </c>
      <c r="B61" s="23" t="s">
        <v>86</v>
      </c>
      <c r="C61" s="2" t="s">
        <v>104</v>
      </c>
      <c r="D61" s="2" t="s">
        <v>109</v>
      </c>
      <c r="E61" s="2" t="s">
        <v>124</v>
      </c>
      <c r="F61" s="2" t="s">
        <v>113</v>
      </c>
      <c r="G61" s="2" t="s">
        <v>123</v>
      </c>
    </row>
    <row r="62" spans="1:13" x14ac:dyDescent="0.2">
      <c r="A62" s="12" t="s">
        <v>28</v>
      </c>
      <c r="B62" s="32">
        <f t="shared" ref="B62:B73" si="13">B43/$B43</f>
        <v>1</v>
      </c>
      <c r="C62" s="32">
        <f t="shared" ref="C62:D62" si="14">C43/$B43</f>
        <v>1.0122886978595742</v>
      </c>
      <c r="D62" s="32">
        <f t="shared" si="14"/>
        <v>1.0897196740962967</v>
      </c>
      <c r="E62" s="32">
        <f t="shared" ref="E62:G75" si="15">E43/$B43</f>
        <v>1.0136797502516075</v>
      </c>
      <c r="F62" s="32">
        <f t="shared" ref="F62:F75" si="16">F43/$B43</f>
        <v>1.0898991647275269</v>
      </c>
      <c r="G62" s="32">
        <f t="shared" si="15"/>
        <v>1.0138335993640903</v>
      </c>
    </row>
    <row r="63" spans="1:13" x14ac:dyDescent="0.2">
      <c r="A63" s="12" t="s">
        <v>6</v>
      </c>
      <c r="B63" s="32">
        <f t="shared" si="13"/>
        <v>1</v>
      </c>
      <c r="C63" s="32">
        <f t="shared" ref="C63:D63" si="17">C44/$B44</f>
        <v>1.0504599274683575</v>
      </c>
      <c r="D63" s="32">
        <f t="shared" si="17"/>
        <v>1.4131421572159377</v>
      </c>
      <c r="E63" s="32">
        <f t="shared" si="15"/>
        <v>1.0574729207195523</v>
      </c>
      <c r="F63" s="32">
        <f t="shared" si="16"/>
        <v>1.4141508754233014</v>
      </c>
      <c r="G63" s="32">
        <f t="shared" si="15"/>
        <v>1.0579052285227082</v>
      </c>
    </row>
    <row r="64" spans="1:13" x14ac:dyDescent="0.2">
      <c r="A64" s="12" t="s">
        <v>7</v>
      </c>
      <c r="B64" s="32">
        <f t="shared" si="13"/>
        <v>1</v>
      </c>
      <c r="C64" s="32">
        <f t="shared" ref="C64:D64" si="18">C45/$B45</f>
        <v>1.2545883240592286</v>
      </c>
      <c r="D64" s="32">
        <f t="shared" si="18"/>
        <v>4.3333679147411113</v>
      </c>
      <c r="E64" s="32">
        <f t="shared" si="15"/>
        <v>1.2635008959728378</v>
      </c>
      <c r="F64" s="32">
        <f t="shared" si="16"/>
        <v>4.3382344619447331</v>
      </c>
      <c r="G64" s="32">
        <f t="shared" si="15"/>
        <v>1.2671979628407055</v>
      </c>
    </row>
    <row r="65" spans="1:7" x14ac:dyDescent="0.2">
      <c r="A65" s="12" t="s">
        <v>31</v>
      </c>
      <c r="B65" s="32">
        <f t="shared" si="13"/>
        <v>1</v>
      </c>
      <c r="C65" s="32">
        <f t="shared" ref="C65:D65" si="19">C46/$B46</f>
        <v>1.0173360355474361</v>
      </c>
      <c r="D65" s="32">
        <f t="shared" si="19"/>
        <v>1.1249583725820418</v>
      </c>
      <c r="E65" s="32">
        <f t="shared" si="15"/>
        <v>1.0200097051351582</v>
      </c>
      <c r="F65" s="32">
        <f t="shared" si="16"/>
        <v>1.1257576190068412</v>
      </c>
      <c r="G65" s="32">
        <f t="shared" si="15"/>
        <v>1.0197052303066632</v>
      </c>
    </row>
    <row r="66" spans="1:7" x14ac:dyDescent="0.2">
      <c r="A66" s="12" t="s">
        <v>30</v>
      </c>
      <c r="B66" s="32">
        <f t="shared" si="13"/>
        <v>1</v>
      </c>
      <c r="C66" s="32">
        <f t="shared" ref="C66:D66" si="20">C47/$B47</f>
        <v>1.0371107125387249</v>
      </c>
      <c r="D66" s="32">
        <f t="shared" si="20"/>
        <v>1.5068481982716453</v>
      </c>
      <c r="E66" s="32">
        <f t="shared" si="15"/>
        <v>1.0430539703244741</v>
      </c>
      <c r="F66" s="32">
        <f t="shared" si="16"/>
        <v>1.5107125387249307</v>
      </c>
      <c r="G66" s="32">
        <f t="shared" si="15"/>
        <v>1.0462824066525354</v>
      </c>
    </row>
    <row r="67" spans="1:7" x14ac:dyDescent="0.2">
      <c r="A67" s="12" t="s">
        <v>32</v>
      </c>
      <c r="B67" s="32">
        <f t="shared" si="13"/>
        <v>1</v>
      </c>
      <c r="C67" s="32">
        <f t="shared" ref="C67:D67" si="21">C48/$B48</f>
        <v>1.0767230169050714</v>
      </c>
      <c r="D67" s="32">
        <f t="shared" si="21"/>
        <v>1.7247924377313193</v>
      </c>
      <c r="E67" s="32">
        <f t="shared" si="15"/>
        <v>1.1052065619685907</v>
      </c>
      <c r="F67" s="32">
        <f t="shared" si="16"/>
        <v>1.7082124637391218</v>
      </c>
      <c r="G67" s="32">
        <f t="shared" si="15"/>
        <v>1.1074322296689008</v>
      </c>
    </row>
    <row r="68" spans="1:7" x14ac:dyDescent="0.2">
      <c r="A68" s="12" t="s">
        <v>34</v>
      </c>
      <c r="B68" s="32">
        <f t="shared" si="13"/>
        <v>1</v>
      </c>
      <c r="C68" s="32">
        <f t="shared" ref="C68:D68" si="22">C49/$B49</f>
        <v>3.1156127912024307</v>
      </c>
      <c r="D68" s="32">
        <f t="shared" si="22"/>
        <v>12.064824193315005</v>
      </c>
      <c r="E68" s="32">
        <f t="shared" si="15"/>
        <v>3.1562726088843873</v>
      </c>
      <c r="F68" s="32">
        <f t="shared" si="16"/>
        <v>12.081319635363913</v>
      </c>
      <c r="G68" s="32">
        <f t="shared" si="15"/>
        <v>3.162349877007669</v>
      </c>
    </row>
    <row r="69" spans="1:7" x14ac:dyDescent="0.2">
      <c r="A69" s="12" t="s">
        <v>36</v>
      </c>
      <c r="B69" s="32">
        <f t="shared" si="13"/>
        <v>1</v>
      </c>
      <c r="C69" s="32">
        <f t="shared" ref="C69:D69" si="23">C50/$B50</f>
        <v>1.01130007375465</v>
      </c>
      <c r="D69" s="32">
        <f t="shared" si="23"/>
        <v>1.0729471173775647</v>
      </c>
      <c r="E69" s="32">
        <f t="shared" si="15"/>
        <v>1.0131466317812556</v>
      </c>
      <c r="F69" s="32">
        <f t="shared" si="16"/>
        <v>1.0731732265236795</v>
      </c>
      <c r="G69" s="32">
        <f t="shared" si="15"/>
        <v>1.0132704534565089</v>
      </c>
    </row>
    <row r="70" spans="1:7" x14ac:dyDescent="0.2">
      <c r="A70" s="12" t="s">
        <v>11</v>
      </c>
      <c r="B70" s="32">
        <f t="shared" si="13"/>
        <v>1</v>
      </c>
      <c r="C70" s="32">
        <f t="shared" ref="C70:D70" si="24">C51/$B51</f>
        <v>1.0018221922905883</v>
      </c>
      <c r="D70" s="32">
        <f t="shared" si="24"/>
        <v>1.0136398192401024</v>
      </c>
      <c r="E70" s="32">
        <f t="shared" si="15"/>
        <v>1.0020489802921226</v>
      </c>
      <c r="F70" s="32">
        <f t="shared" si="16"/>
        <v>1.0137177159884556</v>
      </c>
      <c r="G70" s="32">
        <f t="shared" si="15"/>
        <v>1.0020627847791725</v>
      </c>
    </row>
    <row r="71" spans="1:7" x14ac:dyDescent="0.2">
      <c r="A71" s="12" t="s">
        <v>13</v>
      </c>
      <c r="B71" s="32">
        <f t="shared" si="13"/>
        <v>1</v>
      </c>
      <c r="C71" s="32">
        <f t="shared" ref="C71:D71" si="25">C52/$B52</f>
        <v>1.0024916420369203</v>
      </c>
      <c r="D71" s="32">
        <f t="shared" si="25"/>
        <v>1.0206853529725277</v>
      </c>
      <c r="E71" s="32">
        <f t="shared" si="15"/>
        <v>1.0031275740103687</v>
      </c>
      <c r="F71" s="32">
        <f t="shared" si="16"/>
        <v>1.0206514366006105</v>
      </c>
      <c r="G71" s="32">
        <f t="shared" si="15"/>
        <v>1.0031929841562091</v>
      </c>
    </row>
    <row r="72" spans="1:7" x14ac:dyDescent="0.2">
      <c r="A72" s="12" t="s">
        <v>15</v>
      </c>
      <c r="B72" s="32">
        <f t="shared" si="13"/>
        <v>1</v>
      </c>
      <c r="C72" s="32">
        <f t="shared" ref="C72:D72" si="26">C53/$B53</f>
        <v>1.0361294632310412</v>
      </c>
      <c r="D72" s="32">
        <f t="shared" si="26"/>
        <v>1.5045986656130603</v>
      </c>
      <c r="E72" s="32">
        <f t="shared" si="15"/>
        <v>1.0420682182920173</v>
      </c>
      <c r="F72" s="32">
        <f t="shared" si="16"/>
        <v>1.5083378817625639</v>
      </c>
      <c r="G72" s="32">
        <f t="shared" si="15"/>
        <v>1.0452616229338592</v>
      </c>
    </row>
    <row r="73" spans="1:7" x14ac:dyDescent="0.2">
      <c r="A73" s="12" t="s">
        <v>16</v>
      </c>
      <c r="B73" s="32">
        <f t="shared" si="13"/>
        <v>1</v>
      </c>
      <c r="C73" s="32">
        <f t="shared" ref="C73:D73" si="27">C54/$B54</f>
        <v>1.0748813982521848</v>
      </c>
      <c r="D73" s="32">
        <f t="shared" si="27"/>
        <v>1.7218476903870161</v>
      </c>
      <c r="E73" s="32">
        <f t="shared" si="15"/>
        <v>1.1035955056179776</v>
      </c>
      <c r="F73" s="32">
        <f t="shared" si="16"/>
        <v>1.7057677902621722</v>
      </c>
      <c r="G73" s="32">
        <f t="shared" si="15"/>
        <v>1.1058177278401997</v>
      </c>
    </row>
    <row r="74" spans="1:7" x14ac:dyDescent="0.2">
      <c r="A74" s="12" t="s">
        <v>19</v>
      </c>
      <c r="B74" s="32">
        <f t="shared" ref="B74" si="28">B55/$B55</f>
        <v>1</v>
      </c>
      <c r="C74" s="32">
        <f t="shared" ref="C74:D74" si="29">C55/$B55</f>
        <v>3.0747396947653689</v>
      </c>
      <c r="D74" s="32">
        <f t="shared" si="29"/>
        <v>11.888603622878334</v>
      </c>
      <c r="E74" s="32">
        <f t="shared" si="15"/>
        <v>3.1095421480530594</v>
      </c>
      <c r="F74" s="32">
        <f t="shared" si="16"/>
        <v>11.908001711596063</v>
      </c>
      <c r="G74" s="32">
        <f t="shared" si="15"/>
        <v>3.1188132933960917</v>
      </c>
    </row>
    <row r="75" spans="1:7" x14ac:dyDescent="0.2">
      <c r="A75" s="12" t="s">
        <v>21</v>
      </c>
      <c r="B75" s="32">
        <f t="shared" ref="B75" si="30">B56/$B56</f>
        <v>1</v>
      </c>
      <c r="C75" s="32">
        <f t="shared" ref="C75:D75" si="31">C56/$B56</f>
        <v>0.99774966039082114</v>
      </c>
      <c r="D75" s="32">
        <f t="shared" si="31"/>
        <v>1.0024190642591895</v>
      </c>
      <c r="E75" s="32">
        <f t="shared" si="15"/>
        <v>1.0001954055058107</v>
      </c>
      <c r="F75" s="32">
        <f t="shared" si="16"/>
        <v>1.0034276006084251</v>
      </c>
      <c r="G75" s="32">
        <f t="shared" si="15"/>
        <v>1.001386133984651</v>
      </c>
    </row>
    <row r="76" spans="1:7" x14ac:dyDescent="0.2">
      <c r="A76" s="2" t="s">
        <v>85</v>
      </c>
      <c r="B76" s="32">
        <f>GEOMEAN(B62:B75)</f>
        <v>1</v>
      </c>
      <c r="C76" s="32">
        <f t="shared" ref="C76:D76" si="32">GEOMEAN(C62:C75)</f>
        <v>1.2210921406382136</v>
      </c>
      <c r="D76" s="32">
        <f t="shared" si="32"/>
        <v>1.9013094932587031</v>
      </c>
      <c r="E76" s="32">
        <f>GEOMEAN(E62:E75)</f>
        <v>1.2308110528355438</v>
      </c>
      <c r="F76" s="32">
        <f>GEOMEAN(F62:F75)</f>
        <v>1.9003548568054989</v>
      </c>
      <c r="G76" s="32">
        <f>GEOMEAN(G62:G75)</f>
        <v>1.2325397047224376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4696-2C82-B041-BC40-27ED715ED08E}">
  <dimension ref="A1:M61"/>
  <sheetViews>
    <sheetView topLeftCell="A18" zoomScale="70" zoomScaleNormal="70" workbookViewId="0">
      <selection activeCell="G2" sqref="G2:G13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/>
      <c r="J2" s="3"/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/>
      <c r="J3" s="3"/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/>
      <c r="J4" s="3"/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/>
      <c r="J5" s="3"/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/>
      <c r="J6" s="3"/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/>
      <c r="J7" s="3"/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/>
      <c r="J8" s="3"/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/>
      <c r="J9" s="3"/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/>
      <c r="J10" s="3"/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/>
      <c r="J11" s="3"/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/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/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E17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ref="F17:G28" si="1">F2/$B2</f>
        <v>20.846153846153847</v>
      </c>
      <c r="G17" s="20">
        <f t="shared" si="1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2">B3/$B3</f>
        <v>1</v>
      </c>
      <c r="C18" s="20">
        <f t="shared" si="2"/>
        <v>1.4090909090909092</v>
      </c>
      <c r="D18" s="20">
        <f t="shared" si="2"/>
        <v>3.3636363636363638</v>
      </c>
      <c r="E18" s="20">
        <f t="shared" si="2"/>
        <v>3.0909090909090908</v>
      </c>
      <c r="F18" s="20">
        <f t="shared" si="1"/>
        <v>4.5</v>
      </c>
      <c r="G18" s="20">
        <f t="shared" si="1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2"/>
        <v>1</v>
      </c>
      <c r="C19" s="20">
        <f t="shared" si="2"/>
        <v>1.5463379521324456</v>
      </c>
      <c r="D19" s="20">
        <f t="shared" si="2"/>
        <v>7.2513946373942773</v>
      </c>
      <c r="E19" s="20">
        <f t="shared" si="2"/>
        <v>6.1943494691380243</v>
      </c>
      <c r="F19" s="20">
        <f t="shared" si="1"/>
        <v>10.853158178873493</v>
      </c>
      <c r="G19" s="20">
        <f t="shared" si="1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2"/>
        <v>1</v>
      </c>
      <c r="C20" s="20">
        <f t="shared" si="2"/>
        <v>1.2727272727272727</v>
      </c>
      <c r="D20" s="20">
        <f t="shared" si="2"/>
        <v>2.3409090909090908</v>
      </c>
      <c r="E20" s="20">
        <f t="shared" si="2"/>
        <v>2.1363636363636362</v>
      </c>
      <c r="F20" s="20">
        <f t="shared" si="1"/>
        <v>3.1363636363636362</v>
      </c>
      <c r="G20" s="20">
        <f t="shared" si="1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2"/>
        <v>1</v>
      </c>
      <c r="C21" s="20">
        <f t="shared" si="2"/>
        <v>1.0331428571428571</v>
      </c>
      <c r="D21" s="20">
        <f t="shared" si="2"/>
        <v>6.5039999999999996</v>
      </c>
      <c r="E21" s="20">
        <f t="shared" si="2"/>
        <v>5.7344761904761903</v>
      </c>
      <c r="F21" s="20">
        <f t="shared" si="1"/>
        <v>9.0712380952380958</v>
      </c>
      <c r="G21" s="20">
        <f t="shared" si="1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2"/>
        <v>1</v>
      </c>
      <c r="C22" s="20">
        <f t="shared" si="2"/>
        <v>1.0388098318240622</v>
      </c>
      <c r="D22" s="20">
        <f t="shared" si="2"/>
        <v>5.0623544631306601</v>
      </c>
      <c r="E22" s="20">
        <f t="shared" si="2"/>
        <v>4.5068564036222512</v>
      </c>
      <c r="F22" s="20">
        <f t="shared" si="1"/>
        <v>6.6631306597671411</v>
      </c>
      <c r="G22" s="20">
        <f t="shared" si="1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2"/>
        <v>1</v>
      </c>
      <c r="C23" s="20">
        <f t="shared" si="2"/>
        <v>1.0334821428571428</v>
      </c>
      <c r="D23" s="20">
        <f t="shared" si="2"/>
        <v>1.0758928571428572</v>
      </c>
      <c r="E23" s="20">
        <f t="shared" si="2"/>
        <v>1.0714285714285714</v>
      </c>
      <c r="F23" s="20">
        <f t="shared" si="1"/>
        <v>1.1551339285714286</v>
      </c>
      <c r="G23" s="20">
        <f t="shared" si="1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2"/>
        <v>1</v>
      </c>
      <c r="C24" s="20">
        <f t="shared" si="2"/>
        <v>1.0154091392136027</v>
      </c>
      <c r="D24" s="20">
        <f t="shared" si="2"/>
        <v>1.0162061636556854</v>
      </c>
      <c r="E24" s="20">
        <f t="shared" si="2"/>
        <v>1.0185972369819341</v>
      </c>
      <c r="F24" s="20">
        <f t="shared" si="1"/>
        <v>1.0209883103081827</v>
      </c>
      <c r="G24" s="20">
        <f t="shared" si="1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2"/>
        <v>1</v>
      </c>
      <c r="C25" s="20">
        <f t="shared" si="2"/>
        <v>1.3225806451612903</v>
      </c>
      <c r="D25" s="20">
        <f t="shared" si="2"/>
        <v>14</v>
      </c>
      <c r="E25" s="20">
        <f t="shared" si="2"/>
        <v>12.096774193548388</v>
      </c>
      <c r="F25" s="20">
        <f t="shared" si="1"/>
        <v>21.516129032258064</v>
      </c>
      <c r="G25" s="20">
        <f t="shared" si="1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2"/>
        <v>1</v>
      </c>
      <c r="C26" s="20">
        <f t="shared" si="2"/>
        <v>1.0147523709167545</v>
      </c>
      <c r="D26" s="20">
        <f t="shared" si="2"/>
        <v>4.7692307692307692</v>
      </c>
      <c r="E26" s="20">
        <f t="shared" si="2"/>
        <v>4.3076923076923075</v>
      </c>
      <c r="F26" s="20">
        <f t="shared" si="1"/>
        <v>6.3308746048472075</v>
      </c>
      <c r="G26" s="20">
        <f t="shared" si="1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2"/>
        <v>1</v>
      </c>
      <c r="C27" s="20">
        <f t="shared" si="2"/>
        <v>1.097457627118644</v>
      </c>
      <c r="D27" s="20">
        <f t="shared" si="2"/>
        <v>4.6207627118644066</v>
      </c>
      <c r="E27" s="20">
        <f t="shared" si="2"/>
        <v>4.1716101694915251</v>
      </c>
      <c r="F27" s="20">
        <f t="shared" si="1"/>
        <v>6.1652542372881358</v>
      </c>
      <c r="G27" s="20">
        <f t="shared" si="1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2"/>
        <v>1</v>
      </c>
      <c r="C28" s="20">
        <f t="shared" si="2"/>
        <v>1.4259259259259258</v>
      </c>
      <c r="D28" s="20">
        <f t="shared" si="2"/>
        <v>6.4814814814814818</v>
      </c>
      <c r="E28" s="20">
        <f t="shared" si="2"/>
        <v>5.7777777777777777</v>
      </c>
      <c r="F28" s="20">
        <f t="shared" si="1"/>
        <v>9.3148148148148149</v>
      </c>
      <c r="G28" s="20">
        <f t="shared" si="1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3">GEOMEAN(C17:C28)</f>
        <v>1.1803910434964764</v>
      </c>
      <c r="D29" s="20">
        <f t="shared" si="3"/>
        <v>4.4524778925966091</v>
      </c>
      <c r="E29" s="20">
        <f t="shared" si="3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H45" si="4">(C35-$B35)/1024</f>
        <v>8.31640625</v>
      </c>
      <c r="I35" s="26">
        <f t="shared" ref="I35:I45" si="5">(D35-$B35)/1024</f>
        <v>64.94140625</v>
      </c>
      <c r="J35" s="26">
        <f t="shared" ref="J35:J45" si="6">(E35-$B35)/1024</f>
        <v>65.10546875</v>
      </c>
      <c r="K35" s="26">
        <f t="shared" ref="K35:K45" si="7">(F35-$B35)/1024</f>
        <v>9.44140625</v>
      </c>
      <c r="L35" s="26">
        <f t="shared" ref="L35:L45" si="8">(G35-$B35)/1024</f>
        <v>9.45703125</v>
      </c>
      <c r="M35" s="25">
        <f t="shared" ref="M35:M45" si="9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4"/>
        <v>7.421875</v>
      </c>
      <c r="I36" s="26">
        <f t="shared" si="5"/>
        <v>53.46484375</v>
      </c>
      <c r="J36" s="26">
        <f t="shared" si="6"/>
        <v>53.5234375</v>
      </c>
      <c r="K36" s="26">
        <f t="shared" si="7"/>
        <v>8.23828125</v>
      </c>
      <c r="L36" s="26">
        <f t="shared" si="8"/>
        <v>8.22265625</v>
      </c>
      <c r="M36" s="25">
        <f t="shared" si="9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4"/>
        <v>7.9140625</v>
      </c>
      <c r="I37" s="26">
        <f t="shared" si="5"/>
        <v>62.7890625</v>
      </c>
      <c r="J37" s="26">
        <f t="shared" si="6"/>
        <v>63.0625</v>
      </c>
      <c r="K37" s="26">
        <f t="shared" si="7"/>
        <v>8.74609375</v>
      </c>
      <c r="L37" s="26">
        <f t="shared" si="8"/>
        <v>8.7890625</v>
      </c>
      <c r="M37" s="25">
        <f t="shared" si="9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4"/>
        <v>7.453125</v>
      </c>
      <c r="I38" s="26">
        <f t="shared" si="5"/>
        <v>54.55078125</v>
      </c>
      <c r="J38" s="26">
        <f t="shared" si="6"/>
        <v>54.87890625</v>
      </c>
      <c r="K38" s="26">
        <f t="shared" si="7"/>
        <v>8.14453125</v>
      </c>
      <c r="L38" s="26">
        <f t="shared" si="8"/>
        <v>8.19921875</v>
      </c>
      <c r="M38" s="25">
        <f t="shared" si="9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4"/>
        <v>7.45703125</v>
      </c>
      <c r="I39" s="26">
        <f t="shared" si="5"/>
        <v>54.65234375</v>
      </c>
      <c r="J39" s="26">
        <f t="shared" si="6"/>
        <v>54.54296875</v>
      </c>
      <c r="K39" s="26">
        <f t="shared" si="7"/>
        <v>8.171875</v>
      </c>
      <c r="L39" s="26">
        <f t="shared" si="8"/>
        <v>8.3046875</v>
      </c>
      <c r="M39" s="25">
        <f t="shared" si="9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4"/>
        <v>8.07421875</v>
      </c>
      <c r="I40" s="26">
        <f t="shared" si="5"/>
        <v>58.08203125</v>
      </c>
      <c r="J40" s="26">
        <f t="shared" si="6"/>
        <v>58.0703125</v>
      </c>
      <c r="K40" s="26">
        <f t="shared" si="7"/>
        <v>9.09765625</v>
      </c>
      <c r="L40" s="26">
        <f t="shared" si="8"/>
        <v>9.11328125</v>
      </c>
      <c r="M40" s="25">
        <f t="shared" si="9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4"/>
        <v>7.734375</v>
      </c>
      <c r="I41" s="26">
        <f t="shared" si="5"/>
        <v>56.39453125</v>
      </c>
      <c r="J41" s="26">
        <f t="shared" si="6"/>
        <v>56.484375</v>
      </c>
      <c r="K41" s="26">
        <f t="shared" si="7"/>
        <v>8.8359375</v>
      </c>
      <c r="L41" s="26">
        <f t="shared" si="8"/>
        <v>8.8671875</v>
      </c>
      <c r="M41" s="25">
        <f t="shared" si="9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4"/>
        <v>7.8515625</v>
      </c>
      <c r="I42" s="26">
        <f t="shared" si="5"/>
        <v>303.7109375</v>
      </c>
      <c r="J42" s="26">
        <f t="shared" si="6"/>
        <v>304.41796875</v>
      </c>
      <c r="K42" s="26">
        <f t="shared" si="7"/>
        <v>9.13671875</v>
      </c>
      <c r="L42" s="26">
        <f t="shared" si="8"/>
        <v>9.1875</v>
      </c>
      <c r="M42" s="25">
        <f t="shared" si="9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4"/>
        <v>7.53125</v>
      </c>
      <c r="I43" s="26">
        <f t="shared" si="5"/>
        <v>52.95703125</v>
      </c>
      <c r="J43" s="26">
        <f t="shared" si="6"/>
        <v>53.1328125</v>
      </c>
      <c r="K43" s="26">
        <f t="shared" si="7"/>
        <v>8.16796875</v>
      </c>
      <c r="L43" s="26">
        <f t="shared" si="8"/>
        <v>8.265625</v>
      </c>
      <c r="M43" s="25">
        <f t="shared" si="9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4"/>
        <v>7.7578125</v>
      </c>
      <c r="I44" s="26">
        <f t="shared" si="5"/>
        <v>57.65234375</v>
      </c>
      <c r="J44" s="26">
        <f t="shared" si="6"/>
        <v>57.76953125</v>
      </c>
      <c r="K44" s="26">
        <f t="shared" si="7"/>
        <v>8.4296875</v>
      </c>
      <c r="L44" s="26">
        <f t="shared" si="8"/>
        <v>8.60546875</v>
      </c>
      <c r="M44" s="25">
        <f t="shared" si="9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4"/>
        <v>8.0390625</v>
      </c>
      <c r="I45" s="26">
        <f t="shared" si="5"/>
        <v>58.46875</v>
      </c>
      <c r="J45" s="26">
        <f t="shared" si="6"/>
        <v>58.69921875</v>
      </c>
      <c r="K45" s="26">
        <f t="shared" si="7"/>
        <v>8.828125</v>
      </c>
      <c r="L45" s="26">
        <f t="shared" si="8"/>
        <v>8.82421875</v>
      </c>
      <c r="M45" s="25">
        <f t="shared" si="9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10">GEOMEAN(I34:I45)</f>
        <v>65.707549857590024</v>
      </c>
      <c r="J46" s="28">
        <f t="shared" si="10"/>
        <v>65.867950232364592</v>
      </c>
      <c r="K46" s="28">
        <f t="shared" si="10"/>
        <v>8.6215148237372947</v>
      </c>
      <c r="L46" s="28">
        <f t="shared" si="10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11">B34/$B34</f>
        <v>1</v>
      </c>
      <c r="C49" s="32">
        <f t="shared" si="11"/>
        <v>2.4522388059701492</v>
      </c>
      <c r="D49" s="32">
        <f t="shared" si="11"/>
        <v>11.72089552238806</v>
      </c>
      <c r="E49" s="32">
        <f t="shared" si="11"/>
        <v>11.767164179104478</v>
      </c>
      <c r="F49" s="32">
        <f t="shared" si="11"/>
        <v>2.5940298507462685</v>
      </c>
      <c r="G49" s="32">
        <f t="shared" si="11"/>
        <v>2.5962686567164179</v>
      </c>
    </row>
    <row r="50" spans="1:7" x14ac:dyDescent="0.2">
      <c r="A50" s="2" t="s">
        <v>92</v>
      </c>
      <c r="B50" s="32">
        <f t="shared" si="11"/>
        <v>1</v>
      </c>
      <c r="C50" s="32">
        <f t="shared" si="11"/>
        <v>1.2050269645608629</v>
      </c>
      <c r="D50" s="32">
        <f t="shared" si="11"/>
        <v>2.6010208012326657</v>
      </c>
      <c r="E50" s="32">
        <f t="shared" si="11"/>
        <v>2.6050654853620956</v>
      </c>
      <c r="F50" s="32">
        <f t="shared" si="11"/>
        <v>1.2327619414483821</v>
      </c>
      <c r="G50" s="32">
        <f t="shared" si="11"/>
        <v>1.2331471494607087</v>
      </c>
    </row>
    <row r="51" spans="1:7" x14ac:dyDescent="0.2">
      <c r="A51" s="2" t="s">
        <v>93</v>
      </c>
      <c r="B51" s="32">
        <f t="shared" si="11"/>
        <v>1</v>
      </c>
      <c r="C51" s="32">
        <f t="shared" si="11"/>
        <v>1.0006037906613288</v>
      </c>
      <c r="D51" s="32">
        <f t="shared" si="11"/>
        <v>1.0043495172534771</v>
      </c>
      <c r="E51" s="32">
        <f t="shared" si="11"/>
        <v>1.004354284021856</v>
      </c>
      <c r="F51" s="32">
        <f t="shared" si="11"/>
        <v>1.000670207634075</v>
      </c>
      <c r="G51" s="32">
        <f t="shared" si="11"/>
        <v>1.0006689364958405</v>
      </c>
    </row>
    <row r="52" spans="1:7" x14ac:dyDescent="0.2">
      <c r="A52" s="2" t="s">
        <v>94</v>
      </c>
      <c r="B52" s="32">
        <f t="shared" si="11"/>
        <v>1</v>
      </c>
      <c r="C52" s="32">
        <f t="shared" si="11"/>
        <v>1.3092657609525262</v>
      </c>
      <c r="D52" s="32">
        <f t="shared" si="11"/>
        <v>3.4536711952373684</v>
      </c>
      <c r="E52" s="32">
        <f t="shared" si="11"/>
        <v>3.4643565867806441</v>
      </c>
      <c r="F52" s="32">
        <f t="shared" si="11"/>
        <v>1.3417798809342085</v>
      </c>
      <c r="G52" s="32">
        <f t="shared" si="11"/>
        <v>1.343459013891009</v>
      </c>
    </row>
    <row r="53" spans="1:7" x14ac:dyDescent="0.2">
      <c r="A53" s="2" t="s">
        <v>95</v>
      </c>
      <c r="B53" s="32">
        <f t="shared" si="11"/>
        <v>1</v>
      </c>
      <c r="C53" s="32">
        <f t="shared" si="11"/>
        <v>1.056970529395957</v>
      </c>
      <c r="D53" s="32">
        <f t="shared" si="11"/>
        <v>1.4169776955002837</v>
      </c>
      <c r="E53" s="32">
        <f t="shared" si="11"/>
        <v>1.4194858320145711</v>
      </c>
      <c r="F53" s="32">
        <f t="shared" si="11"/>
        <v>1.062255531336777</v>
      </c>
      <c r="G53" s="32">
        <f t="shared" si="11"/>
        <v>1.0626735540891583</v>
      </c>
    </row>
    <row r="54" spans="1:7" x14ac:dyDescent="0.2">
      <c r="A54" s="2" t="s">
        <v>96</v>
      </c>
      <c r="B54" s="32">
        <f t="shared" si="11"/>
        <v>1</v>
      </c>
      <c r="C54" s="32">
        <f t="shared" si="11"/>
        <v>1.0572242206235012</v>
      </c>
      <c r="D54" s="32">
        <f t="shared" si="11"/>
        <v>1.41939448441247</v>
      </c>
      <c r="E54" s="32">
        <f t="shared" si="11"/>
        <v>1.4185551558752998</v>
      </c>
      <c r="F54" s="32">
        <f t="shared" si="11"/>
        <v>1.0627098321342925</v>
      </c>
      <c r="G54" s="32">
        <f t="shared" si="11"/>
        <v>1.0637290167865707</v>
      </c>
    </row>
    <row r="55" spans="1:7" x14ac:dyDescent="0.2">
      <c r="A55" s="2" t="s">
        <v>97</v>
      </c>
      <c r="B55" s="32">
        <f t="shared" si="11"/>
        <v>1</v>
      </c>
      <c r="C55" s="32">
        <f t="shared" si="11"/>
        <v>1.0022778516123487</v>
      </c>
      <c r="D55" s="32">
        <f t="shared" si="11"/>
        <v>1.0163857646947325</v>
      </c>
      <c r="E55" s="32">
        <f t="shared" si="11"/>
        <v>1.0163824586691705</v>
      </c>
      <c r="F55" s="32">
        <f t="shared" si="11"/>
        <v>1.0025665778447799</v>
      </c>
      <c r="G55" s="32">
        <f t="shared" si="11"/>
        <v>1.0025709858788627</v>
      </c>
    </row>
    <row r="56" spans="1:7" x14ac:dyDescent="0.2">
      <c r="A56" s="2" t="s">
        <v>98</v>
      </c>
      <c r="B56" s="32">
        <f t="shared" si="11"/>
        <v>1</v>
      </c>
      <c r="C56" s="32">
        <f t="shared" si="11"/>
        <v>1.0019351679637831</v>
      </c>
      <c r="D56" s="32">
        <f t="shared" si="11"/>
        <v>1.0141101110571393</v>
      </c>
      <c r="E56" s="32">
        <f t="shared" si="11"/>
        <v>1.014132590280961</v>
      </c>
      <c r="F56" s="32">
        <f t="shared" si="11"/>
        <v>1.0022107827949884</v>
      </c>
      <c r="G56" s="32">
        <f t="shared" si="11"/>
        <v>1.0022186016554482</v>
      </c>
    </row>
    <row r="57" spans="1:7" x14ac:dyDescent="0.2">
      <c r="A57" s="2" t="s">
        <v>99</v>
      </c>
      <c r="B57" s="32">
        <f t="shared" si="11"/>
        <v>1</v>
      </c>
      <c r="C57" s="32">
        <f t="shared" si="11"/>
        <v>1.0366908838669635</v>
      </c>
      <c r="D57" s="32">
        <f t="shared" si="11"/>
        <v>2.4192618013216021</v>
      </c>
      <c r="E57" s="32">
        <f t="shared" si="11"/>
        <v>2.4225658062867366</v>
      </c>
      <c r="F57" s="32">
        <f t="shared" si="11"/>
        <v>1.0426965061516555</v>
      </c>
      <c r="G57" s="32">
        <f t="shared" si="11"/>
        <v>1.0429338103756709</v>
      </c>
    </row>
    <row r="58" spans="1:7" x14ac:dyDescent="0.2">
      <c r="A58" s="2" t="s">
        <v>100</v>
      </c>
      <c r="B58" s="32">
        <f t="shared" si="11"/>
        <v>1</v>
      </c>
      <c r="C58" s="32">
        <f t="shared" si="11"/>
        <v>1.0053530128744401</v>
      </c>
      <c r="D58" s="32">
        <f t="shared" si="11"/>
        <v>1.0376404541176274</v>
      </c>
      <c r="E58" s="32">
        <f t="shared" si="11"/>
        <v>1.0377653947708172</v>
      </c>
      <c r="F58" s="32">
        <f t="shared" si="11"/>
        <v>1.0058055756848829</v>
      </c>
      <c r="G58" s="32">
        <f t="shared" si="11"/>
        <v>1.0058749871588772</v>
      </c>
    </row>
    <row r="59" spans="1:7" x14ac:dyDescent="0.2">
      <c r="A59" s="2" t="s">
        <v>101</v>
      </c>
      <c r="B59" s="32">
        <f t="shared" si="11"/>
        <v>1</v>
      </c>
      <c r="C59" s="32">
        <f t="shared" si="11"/>
        <v>2.184257602862254</v>
      </c>
      <c r="D59" s="32">
        <f t="shared" si="11"/>
        <v>9.8008348240906376</v>
      </c>
      <c r="E59" s="32">
        <f t="shared" si="11"/>
        <v>9.818723911747167</v>
      </c>
      <c r="F59" s="32">
        <f t="shared" si="11"/>
        <v>2.2868217054263567</v>
      </c>
      <c r="G59" s="32">
        <f t="shared" si="11"/>
        <v>2.3136553369111508</v>
      </c>
    </row>
    <row r="60" spans="1:7" x14ac:dyDescent="0.2">
      <c r="A60" s="2" t="s">
        <v>102</v>
      </c>
      <c r="B60" s="32">
        <f t="shared" si="11"/>
        <v>1</v>
      </c>
      <c r="C60" s="32">
        <f t="shared" si="11"/>
        <v>2.494553376906318</v>
      </c>
      <c r="D60" s="32">
        <f t="shared" si="11"/>
        <v>11.870007262164124</v>
      </c>
      <c r="E60" s="32">
        <f t="shared" si="11"/>
        <v>11.912854030501089</v>
      </c>
      <c r="F60" s="32">
        <f t="shared" si="11"/>
        <v>2.6412490922294842</v>
      </c>
      <c r="G60" s="32">
        <f t="shared" si="11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12">GEOMEAN(C49:C60)</f>
        <v>1.3062139315258672</v>
      </c>
      <c r="D61" s="32">
        <f t="shared" si="12"/>
        <v>2.5149364170687911</v>
      </c>
      <c r="E61" s="32">
        <f t="shared" si="12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72B7-3141-764F-8839-FE1737BC8DEB}">
  <dimension ref="A1:G29"/>
  <sheetViews>
    <sheetView workbookViewId="0">
      <selection activeCell="G39" sqref="G39"/>
    </sheetView>
  </sheetViews>
  <sheetFormatPr baseColWidth="10" defaultColWidth="11.1640625" defaultRowHeight="16" x14ac:dyDescent="0.2"/>
  <cols>
    <col min="1" max="1" width="24.33203125" bestFit="1" customWidth="1"/>
    <col min="2" max="2" width="8.33203125" bestFit="1" customWidth="1"/>
    <col min="3" max="3" width="12.1640625" bestFit="1" customWidth="1"/>
    <col min="4" max="4" width="20.6640625" bestFit="1" customWidth="1"/>
    <col min="5" max="5" width="31.5" bestFit="1" customWidth="1"/>
    <col min="6" max="6" width="25.6640625" bestFit="1" customWidth="1"/>
    <col min="7" max="7" width="36.5" bestFit="1" customWidth="1"/>
  </cols>
  <sheetData>
    <row r="1" spans="1:7" ht="18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7" ht="18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</row>
    <row r="3" spans="1:7" ht="18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</row>
    <row r="4" spans="1:7" ht="18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</row>
    <row r="5" spans="1:7" ht="18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</row>
    <row r="6" spans="1:7" ht="18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</row>
    <row r="7" spans="1:7" ht="18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</row>
    <row r="8" spans="1:7" ht="18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</row>
    <row r="9" spans="1:7" ht="18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</row>
    <row r="10" spans="1:7" ht="18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</row>
    <row r="11" spans="1:7" ht="18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</row>
    <row r="12" spans="1:7" ht="18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</row>
    <row r="13" spans="1:7" ht="18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</row>
    <row r="14" spans="1:7" ht="18" x14ac:dyDescent="0.2">
      <c r="A14" s="1"/>
      <c r="B14" s="1"/>
      <c r="C14" s="1"/>
      <c r="D14" s="1"/>
      <c r="E14" s="1"/>
      <c r="F14" s="1"/>
      <c r="G14" s="1"/>
    </row>
    <row r="15" spans="1:7" ht="18" x14ac:dyDescent="0.2">
      <c r="A15" s="1"/>
      <c r="B15" s="1"/>
      <c r="C15" s="1"/>
      <c r="D15" s="1"/>
      <c r="E15" s="1"/>
      <c r="F15" s="1"/>
      <c r="G15" s="1"/>
    </row>
    <row r="16" spans="1:7" ht="18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7" ht="18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</row>
    <row r="18" spans="1:7" ht="18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</row>
    <row r="19" spans="1:7" ht="18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</row>
    <row r="20" spans="1:7" ht="18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</row>
    <row r="21" spans="1:7" ht="18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</row>
    <row r="22" spans="1:7" ht="18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</row>
    <row r="23" spans="1:7" ht="18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</row>
    <row r="24" spans="1:7" ht="18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</row>
    <row r="25" spans="1:7" ht="18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</row>
    <row r="26" spans="1:7" ht="18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</row>
    <row r="27" spans="1:7" ht="18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</row>
    <row r="28" spans="1:7" ht="18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</row>
    <row r="29" spans="1:7" ht="18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4C2A-913D-8646-8556-196DD650FBFC}">
  <dimension ref="A1:M61"/>
  <sheetViews>
    <sheetView zoomScale="70" zoomScaleNormal="70" workbookViewId="0">
      <selection activeCell="K37" sqref="K37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>
        <v>12286</v>
      </c>
      <c r="J2" s="3">
        <v>2340</v>
      </c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>
        <v>776</v>
      </c>
      <c r="J3" s="3">
        <v>2054</v>
      </c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>
        <v>1018815</v>
      </c>
      <c r="J4" s="3">
        <v>616100</v>
      </c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>
        <v>1588</v>
      </c>
      <c r="J5" s="3">
        <v>6215</v>
      </c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>
        <v>555971</v>
      </c>
      <c r="J6" s="3">
        <v>258108</v>
      </c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>
        <v>559271</v>
      </c>
      <c r="J7" s="3">
        <v>258602</v>
      </c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>
        <v>6335</v>
      </c>
      <c r="J8" s="3">
        <v>143173</v>
      </c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>
        <v>34</v>
      </c>
      <c r="J9" s="3">
        <v>246210</v>
      </c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>
        <v>16838</v>
      </c>
      <c r="J10" s="3">
        <v>3634</v>
      </c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>
        <v>143159</v>
      </c>
      <c r="J11" s="3">
        <v>57661</v>
      </c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>
        <v>56153</v>
      </c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>
        <v>6908</v>
      </c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L45" si="3">(C35-$B35)/1024</f>
        <v>8.31640625</v>
      </c>
      <c r="I35" s="26">
        <f t="shared" si="3"/>
        <v>64.94140625</v>
      </c>
      <c r="J35" s="26">
        <f t="shared" si="3"/>
        <v>65.10546875</v>
      </c>
      <c r="K35" s="26">
        <f t="shared" si="3"/>
        <v>9.44140625</v>
      </c>
      <c r="L35" s="26">
        <f t="shared" si="3"/>
        <v>9.45703125</v>
      </c>
      <c r="M35" s="25">
        <f t="shared" ref="M35:M45" si="4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3"/>
        <v>7.421875</v>
      </c>
      <c r="I36" s="26">
        <f t="shared" si="3"/>
        <v>53.46484375</v>
      </c>
      <c r="J36" s="26">
        <f t="shared" si="3"/>
        <v>53.5234375</v>
      </c>
      <c r="K36" s="26">
        <f t="shared" si="3"/>
        <v>8.23828125</v>
      </c>
      <c r="L36" s="26">
        <f t="shared" si="3"/>
        <v>8.22265625</v>
      </c>
      <c r="M36" s="25">
        <f t="shared" si="4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3"/>
        <v>7.9140625</v>
      </c>
      <c r="I37" s="26">
        <f t="shared" si="3"/>
        <v>62.7890625</v>
      </c>
      <c r="J37" s="26">
        <f t="shared" si="3"/>
        <v>63.0625</v>
      </c>
      <c r="K37" s="26">
        <f t="shared" si="3"/>
        <v>8.74609375</v>
      </c>
      <c r="L37" s="26">
        <f t="shared" si="3"/>
        <v>8.7890625</v>
      </c>
      <c r="M37" s="25">
        <f t="shared" si="4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3"/>
        <v>7.453125</v>
      </c>
      <c r="I38" s="26">
        <f t="shared" si="3"/>
        <v>54.55078125</v>
      </c>
      <c r="J38" s="26">
        <f t="shared" si="3"/>
        <v>54.87890625</v>
      </c>
      <c r="K38" s="26">
        <f t="shared" si="3"/>
        <v>8.14453125</v>
      </c>
      <c r="L38" s="26">
        <f t="shared" si="3"/>
        <v>8.19921875</v>
      </c>
      <c r="M38" s="25">
        <f t="shared" si="4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3"/>
        <v>7.45703125</v>
      </c>
      <c r="I39" s="26">
        <f t="shared" si="3"/>
        <v>54.65234375</v>
      </c>
      <c r="J39" s="26">
        <f t="shared" si="3"/>
        <v>54.54296875</v>
      </c>
      <c r="K39" s="26">
        <f t="shared" si="3"/>
        <v>8.171875</v>
      </c>
      <c r="L39" s="26">
        <f t="shared" si="3"/>
        <v>8.3046875</v>
      </c>
      <c r="M39" s="25">
        <f t="shared" si="4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3"/>
        <v>8.07421875</v>
      </c>
      <c r="I40" s="26">
        <f t="shared" si="3"/>
        <v>58.08203125</v>
      </c>
      <c r="J40" s="26">
        <f t="shared" si="3"/>
        <v>58.0703125</v>
      </c>
      <c r="K40" s="26">
        <f t="shared" si="3"/>
        <v>9.09765625</v>
      </c>
      <c r="L40" s="26">
        <f t="shared" si="3"/>
        <v>9.11328125</v>
      </c>
      <c r="M40" s="25">
        <f t="shared" si="4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3"/>
        <v>7.734375</v>
      </c>
      <c r="I41" s="26">
        <f t="shared" si="3"/>
        <v>56.39453125</v>
      </c>
      <c r="J41" s="26">
        <f t="shared" si="3"/>
        <v>56.484375</v>
      </c>
      <c r="K41" s="26">
        <f t="shared" si="3"/>
        <v>8.8359375</v>
      </c>
      <c r="L41" s="26">
        <f t="shared" si="3"/>
        <v>8.8671875</v>
      </c>
      <c r="M41" s="25">
        <f t="shared" si="4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3"/>
        <v>7.8515625</v>
      </c>
      <c r="I42" s="26">
        <f t="shared" si="3"/>
        <v>303.7109375</v>
      </c>
      <c r="J42" s="26">
        <f t="shared" si="3"/>
        <v>304.41796875</v>
      </c>
      <c r="K42" s="26">
        <f t="shared" si="3"/>
        <v>9.13671875</v>
      </c>
      <c r="L42" s="26">
        <f t="shared" si="3"/>
        <v>9.1875</v>
      </c>
      <c r="M42" s="25">
        <f t="shared" si="4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3"/>
        <v>7.53125</v>
      </c>
      <c r="I43" s="26">
        <f t="shared" si="3"/>
        <v>52.95703125</v>
      </c>
      <c r="J43" s="26">
        <f t="shared" si="3"/>
        <v>53.1328125</v>
      </c>
      <c r="K43" s="26">
        <f t="shared" si="3"/>
        <v>8.16796875</v>
      </c>
      <c r="L43" s="26">
        <f t="shared" si="3"/>
        <v>8.265625</v>
      </c>
      <c r="M43" s="25">
        <f t="shared" si="4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3"/>
        <v>7.7578125</v>
      </c>
      <c r="I44" s="26">
        <f t="shared" si="3"/>
        <v>57.65234375</v>
      </c>
      <c r="J44" s="26">
        <f t="shared" si="3"/>
        <v>57.76953125</v>
      </c>
      <c r="K44" s="26">
        <f t="shared" si="3"/>
        <v>8.4296875</v>
      </c>
      <c r="L44" s="26">
        <f t="shared" si="3"/>
        <v>8.60546875</v>
      </c>
      <c r="M44" s="25">
        <f t="shared" si="4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3"/>
        <v>8.0390625</v>
      </c>
      <c r="I45" s="26">
        <f t="shared" si="3"/>
        <v>58.46875</v>
      </c>
      <c r="J45" s="26">
        <f t="shared" si="3"/>
        <v>58.69921875</v>
      </c>
      <c r="K45" s="26">
        <f t="shared" si="3"/>
        <v>8.828125</v>
      </c>
      <c r="L45" s="26">
        <f t="shared" si="3"/>
        <v>8.82421875</v>
      </c>
      <c r="M45" s="25">
        <f t="shared" si="4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5">GEOMEAN(I34:I45)</f>
        <v>65.707549857590024</v>
      </c>
      <c r="J46" s="28">
        <f t="shared" si="5"/>
        <v>65.867950232364592</v>
      </c>
      <c r="K46" s="28">
        <f t="shared" si="5"/>
        <v>8.6215148237372947</v>
      </c>
      <c r="L46" s="28">
        <f t="shared" si="5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6">B34/$B34</f>
        <v>1</v>
      </c>
      <c r="C49" s="32">
        <f t="shared" si="6"/>
        <v>2.4522388059701492</v>
      </c>
      <c r="D49" s="32">
        <f t="shared" si="6"/>
        <v>11.72089552238806</v>
      </c>
      <c r="E49" s="32">
        <f t="shared" si="6"/>
        <v>11.767164179104478</v>
      </c>
      <c r="F49" s="32">
        <f t="shared" si="6"/>
        <v>2.5940298507462685</v>
      </c>
      <c r="G49" s="32">
        <f t="shared" si="6"/>
        <v>2.5962686567164179</v>
      </c>
    </row>
    <row r="50" spans="1:7" x14ac:dyDescent="0.2">
      <c r="A50" s="2" t="s">
        <v>92</v>
      </c>
      <c r="B50" s="32">
        <f t="shared" si="6"/>
        <v>1</v>
      </c>
      <c r="C50" s="32">
        <f t="shared" si="6"/>
        <v>1.2050269645608629</v>
      </c>
      <c r="D50" s="32">
        <f t="shared" si="6"/>
        <v>2.6010208012326657</v>
      </c>
      <c r="E50" s="32">
        <f t="shared" si="6"/>
        <v>2.6050654853620956</v>
      </c>
      <c r="F50" s="32">
        <f t="shared" si="6"/>
        <v>1.2327619414483821</v>
      </c>
      <c r="G50" s="32">
        <f t="shared" si="6"/>
        <v>1.2331471494607087</v>
      </c>
    </row>
    <row r="51" spans="1:7" x14ac:dyDescent="0.2">
      <c r="A51" s="2" t="s">
        <v>93</v>
      </c>
      <c r="B51" s="32">
        <f t="shared" si="6"/>
        <v>1</v>
      </c>
      <c r="C51" s="32">
        <f t="shared" si="6"/>
        <v>1.0006037906613288</v>
      </c>
      <c r="D51" s="32">
        <f t="shared" si="6"/>
        <v>1.0043495172534771</v>
      </c>
      <c r="E51" s="32">
        <f t="shared" si="6"/>
        <v>1.004354284021856</v>
      </c>
      <c r="F51" s="32">
        <f t="shared" si="6"/>
        <v>1.000670207634075</v>
      </c>
      <c r="G51" s="32">
        <f t="shared" si="6"/>
        <v>1.0006689364958405</v>
      </c>
    </row>
    <row r="52" spans="1:7" x14ac:dyDescent="0.2">
      <c r="A52" s="2" t="s">
        <v>94</v>
      </c>
      <c r="B52" s="32">
        <f t="shared" si="6"/>
        <v>1</v>
      </c>
      <c r="C52" s="32">
        <f t="shared" si="6"/>
        <v>1.3092657609525262</v>
      </c>
      <c r="D52" s="32">
        <f t="shared" si="6"/>
        <v>3.4536711952373684</v>
      </c>
      <c r="E52" s="32">
        <f t="shared" si="6"/>
        <v>3.4643565867806441</v>
      </c>
      <c r="F52" s="32">
        <f t="shared" si="6"/>
        <v>1.3417798809342085</v>
      </c>
      <c r="G52" s="32">
        <f t="shared" si="6"/>
        <v>1.343459013891009</v>
      </c>
    </row>
    <row r="53" spans="1:7" x14ac:dyDescent="0.2">
      <c r="A53" s="2" t="s">
        <v>95</v>
      </c>
      <c r="B53" s="32">
        <f t="shared" si="6"/>
        <v>1</v>
      </c>
      <c r="C53" s="32">
        <f t="shared" si="6"/>
        <v>1.056970529395957</v>
      </c>
      <c r="D53" s="32">
        <f t="shared" si="6"/>
        <v>1.4169776955002837</v>
      </c>
      <c r="E53" s="32">
        <f t="shared" si="6"/>
        <v>1.4194858320145711</v>
      </c>
      <c r="F53" s="32">
        <f t="shared" si="6"/>
        <v>1.062255531336777</v>
      </c>
      <c r="G53" s="32">
        <f t="shared" si="6"/>
        <v>1.0626735540891583</v>
      </c>
    </row>
    <row r="54" spans="1:7" x14ac:dyDescent="0.2">
      <c r="A54" s="2" t="s">
        <v>96</v>
      </c>
      <c r="B54" s="32">
        <f t="shared" si="6"/>
        <v>1</v>
      </c>
      <c r="C54" s="32">
        <f t="shared" si="6"/>
        <v>1.0572242206235012</v>
      </c>
      <c r="D54" s="32">
        <f t="shared" si="6"/>
        <v>1.41939448441247</v>
      </c>
      <c r="E54" s="32">
        <f t="shared" si="6"/>
        <v>1.4185551558752998</v>
      </c>
      <c r="F54" s="32">
        <f t="shared" si="6"/>
        <v>1.0627098321342925</v>
      </c>
      <c r="G54" s="32">
        <f t="shared" si="6"/>
        <v>1.0637290167865707</v>
      </c>
    </row>
    <row r="55" spans="1:7" x14ac:dyDescent="0.2">
      <c r="A55" s="2" t="s">
        <v>97</v>
      </c>
      <c r="B55" s="32">
        <f t="shared" si="6"/>
        <v>1</v>
      </c>
      <c r="C55" s="32">
        <f t="shared" si="6"/>
        <v>1.0022778516123487</v>
      </c>
      <c r="D55" s="32">
        <f t="shared" si="6"/>
        <v>1.0163857646947325</v>
      </c>
      <c r="E55" s="32">
        <f t="shared" si="6"/>
        <v>1.0163824586691705</v>
      </c>
      <c r="F55" s="32">
        <f t="shared" si="6"/>
        <v>1.0025665778447799</v>
      </c>
      <c r="G55" s="32">
        <f t="shared" si="6"/>
        <v>1.0025709858788627</v>
      </c>
    </row>
    <row r="56" spans="1:7" x14ac:dyDescent="0.2">
      <c r="A56" s="2" t="s">
        <v>98</v>
      </c>
      <c r="B56" s="32">
        <f t="shared" si="6"/>
        <v>1</v>
      </c>
      <c r="C56" s="32">
        <f t="shared" si="6"/>
        <v>1.0019351679637831</v>
      </c>
      <c r="D56" s="32">
        <f t="shared" si="6"/>
        <v>1.0141101110571393</v>
      </c>
      <c r="E56" s="32">
        <f t="shared" si="6"/>
        <v>1.014132590280961</v>
      </c>
      <c r="F56" s="32">
        <f t="shared" si="6"/>
        <v>1.0022107827949884</v>
      </c>
      <c r="G56" s="32">
        <f t="shared" si="6"/>
        <v>1.0022186016554482</v>
      </c>
    </row>
    <row r="57" spans="1:7" x14ac:dyDescent="0.2">
      <c r="A57" s="2" t="s">
        <v>99</v>
      </c>
      <c r="B57" s="32">
        <f t="shared" si="6"/>
        <v>1</v>
      </c>
      <c r="C57" s="32">
        <f t="shared" si="6"/>
        <v>1.0366908838669635</v>
      </c>
      <c r="D57" s="32">
        <f t="shared" si="6"/>
        <v>2.4192618013216021</v>
      </c>
      <c r="E57" s="32">
        <f t="shared" si="6"/>
        <v>2.4225658062867366</v>
      </c>
      <c r="F57" s="32">
        <f t="shared" si="6"/>
        <v>1.0426965061516555</v>
      </c>
      <c r="G57" s="32">
        <f t="shared" si="6"/>
        <v>1.0429338103756709</v>
      </c>
    </row>
    <row r="58" spans="1:7" x14ac:dyDescent="0.2">
      <c r="A58" s="2" t="s">
        <v>100</v>
      </c>
      <c r="B58" s="32">
        <f t="shared" si="6"/>
        <v>1</v>
      </c>
      <c r="C58" s="32">
        <f t="shared" si="6"/>
        <v>1.0053530128744401</v>
      </c>
      <c r="D58" s="32">
        <f t="shared" si="6"/>
        <v>1.0376404541176274</v>
      </c>
      <c r="E58" s="32">
        <f t="shared" si="6"/>
        <v>1.0377653947708172</v>
      </c>
      <c r="F58" s="32">
        <f t="shared" si="6"/>
        <v>1.0058055756848829</v>
      </c>
      <c r="G58" s="32">
        <f t="shared" si="6"/>
        <v>1.0058749871588772</v>
      </c>
    </row>
    <row r="59" spans="1:7" x14ac:dyDescent="0.2">
      <c r="A59" s="2" t="s">
        <v>101</v>
      </c>
      <c r="B59" s="32">
        <f t="shared" si="6"/>
        <v>1</v>
      </c>
      <c r="C59" s="32">
        <f t="shared" si="6"/>
        <v>2.184257602862254</v>
      </c>
      <c r="D59" s="32">
        <f t="shared" si="6"/>
        <v>9.8008348240906376</v>
      </c>
      <c r="E59" s="32">
        <f t="shared" si="6"/>
        <v>9.818723911747167</v>
      </c>
      <c r="F59" s="32">
        <f t="shared" si="6"/>
        <v>2.2868217054263567</v>
      </c>
      <c r="G59" s="32">
        <f t="shared" si="6"/>
        <v>2.3136553369111508</v>
      </c>
    </row>
    <row r="60" spans="1:7" x14ac:dyDescent="0.2">
      <c r="A60" s="2" t="s">
        <v>102</v>
      </c>
      <c r="B60" s="32">
        <f t="shared" si="6"/>
        <v>1</v>
      </c>
      <c r="C60" s="32">
        <f t="shared" si="6"/>
        <v>2.494553376906318</v>
      </c>
      <c r="D60" s="32">
        <f t="shared" si="6"/>
        <v>11.870007262164124</v>
      </c>
      <c r="E60" s="32">
        <f t="shared" si="6"/>
        <v>11.912854030501089</v>
      </c>
      <c r="F60" s="32">
        <f t="shared" si="6"/>
        <v>2.6412490922294842</v>
      </c>
      <c r="G60" s="32">
        <f t="shared" si="6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7">GEOMEAN(C49:C60)</f>
        <v>1.3062139315258672</v>
      </c>
      <c r="D61" s="32">
        <f t="shared" si="7"/>
        <v>2.5149364170687911</v>
      </c>
      <c r="E61" s="32">
        <f t="shared" si="7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6DC6-DA32-8C43-88B0-AC0B6B69FBC5}">
  <dimension ref="A1:F99"/>
  <sheetViews>
    <sheetView topLeftCell="A36" zoomScale="120" zoomScaleNormal="120" workbookViewId="0">
      <selection activeCell="F30" sqref="F30"/>
    </sheetView>
  </sheetViews>
  <sheetFormatPr baseColWidth="10" defaultRowHeight="16" x14ac:dyDescent="0.2"/>
  <cols>
    <col min="1" max="1" width="19.33203125" customWidth="1"/>
    <col min="2" max="3" width="37.1640625" bestFit="1" customWidth="1"/>
    <col min="4" max="4" width="35.33203125" bestFit="1" customWidth="1"/>
    <col min="5" max="5" width="24" customWidth="1"/>
    <col min="6" max="6" width="24.5" bestFit="1" customWidth="1"/>
  </cols>
  <sheetData>
    <row r="1" spans="1:6" x14ac:dyDescent="0.2">
      <c r="A1" t="s">
        <v>142</v>
      </c>
    </row>
    <row r="2" spans="1:6" x14ac:dyDescent="0.2">
      <c r="A2" s="8"/>
      <c r="B2" s="8" t="s">
        <v>140</v>
      </c>
      <c r="C2" s="8" t="s">
        <v>141</v>
      </c>
      <c r="D2" s="8" t="s">
        <v>149</v>
      </c>
      <c r="E2" s="8" t="s">
        <v>137</v>
      </c>
      <c r="F2" s="8" t="s">
        <v>138</v>
      </c>
    </row>
    <row r="3" spans="1:6" x14ac:dyDescent="0.2">
      <c r="A3" s="8" t="s">
        <v>69</v>
      </c>
      <c r="B3" s="35">
        <v>24200</v>
      </c>
      <c r="C3" s="35">
        <v>12372</v>
      </c>
      <c r="D3" s="36">
        <f>C3/B3</f>
        <v>0.51123966942148757</v>
      </c>
      <c r="E3" s="35">
        <v>32341351</v>
      </c>
      <c r="F3" s="8">
        <v>3</v>
      </c>
    </row>
    <row r="4" spans="1:6" x14ac:dyDescent="0.2">
      <c r="A4" s="8" t="s">
        <v>70</v>
      </c>
      <c r="B4" s="35">
        <v>23436</v>
      </c>
      <c r="C4" s="35">
        <v>797</v>
      </c>
      <c r="D4" s="36">
        <f t="shared" ref="D4:D14" si="0">C4/B4</f>
        <v>3.4007509813961424E-2</v>
      </c>
      <c r="E4" s="35">
        <v>2036469</v>
      </c>
      <c r="F4" s="8">
        <v>7</v>
      </c>
    </row>
    <row r="5" spans="1:6" x14ac:dyDescent="0.2">
      <c r="A5" s="8" t="s">
        <v>71</v>
      </c>
      <c r="B5" s="35">
        <v>5894398</v>
      </c>
      <c r="C5" s="35">
        <v>1024192</v>
      </c>
      <c r="D5" s="36">
        <f t="shared" si="0"/>
        <v>0.17375684505864722</v>
      </c>
      <c r="E5" s="35">
        <v>2684481413</v>
      </c>
      <c r="F5" s="8">
        <v>2</v>
      </c>
    </row>
    <row r="6" spans="1:6" x14ac:dyDescent="0.2">
      <c r="A6" s="37" t="s">
        <v>72</v>
      </c>
      <c r="B6" s="38">
        <v>60663</v>
      </c>
      <c r="C6" s="38">
        <v>1685</v>
      </c>
      <c r="D6" s="39">
        <f t="shared" si="0"/>
        <v>2.7776404068377759E-2</v>
      </c>
      <c r="E6" s="38">
        <v>4142440</v>
      </c>
      <c r="F6" s="37">
        <v>29</v>
      </c>
    </row>
    <row r="7" spans="1:6" x14ac:dyDescent="0.2">
      <c r="A7" s="8" t="s">
        <v>73</v>
      </c>
      <c r="B7" s="35">
        <v>2590648</v>
      </c>
      <c r="C7" s="35">
        <v>569742</v>
      </c>
      <c r="D7" s="36">
        <f t="shared" si="0"/>
        <v>0.21992258307574011</v>
      </c>
      <c r="E7" s="35">
        <v>1503084782</v>
      </c>
      <c r="F7" s="8">
        <v>18</v>
      </c>
    </row>
    <row r="8" spans="1:6" x14ac:dyDescent="0.2">
      <c r="A8" s="8" t="s">
        <v>74</v>
      </c>
      <c r="B8" s="35">
        <v>2583431</v>
      </c>
      <c r="C8" s="35">
        <v>565469</v>
      </c>
      <c r="D8" s="36">
        <f t="shared" si="0"/>
        <v>0.21888295061877017</v>
      </c>
      <c r="E8" s="35">
        <v>1502953689</v>
      </c>
      <c r="F8" s="8">
        <v>5</v>
      </c>
    </row>
    <row r="9" spans="1:6" x14ac:dyDescent="0.2">
      <c r="A9" s="40" t="s">
        <v>75</v>
      </c>
      <c r="B9" s="41">
        <v>1470245</v>
      </c>
      <c r="C9" s="41">
        <v>6825</v>
      </c>
      <c r="D9" s="42">
        <f t="shared" si="0"/>
        <v>4.6420834622800961E-3</v>
      </c>
      <c r="E9" s="41">
        <v>16827280</v>
      </c>
      <c r="F9" s="40">
        <v>11</v>
      </c>
    </row>
    <row r="10" spans="1:6" x14ac:dyDescent="0.2">
      <c r="A10" s="40" t="s">
        <v>76</v>
      </c>
      <c r="B10" s="41">
        <v>2775259</v>
      </c>
      <c r="C10" s="41">
        <v>24</v>
      </c>
      <c r="D10" s="53">
        <f t="shared" si="0"/>
        <v>8.6478415167737501E-6</v>
      </c>
      <c r="E10" s="41">
        <v>56492</v>
      </c>
      <c r="F10" s="40">
        <v>13</v>
      </c>
    </row>
    <row r="11" spans="1:6" x14ac:dyDescent="0.2">
      <c r="A11" s="8" t="s">
        <v>77</v>
      </c>
      <c r="B11" s="35">
        <v>35996</v>
      </c>
      <c r="C11" s="35">
        <v>16939</v>
      </c>
      <c r="D11" s="36">
        <f t="shared" si="0"/>
        <v>0.47058006445160572</v>
      </c>
      <c r="E11" s="35">
        <v>43927705</v>
      </c>
      <c r="F11" s="8">
        <v>17</v>
      </c>
    </row>
    <row r="12" spans="1:6" x14ac:dyDescent="0.2">
      <c r="A12" s="8" t="s">
        <v>78</v>
      </c>
      <c r="B12" s="35">
        <v>555364</v>
      </c>
      <c r="C12" s="35">
        <v>142950</v>
      </c>
      <c r="D12" s="36">
        <f t="shared" si="0"/>
        <v>0.2573987510893756</v>
      </c>
      <c r="E12" s="35">
        <v>368206619</v>
      </c>
      <c r="F12" s="8">
        <v>24</v>
      </c>
    </row>
    <row r="13" spans="1:6" x14ac:dyDescent="0.2">
      <c r="A13" s="8" t="s">
        <v>143</v>
      </c>
      <c r="B13" s="35">
        <v>615755</v>
      </c>
      <c r="C13" s="35">
        <v>63471</v>
      </c>
      <c r="D13" s="36">
        <f t="shared" si="0"/>
        <v>0.10307833472728602</v>
      </c>
      <c r="E13" s="35">
        <v>161904693</v>
      </c>
      <c r="F13" s="8">
        <v>17</v>
      </c>
    </row>
    <row r="14" spans="1:6" x14ac:dyDescent="0.2">
      <c r="A14" s="8" t="s">
        <v>144</v>
      </c>
      <c r="B14" s="35">
        <v>69773</v>
      </c>
      <c r="C14" s="35">
        <v>10669</v>
      </c>
      <c r="D14" s="36">
        <f t="shared" si="0"/>
        <v>0.15291015149126452</v>
      </c>
      <c r="E14" s="35">
        <v>27427550</v>
      </c>
      <c r="F14" s="8">
        <v>16</v>
      </c>
    </row>
    <row r="18" spans="1:3" x14ac:dyDescent="0.2">
      <c r="A18" t="s">
        <v>139</v>
      </c>
    </row>
    <row r="19" spans="1:3" x14ac:dyDescent="0.2">
      <c r="A19" s="34"/>
      <c r="B19" s="43" t="s">
        <v>141</v>
      </c>
      <c r="C19" s="43" t="s">
        <v>137</v>
      </c>
    </row>
    <row r="20" spans="1:3" x14ac:dyDescent="0.2">
      <c r="A20" s="40" t="s">
        <v>76</v>
      </c>
      <c r="B20" s="41">
        <v>24</v>
      </c>
      <c r="C20" s="41">
        <v>56492</v>
      </c>
    </row>
    <row r="21" spans="1:3" x14ac:dyDescent="0.2">
      <c r="A21" s="8" t="s">
        <v>70</v>
      </c>
      <c r="B21" s="35">
        <v>797</v>
      </c>
      <c r="C21" s="35">
        <v>2036469</v>
      </c>
    </row>
    <row r="22" spans="1:3" x14ac:dyDescent="0.2">
      <c r="A22" s="37" t="s">
        <v>72</v>
      </c>
      <c r="B22" s="38">
        <v>1685</v>
      </c>
      <c r="C22" s="38">
        <v>4142440</v>
      </c>
    </row>
    <row r="23" spans="1:3" x14ac:dyDescent="0.2">
      <c r="A23" s="40" t="s">
        <v>75</v>
      </c>
      <c r="B23" s="41">
        <v>6825</v>
      </c>
      <c r="C23" s="41">
        <v>16827280</v>
      </c>
    </row>
    <row r="24" spans="1:3" x14ac:dyDescent="0.2">
      <c r="A24" s="8" t="s">
        <v>144</v>
      </c>
      <c r="B24" s="35">
        <v>10669</v>
      </c>
      <c r="C24" s="35">
        <v>27427550</v>
      </c>
    </row>
    <row r="25" spans="1:3" x14ac:dyDescent="0.2">
      <c r="A25" s="8" t="s">
        <v>69</v>
      </c>
      <c r="B25" s="35">
        <v>12372</v>
      </c>
      <c r="C25" s="35">
        <v>32341351</v>
      </c>
    </row>
    <row r="26" spans="1:3" x14ac:dyDescent="0.2">
      <c r="A26" s="8" t="s">
        <v>77</v>
      </c>
      <c r="B26" s="35">
        <v>16939</v>
      </c>
      <c r="C26" s="35">
        <v>43927705</v>
      </c>
    </row>
    <row r="27" spans="1:3" x14ac:dyDescent="0.2">
      <c r="A27" s="8" t="s">
        <v>143</v>
      </c>
      <c r="B27" s="35">
        <v>63471</v>
      </c>
      <c r="C27" s="35">
        <v>161904693</v>
      </c>
    </row>
    <row r="28" spans="1:3" x14ac:dyDescent="0.2">
      <c r="A28" s="8" t="s">
        <v>78</v>
      </c>
      <c r="B28" s="35">
        <v>142950</v>
      </c>
      <c r="C28" s="35">
        <v>368206619</v>
      </c>
    </row>
    <row r="29" spans="1:3" x14ac:dyDescent="0.2">
      <c r="A29" s="8" t="s">
        <v>74</v>
      </c>
      <c r="B29" s="35">
        <v>565469</v>
      </c>
      <c r="C29" s="35">
        <v>1502953689</v>
      </c>
    </row>
    <row r="30" spans="1:3" x14ac:dyDescent="0.2">
      <c r="A30" s="8" t="s">
        <v>73</v>
      </c>
      <c r="B30" s="35">
        <v>569742</v>
      </c>
      <c r="C30" s="35">
        <v>1503084782</v>
      </c>
    </row>
    <row r="31" spans="1:3" x14ac:dyDescent="0.2">
      <c r="A31" s="8" t="s">
        <v>71</v>
      </c>
      <c r="B31" s="35">
        <v>1024192</v>
      </c>
      <c r="C31" s="35">
        <v>2684481413</v>
      </c>
    </row>
    <row r="35" spans="1:6" x14ac:dyDescent="0.2">
      <c r="B35" s="8" t="s">
        <v>140</v>
      </c>
      <c r="C35" s="8" t="s">
        <v>141</v>
      </c>
      <c r="D35" s="8" t="s">
        <v>136</v>
      </c>
      <c r="E35" s="8" t="s">
        <v>137</v>
      </c>
      <c r="F35" s="8" t="s">
        <v>138</v>
      </c>
    </row>
    <row r="36" spans="1:6" ht="18" x14ac:dyDescent="0.2">
      <c r="A36" s="12" t="s">
        <v>28</v>
      </c>
    </row>
    <row r="37" spans="1:6" ht="18" x14ac:dyDescent="0.2">
      <c r="A37" s="12" t="s">
        <v>6</v>
      </c>
    </row>
    <row r="38" spans="1:6" ht="18" x14ac:dyDescent="0.2">
      <c r="A38" s="12" t="s">
        <v>7</v>
      </c>
    </row>
    <row r="39" spans="1:6" ht="18" x14ac:dyDescent="0.2">
      <c r="A39" s="12" t="s">
        <v>31</v>
      </c>
    </row>
    <row r="40" spans="1:6" ht="18" x14ac:dyDescent="0.2">
      <c r="A40" s="12" t="s">
        <v>30</v>
      </c>
    </row>
    <row r="41" spans="1:6" ht="18" x14ac:dyDescent="0.2">
      <c r="A41" s="12" t="s">
        <v>32</v>
      </c>
    </row>
    <row r="42" spans="1:6" ht="18" x14ac:dyDescent="0.2">
      <c r="A42" s="12" t="s">
        <v>34</v>
      </c>
    </row>
    <row r="43" spans="1:6" ht="18" x14ac:dyDescent="0.2">
      <c r="A43" s="12" t="s">
        <v>36</v>
      </c>
    </row>
    <row r="44" spans="1:6" ht="18" x14ac:dyDescent="0.2">
      <c r="A44" s="12" t="s">
        <v>11</v>
      </c>
    </row>
    <row r="45" spans="1:6" ht="18" x14ac:dyDescent="0.2">
      <c r="A45" s="12" t="s">
        <v>13</v>
      </c>
    </row>
    <row r="46" spans="1:6" ht="18" x14ac:dyDescent="0.2">
      <c r="A46" s="12" t="s">
        <v>15</v>
      </c>
    </row>
    <row r="47" spans="1:6" ht="18" x14ac:dyDescent="0.2">
      <c r="A47" s="12" t="s">
        <v>16</v>
      </c>
    </row>
    <row r="48" spans="1:6" ht="18" x14ac:dyDescent="0.2">
      <c r="A48" s="12" t="s">
        <v>19</v>
      </c>
    </row>
    <row r="49" spans="1:6" ht="18" x14ac:dyDescent="0.2">
      <c r="A49" s="12" t="s">
        <v>21</v>
      </c>
    </row>
    <row r="53" spans="1:6" ht="38" x14ac:dyDescent="0.2">
      <c r="B53" s="30" t="s">
        <v>127</v>
      </c>
      <c r="C53" s="30" t="s">
        <v>133</v>
      </c>
      <c r="D53" s="30" t="s">
        <v>145</v>
      </c>
      <c r="E53" s="30" t="s">
        <v>146</v>
      </c>
      <c r="F53" s="30"/>
    </row>
    <row r="54" spans="1:6" ht="18" x14ac:dyDescent="0.2">
      <c r="A54" s="12" t="s">
        <v>115</v>
      </c>
      <c r="B54" s="26">
        <v>2.6</v>
      </c>
      <c r="C54" s="3">
        <v>5</v>
      </c>
      <c r="D54" s="3">
        <v>388900</v>
      </c>
      <c r="E54" s="44">
        <f>C54/D54</f>
        <v>1.2856775520699408E-5</v>
      </c>
      <c r="F54" s="33"/>
    </row>
    <row r="55" spans="1:6" ht="18" x14ac:dyDescent="0.2">
      <c r="A55" s="12" t="s">
        <v>116</v>
      </c>
      <c r="B55" s="26">
        <v>36</v>
      </c>
      <c r="C55" s="3">
        <v>32</v>
      </c>
      <c r="D55" s="3">
        <v>52843</v>
      </c>
      <c r="E55" s="44">
        <f t="shared" ref="E55:E79" si="1">C55/D55</f>
        <v>6.0556743561115001E-4</v>
      </c>
      <c r="F55" s="33"/>
    </row>
    <row r="56" spans="1:6" ht="18" x14ac:dyDescent="0.2">
      <c r="A56" s="12" t="s">
        <v>117</v>
      </c>
      <c r="B56" s="26">
        <v>179</v>
      </c>
      <c r="C56" s="3">
        <v>127</v>
      </c>
      <c r="D56" s="3">
        <v>157595</v>
      </c>
      <c r="E56" s="44">
        <f t="shared" si="1"/>
        <v>8.0586313017544972E-4</v>
      </c>
      <c r="F56" s="33"/>
    </row>
    <row r="57" spans="1:6" ht="18" x14ac:dyDescent="0.2">
      <c r="A57" s="12" t="s">
        <v>118</v>
      </c>
      <c r="B57" s="26">
        <v>1.1000000000000001</v>
      </c>
      <c r="C57" s="3">
        <v>9</v>
      </c>
      <c r="D57" s="3">
        <v>41701</v>
      </c>
      <c r="E57" s="44">
        <f t="shared" si="1"/>
        <v>2.1582216253806862E-4</v>
      </c>
      <c r="F57" s="33"/>
    </row>
    <row r="58" spans="1:6" ht="18" x14ac:dyDescent="0.2">
      <c r="A58" s="12" t="s">
        <v>119</v>
      </c>
      <c r="B58" s="26">
        <v>70</v>
      </c>
      <c r="C58" s="3">
        <v>76</v>
      </c>
      <c r="D58" s="3">
        <v>176264</v>
      </c>
      <c r="E58" s="44">
        <f t="shared" si="1"/>
        <v>4.3117142468116008E-4</v>
      </c>
      <c r="F58" s="33"/>
    </row>
    <row r="59" spans="1:6" ht="18" x14ac:dyDescent="0.2">
      <c r="A59" s="12" t="s">
        <v>120</v>
      </c>
      <c r="B59" s="26">
        <v>310</v>
      </c>
      <c r="C59" s="3">
        <v>107</v>
      </c>
      <c r="D59" s="3">
        <v>73311</v>
      </c>
      <c r="E59" s="44">
        <f t="shared" si="1"/>
        <v>1.4595354039639344E-3</v>
      </c>
      <c r="F59" s="33"/>
    </row>
    <row r="60" spans="1:6" ht="18" x14ac:dyDescent="0.2">
      <c r="A60" s="12" t="s">
        <v>121</v>
      </c>
      <c r="B60" s="26">
        <v>11</v>
      </c>
      <c r="C60" s="3">
        <v>14</v>
      </c>
      <c r="D60" s="3">
        <v>196404</v>
      </c>
      <c r="E60" s="44">
        <f t="shared" si="1"/>
        <v>7.1281643958371515E-5</v>
      </c>
      <c r="F60" s="33"/>
    </row>
    <row r="61" spans="1:6" ht="18" x14ac:dyDescent="0.2">
      <c r="A61" s="12" t="s">
        <v>122</v>
      </c>
      <c r="B61" s="26">
        <v>31</v>
      </c>
      <c r="C61" s="3">
        <v>28</v>
      </c>
      <c r="D61" s="3">
        <v>25916</v>
      </c>
      <c r="E61" s="44">
        <f t="shared" si="1"/>
        <v>1.0804136440808766E-3</v>
      </c>
      <c r="F61" s="33"/>
    </row>
    <row r="62" spans="1:6" ht="18" x14ac:dyDescent="0.2">
      <c r="A62" s="12" t="s">
        <v>0</v>
      </c>
      <c r="B62" s="26">
        <v>2.6</v>
      </c>
      <c r="C62" s="3">
        <v>7</v>
      </c>
      <c r="D62" s="3">
        <v>754600</v>
      </c>
      <c r="E62" s="44">
        <f t="shared" si="1"/>
        <v>9.2764378478664186E-6</v>
      </c>
      <c r="F62" s="33"/>
    </row>
    <row r="63" spans="1:6" ht="18" x14ac:dyDescent="0.2">
      <c r="A63" s="45" t="s">
        <v>1</v>
      </c>
      <c r="B63" s="46">
        <v>1.2</v>
      </c>
      <c r="C63" s="7">
        <v>7</v>
      </c>
      <c r="D63" s="7">
        <v>118523</v>
      </c>
      <c r="E63" s="47">
        <f t="shared" si="1"/>
        <v>5.906026678366224E-5</v>
      </c>
      <c r="F63" s="33"/>
    </row>
    <row r="64" spans="1:6" ht="18" x14ac:dyDescent="0.2">
      <c r="A64" s="12" t="s">
        <v>2</v>
      </c>
      <c r="B64" s="26">
        <v>70</v>
      </c>
      <c r="C64" s="3">
        <v>61</v>
      </c>
      <c r="D64" s="3">
        <v>174995</v>
      </c>
      <c r="E64" s="44">
        <f t="shared" si="1"/>
        <v>3.4858138803965828E-4</v>
      </c>
      <c r="F64" s="33"/>
    </row>
    <row r="65" spans="1:6" ht="18" x14ac:dyDescent="0.2">
      <c r="A65" s="12" t="s">
        <v>3</v>
      </c>
      <c r="B65" s="26">
        <v>310</v>
      </c>
      <c r="C65" s="3">
        <v>100</v>
      </c>
      <c r="D65" s="3">
        <v>73369</v>
      </c>
      <c r="E65" s="44">
        <f t="shared" si="1"/>
        <v>1.3629734629066771E-3</v>
      </c>
      <c r="F65" s="33"/>
    </row>
    <row r="66" spans="1:6" ht="18" x14ac:dyDescent="0.2">
      <c r="A66" s="12" t="s">
        <v>4</v>
      </c>
      <c r="B66" s="26">
        <v>11</v>
      </c>
      <c r="C66" s="3">
        <v>16</v>
      </c>
      <c r="D66" s="3">
        <v>197495</v>
      </c>
      <c r="E66" s="44">
        <f t="shared" si="1"/>
        <v>8.1014709233145148E-5</v>
      </c>
      <c r="F66" s="33"/>
    </row>
    <row r="67" spans="1:6" ht="18" x14ac:dyDescent="0.2">
      <c r="A67" s="12" t="s">
        <v>5</v>
      </c>
      <c r="B67" s="26">
        <v>31</v>
      </c>
      <c r="C67" s="3">
        <v>23</v>
      </c>
      <c r="D67" s="3">
        <v>80178</v>
      </c>
      <c r="E67" s="44">
        <f t="shared" si="1"/>
        <v>2.8686173264486515E-4</v>
      </c>
      <c r="F67" s="33"/>
    </row>
    <row r="68" spans="1:6" ht="18" x14ac:dyDescent="0.2">
      <c r="A68" s="2" t="s">
        <v>91</v>
      </c>
      <c r="B68" s="26">
        <v>5.4</v>
      </c>
      <c r="C68" s="3">
        <v>3</v>
      </c>
      <c r="D68" s="3">
        <v>461</v>
      </c>
      <c r="E68" s="44">
        <f t="shared" si="1"/>
        <v>6.5075921908893707E-3</v>
      </c>
      <c r="F68" s="33"/>
    </row>
    <row r="69" spans="1:6" ht="18" x14ac:dyDescent="0.2">
      <c r="A69" s="49" t="s">
        <v>92</v>
      </c>
      <c r="B69" s="50">
        <v>11</v>
      </c>
      <c r="C69" s="51">
        <v>16</v>
      </c>
      <c r="D69" s="51">
        <v>87</v>
      </c>
      <c r="E69" s="52">
        <f t="shared" si="1"/>
        <v>0.18390804597701149</v>
      </c>
      <c r="F69" s="33"/>
    </row>
    <row r="70" spans="1:6" ht="18" x14ac:dyDescent="0.2">
      <c r="A70" s="2" t="s">
        <v>93</v>
      </c>
      <c r="B70" s="26">
        <v>4.2</v>
      </c>
      <c r="C70" s="3">
        <v>23</v>
      </c>
      <c r="D70" s="3">
        <v>52984</v>
      </c>
      <c r="E70" s="44">
        <f t="shared" si="1"/>
        <v>4.3409331118828324E-4</v>
      </c>
      <c r="F70" s="33"/>
    </row>
    <row r="71" spans="1:6" ht="18" x14ac:dyDescent="0.2">
      <c r="A71" s="2" t="s">
        <v>94</v>
      </c>
      <c r="B71" s="26">
        <v>12</v>
      </c>
      <c r="C71" s="3">
        <v>9</v>
      </c>
      <c r="D71" s="3">
        <v>123</v>
      </c>
      <c r="E71" s="44">
        <f t="shared" si="1"/>
        <v>7.3170731707317069E-2</v>
      </c>
      <c r="F71" s="33"/>
    </row>
    <row r="72" spans="1:6" ht="18" x14ac:dyDescent="0.2">
      <c r="A72" s="2" t="s">
        <v>95</v>
      </c>
      <c r="B72" s="26">
        <v>3.7</v>
      </c>
      <c r="C72" s="3">
        <v>6</v>
      </c>
      <c r="D72" s="3">
        <v>18111</v>
      </c>
      <c r="E72" s="44">
        <f t="shared" si="1"/>
        <v>3.3129037601457677E-4</v>
      </c>
      <c r="F72" s="33"/>
    </row>
    <row r="73" spans="1:6" ht="18" x14ac:dyDescent="0.2">
      <c r="A73" s="2" t="s">
        <v>96</v>
      </c>
      <c r="B73" s="26">
        <v>3.4</v>
      </c>
      <c r="C73" s="3">
        <v>11</v>
      </c>
      <c r="D73" s="3">
        <v>19480</v>
      </c>
      <c r="E73" s="44">
        <f t="shared" si="1"/>
        <v>5.6468172484599587E-4</v>
      </c>
      <c r="F73" s="33"/>
    </row>
    <row r="74" spans="1:6" ht="18" x14ac:dyDescent="0.2">
      <c r="A74" s="23" t="s">
        <v>97</v>
      </c>
      <c r="B74" s="46">
        <v>8.1</v>
      </c>
      <c r="C74" s="7">
        <v>10</v>
      </c>
      <c r="D74" s="7">
        <v>2014</v>
      </c>
      <c r="E74" s="47">
        <f t="shared" si="1"/>
        <v>4.9652432969215492E-3</v>
      </c>
      <c r="F74" s="33"/>
    </row>
    <row r="75" spans="1:6" ht="18" x14ac:dyDescent="0.2">
      <c r="A75" s="23" t="s">
        <v>98</v>
      </c>
      <c r="B75" s="46">
        <v>6.5</v>
      </c>
      <c r="C75" s="7">
        <v>22</v>
      </c>
      <c r="D75" s="7">
        <v>3731</v>
      </c>
      <c r="E75" s="47">
        <f t="shared" si="1"/>
        <v>5.8965424819083356E-3</v>
      </c>
      <c r="F75" s="33"/>
    </row>
    <row r="76" spans="1:6" ht="18" x14ac:dyDescent="0.2">
      <c r="A76" s="49" t="s">
        <v>99</v>
      </c>
      <c r="B76" s="50">
        <v>13</v>
      </c>
      <c r="C76" s="51">
        <v>14</v>
      </c>
      <c r="D76" s="51">
        <v>524</v>
      </c>
      <c r="E76" s="52">
        <f t="shared" si="1"/>
        <v>2.6717557251908396E-2</v>
      </c>
      <c r="F76" s="33"/>
    </row>
    <row r="77" spans="1:6" ht="18" x14ac:dyDescent="0.2">
      <c r="A77" s="2" t="s">
        <v>100</v>
      </c>
      <c r="B77" s="26">
        <v>3.7</v>
      </c>
      <c r="C77" s="3">
        <v>3</v>
      </c>
      <c r="D77" s="3">
        <v>5521</v>
      </c>
      <c r="E77" s="44">
        <f t="shared" si="1"/>
        <v>5.4337982249592464E-4</v>
      </c>
      <c r="F77" s="33"/>
    </row>
    <row r="78" spans="1:6" ht="18" x14ac:dyDescent="0.2">
      <c r="A78" s="2" t="s">
        <v>101</v>
      </c>
      <c r="B78" s="26">
        <v>4.8</v>
      </c>
      <c r="C78" s="3">
        <v>3</v>
      </c>
      <c r="D78" s="3">
        <v>2318</v>
      </c>
      <c r="E78" s="44">
        <f t="shared" si="1"/>
        <v>1.2942191544434857E-3</v>
      </c>
      <c r="F78" s="33"/>
    </row>
    <row r="79" spans="1:6" ht="18" x14ac:dyDescent="0.2">
      <c r="A79" s="49" t="s">
        <v>102</v>
      </c>
      <c r="B79" s="50">
        <v>5.0999999999999996</v>
      </c>
      <c r="C79" s="51">
        <v>30</v>
      </c>
      <c r="D79" s="51">
        <v>406</v>
      </c>
      <c r="E79" s="52">
        <f t="shared" si="1"/>
        <v>7.3891625615763554E-2</v>
      </c>
      <c r="F79" s="33"/>
    </row>
    <row r="87" spans="1:3" x14ac:dyDescent="0.2">
      <c r="A87" s="18"/>
      <c r="B87" s="18" t="s">
        <v>147</v>
      </c>
      <c r="C87" s="18" t="s">
        <v>148</v>
      </c>
    </row>
    <row r="88" spans="1:3" x14ac:dyDescent="0.2">
      <c r="A88" s="18" t="s">
        <v>91</v>
      </c>
      <c r="B88" s="18">
        <v>32340810</v>
      </c>
      <c r="C88" s="18">
        <v>541</v>
      </c>
    </row>
    <row r="89" spans="1:3" x14ac:dyDescent="0.2">
      <c r="A89" s="18" t="s">
        <v>92</v>
      </c>
      <c r="B89" s="18">
        <v>2034828</v>
      </c>
      <c r="C89" s="18">
        <v>1641</v>
      </c>
    </row>
    <row r="90" spans="1:3" x14ac:dyDescent="0.2">
      <c r="A90" s="18" t="s">
        <v>93</v>
      </c>
      <c r="B90" s="18">
        <v>2684480738</v>
      </c>
      <c r="C90" s="18">
        <v>675</v>
      </c>
    </row>
    <row r="91" spans="1:3" x14ac:dyDescent="0.2">
      <c r="A91" s="18" t="s">
        <v>94</v>
      </c>
      <c r="B91" s="18">
        <v>3934863</v>
      </c>
      <c r="C91" s="18">
        <v>207577</v>
      </c>
    </row>
    <row r="92" spans="1:3" x14ac:dyDescent="0.2">
      <c r="A92" s="18" t="s">
        <v>95</v>
      </c>
      <c r="B92" s="18">
        <v>1503079099</v>
      </c>
      <c r="C92" s="18">
        <v>5683</v>
      </c>
    </row>
    <row r="93" spans="1:3" x14ac:dyDescent="0.2">
      <c r="A93" s="18" t="s">
        <v>96</v>
      </c>
      <c r="B93" s="18">
        <v>1502948006</v>
      </c>
      <c r="C93" s="18">
        <v>5683</v>
      </c>
    </row>
    <row r="94" spans="1:3" x14ac:dyDescent="0.2">
      <c r="A94" s="48" t="s">
        <v>97</v>
      </c>
      <c r="B94" s="18">
        <v>16820055</v>
      </c>
      <c r="C94" s="18">
        <v>7225</v>
      </c>
    </row>
    <row r="95" spans="1:3" x14ac:dyDescent="0.2">
      <c r="A95" s="48" t="s">
        <v>98</v>
      </c>
      <c r="B95" s="18">
        <v>49447</v>
      </c>
      <c r="C95" s="18">
        <v>7045</v>
      </c>
    </row>
    <row r="96" spans="1:3" x14ac:dyDescent="0.2">
      <c r="A96" s="18" t="s">
        <v>99</v>
      </c>
      <c r="B96" s="18">
        <v>43845604</v>
      </c>
      <c r="C96" s="18">
        <v>82101</v>
      </c>
    </row>
    <row r="97" spans="1:3" x14ac:dyDescent="0.2">
      <c r="A97" s="18" t="s">
        <v>100</v>
      </c>
      <c r="B97" s="18">
        <v>368205959</v>
      </c>
      <c r="C97" s="18">
        <v>660</v>
      </c>
    </row>
    <row r="98" spans="1:3" x14ac:dyDescent="0.2">
      <c r="A98" s="18" t="s">
        <v>101</v>
      </c>
      <c r="B98" s="18">
        <v>161798447</v>
      </c>
      <c r="C98" s="18">
        <v>106246</v>
      </c>
    </row>
    <row r="99" spans="1:3" x14ac:dyDescent="0.2">
      <c r="A99" s="18" t="s">
        <v>102</v>
      </c>
      <c r="B99" s="18">
        <v>27321287</v>
      </c>
      <c r="C99" s="18">
        <v>106263</v>
      </c>
    </row>
  </sheetData>
  <sortState xmlns:xlrd2="http://schemas.microsoft.com/office/spreadsheetml/2017/richdata2" ref="A20:C31">
    <sortCondition ref="C20:C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Bench status</vt:lpstr>
      <vt:lpstr>Static Dynamic Characteristics</vt:lpstr>
      <vt:lpstr>Static_Overhead_SPEC2017</vt:lpstr>
      <vt:lpstr>Static_Overhead_Splash3</vt:lpstr>
      <vt:lpstr>Dyn_Overhead_SPEC2017</vt:lpstr>
      <vt:lpstr>Dyn_Overhead_Splash3</vt:lpstr>
      <vt:lpstr>Sheet1</vt:lpstr>
      <vt:lpstr>Dyn_Overhead_Splash3-analysis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Sungkeun</dc:creator>
  <cp:keywords/>
  <dc:description/>
  <cp:lastModifiedBy>Kim, Sungkeun</cp:lastModifiedBy>
  <cp:revision/>
  <dcterms:created xsi:type="dcterms:W3CDTF">2022-06-02T21:10:16Z</dcterms:created>
  <dcterms:modified xsi:type="dcterms:W3CDTF">2023-02-03T15:45:12Z</dcterms:modified>
  <cp:category/>
  <cp:contentStatus/>
</cp:coreProperties>
</file>