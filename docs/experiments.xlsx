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ngkeunkim/git/DCCE/docs/"/>
    </mc:Choice>
  </mc:AlternateContent>
  <xr:revisionPtr revIDLastSave="0" documentId="13_ncr:1_{26363076-74EC-B043-AE80-863B33B9A2D5}" xr6:coauthVersionLast="47" xr6:coauthVersionMax="47" xr10:uidLastSave="{00000000-0000-0000-0000-000000000000}"/>
  <bookViews>
    <workbookView xWindow="-76800" yWindow="-7880" windowWidth="38400" windowHeight="21100" firstSheet="4" activeTab="9" xr2:uid="{E6A628A0-BA48-FD4D-9B0A-CC4CBF8BF1CD}"/>
  </bookViews>
  <sheets>
    <sheet name="Bench status" sheetId="11" r:id="rId1"/>
    <sheet name="Static Dynamic Characteristics" sheetId="13" r:id="rId2"/>
    <sheet name="Static_Overhead_SPEC2017" sheetId="23" r:id="rId3"/>
    <sheet name="Static_Overhead_Splash3" sheetId="22" r:id="rId4"/>
    <sheet name="Dyn_Overhead_SPEC2017" sheetId="19" r:id="rId5"/>
    <sheet name="Dyn_Overhead_Splash3" sheetId="20" r:id="rId6"/>
    <sheet name="Sheet1" sheetId="24" r:id="rId7"/>
    <sheet name="Dyn_Overhead_Splash3-analysis" sheetId="25" r:id="rId8"/>
    <sheet name="Sheet3" sheetId="26" r:id="rId9"/>
    <sheet name="barrier-elision" sheetId="28" r:id="rId10"/>
  </sheets>
  <definedNames>
    <definedName name="_xlnm._FilterDatabase" localSheetId="0" hidden="1">'Bench status'!$A$1:$I$58</definedName>
    <definedName name="_xlchart.v1.11" hidden="1">'barrier-elision'!$A$1:$B$278</definedName>
    <definedName name="_xlchart.v1.12" hidden="1">'barrier-elision'!$A$269:$B$278</definedName>
    <definedName name="_xlchart.v1.13" hidden="1">'barrier-elision'!$C$268</definedName>
    <definedName name="_xlchart.v1.14" hidden="1">'barrier-elision'!$C$269:$C$278</definedName>
    <definedName name="_xlchart.v1.15" hidden="1">'barrier-elision'!$D$268</definedName>
    <definedName name="_xlchart.v1.16" hidden="1">'barrier-elision'!$D$269:$D$278</definedName>
    <definedName name="_xlchart.v1.17" hidden="1">'barrier-elision'!$E$268</definedName>
    <definedName name="_xlchart.v1.18" hidden="1">'barrier-elision'!$E$269:$E$278</definedName>
    <definedName name="_xlchart.v1.19" hidden="1">'barrier-elision'!$F$268</definedName>
    <definedName name="_xlchart.v1.20" hidden="1">'barrier-elision'!$F$269:$F$278</definedName>
    <definedName name="_xlchart.v2.0" hidden="1">'barrier-elision'!$A$269:$A$278</definedName>
    <definedName name="_xlchart.v2.1" hidden="1">'barrier-elision'!$B$268</definedName>
    <definedName name="_xlchart.v2.10" hidden="1">'barrier-elision'!$F$269:$F$278</definedName>
    <definedName name="_xlchart.v2.2" hidden="1">'barrier-elision'!$B$269:$B$278</definedName>
    <definedName name="_xlchart.v2.3" hidden="1">'barrier-elision'!$C$268</definedName>
    <definedName name="_xlchart.v2.4" hidden="1">'barrier-elision'!$C$269:$C$278</definedName>
    <definedName name="_xlchart.v2.5" hidden="1">'barrier-elision'!$D$268</definedName>
    <definedName name="_xlchart.v2.6" hidden="1">'barrier-elision'!$D$269:$D$278</definedName>
    <definedName name="_xlchart.v2.7" hidden="1">'barrier-elision'!$E$268</definedName>
    <definedName name="_xlchart.v2.8" hidden="1">'barrier-elision'!$E$269:$E$278</definedName>
    <definedName name="_xlchart.v2.9" hidden="1">'barrier-elision'!$F$268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78" i="28" l="1"/>
  <c r="D278" i="28"/>
  <c r="E278" i="28"/>
  <c r="F278" i="28"/>
  <c r="B278" i="28"/>
  <c r="C269" i="28"/>
  <c r="D269" i="28"/>
  <c r="E269" i="28"/>
  <c r="F269" i="28"/>
  <c r="C270" i="28"/>
  <c r="D270" i="28"/>
  <c r="E270" i="28"/>
  <c r="F270" i="28"/>
  <c r="C271" i="28"/>
  <c r="D271" i="28"/>
  <c r="E271" i="28"/>
  <c r="F271" i="28"/>
  <c r="C272" i="28"/>
  <c r="D272" i="28"/>
  <c r="E272" i="28"/>
  <c r="F272" i="28"/>
  <c r="C273" i="28"/>
  <c r="D273" i="28"/>
  <c r="E273" i="28"/>
  <c r="F273" i="28"/>
  <c r="C274" i="28"/>
  <c r="D274" i="28"/>
  <c r="E274" i="28"/>
  <c r="F274" i="28"/>
  <c r="C275" i="28"/>
  <c r="D275" i="28"/>
  <c r="E275" i="28"/>
  <c r="F275" i="28"/>
  <c r="C276" i="28"/>
  <c r="D276" i="28"/>
  <c r="E276" i="28"/>
  <c r="F276" i="28"/>
  <c r="C277" i="28"/>
  <c r="D277" i="28"/>
  <c r="E277" i="28"/>
  <c r="F277" i="28"/>
  <c r="B270" i="28"/>
  <c r="B271" i="28"/>
  <c r="B272" i="28"/>
  <c r="B273" i="28"/>
  <c r="B274" i="28"/>
  <c r="B275" i="28"/>
  <c r="B276" i="28"/>
  <c r="B277" i="28"/>
  <c r="B269" i="28"/>
  <c r="H231" i="28"/>
  <c r="H232" i="28"/>
  <c r="H233" i="28"/>
  <c r="H234" i="28"/>
  <c r="H235" i="28"/>
  <c r="H236" i="28"/>
  <c r="H237" i="28"/>
  <c r="H238" i="28"/>
  <c r="H239" i="28"/>
  <c r="H240" i="28"/>
  <c r="H241" i="28"/>
  <c r="H242" i="28"/>
  <c r="H243" i="28"/>
  <c r="H244" i="28"/>
  <c r="G232" i="28"/>
  <c r="G233" i="28"/>
  <c r="G234" i="28"/>
  <c r="G235" i="28"/>
  <c r="G236" i="28"/>
  <c r="G237" i="28"/>
  <c r="G238" i="28"/>
  <c r="G239" i="28"/>
  <c r="G240" i="28"/>
  <c r="G241" i="28"/>
  <c r="G242" i="28"/>
  <c r="G243" i="28"/>
  <c r="G244" i="28"/>
  <c r="G231" i="28"/>
  <c r="F231" i="28"/>
  <c r="F232" i="28"/>
  <c r="F233" i="28"/>
  <c r="F234" i="28"/>
  <c r="F235" i="28"/>
  <c r="F236" i="28"/>
  <c r="F237" i="28"/>
  <c r="F238" i="28"/>
  <c r="F239" i="28"/>
  <c r="F240" i="28"/>
  <c r="F241" i="28"/>
  <c r="F242" i="28"/>
  <c r="F243" i="28"/>
  <c r="F244" i="28"/>
  <c r="E232" i="28"/>
  <c r="E233" i="28"/>
  <c r="E234" i="28"/>
  <c r="E235" i="28"/>
  <c r="E236" i="28"/>
  <c r="E237" i="28"/>
  <c r="E238" i="28"/>
  <c r="E239" i="28"/>
  <c r="E240" i="28"/>
  <c r="E241" i="28"/>
  <c r="E242" i="28"/>
  <c r="E243" i="28"/>
  <c r="E244" i="28"/>
  <c r="E231" i="28"/>
  <c r="D231" i="28"/>
  <c r="D232" i="28"/>
  <c r="D233" i="28"/>
  <c r="D234" i="28"/>
  <c r="D235" i="28"/>
  <c r="D236" i="28"/>
  <c r="D237" i="28"/>
  <c r="D238" i="28"/>
  <c r="D239" i="28"/>
  <c r="D240" i="28"/>
  <c r="D241" i="28"/>
  <c r="D242" i="28"/>
  <c r="D243" i="28"/>
  <c r="D244" i="28"/>
  <c r="C232" i="28"/>
  <c r="C233" i="28"/>
  <c r="C234" i="28"/>
  <c r="C235" i="28"/>
  <c r="C236" i="28"/>
  <c r="C237" i="28"/>
  <c r="C238" i="28"/>
  <c r="C239" i="28"/>
  <c r="C240" i="28"/>
  <c r="C241" i="28"/>
  <c r="C242" i="28"/>
  <c r="C243" i="28"/>
  <c r="C244" i="28"/>
  <c r="C231" i="28"/>
  <c r="C215" i="28"/>
  <c r="D215" i="28"/>
  <c r="E215" i="28"/>
  <c r="F215" i="28"/>
  <c r="G215" i="28"/>
  <c r="H215" i="28"/>
  <c r="C216" i="28"/>
  <c r="D216" i="28"/>
  <c r="E216" i="28"/>
  <c r="F216" i="28"/>
  <c r="G216" i="28"/>
  <c r="H216" i="28"/>
  <c r="C217" i="28"/>
  <c r="D217" i="28"/>
  <c r="E217" i="28"/>
  <c r="F217" i="28"/>
  <c r="G217" i="28"/>
  <c r="H217" i="28"/>
  <c r="C218" i="28"/>
  <c r="D218" i="28"/>
  <c r="E218" i="28"/>
  <c r="F218" i="28"/>
  <c r="G218" i="28"/>
  <c r="H218" i="28"/>
  <c r="C219" i="28"/>
  <c r="D219" i="28"/>
  <c r="E219" i="28"/>
  <c r="F219" i="28"/>
  <c r="G219" i="28"/>
  <c r="H219" i="28"/>
  <c r="C220" i="28"/>
  <c r="D220" i="28"/>
  <c r="E220" i="28"/>
  <c r="F220" i="28"/>
  <c r="G220" i="28"/>
  <c r="H220" i="28"/>
  <c r="C221" i="28"/>
  <c r="D221" i="28"/>
  <c r="E221" i="28"/>
  <c r="F221" i="28"/>
  <c r="G221" i="28"/>
  <c r="H221" i="28"/>
  <c r="C222" i="28"/>
  <c r="D222" i="28"/>
  <c r="E222" i="28"/>
  <c r="F222" i="28"/>
  <c r="G222" i="28"/>
  <c r="H222" i="28"/>
  <c r="C223" i="28"/>
  <c r="D223" i="28"/>
  <c r="E223" i="28"/>
  <c r="F223" i="28"/>
  <c r="G223" i="28"/>
  <c r="H223" i="28"/>
  <c r="C224" i="28"/>
  <c r="D224" i="28"/>
  <c r="E224" i="28"/>
  <c r="F224" i="28"/>
  <c r="G224" i="28"/>
  <c r="H224" i="28"/>
  <c r="C225" i="28"/>
  <c r="D225" i="28"/>
  <c r="E225" i="28"/>
  <c r="F225" i="28"/>
  <c r="G225" i="28"/>
  <c r="H225" i="28"/>
  <c r="C226" i="28"/>
  <c r="D226" i="28"/>
  <c r="E226" i="28"/>
  <c r="F226" i="28"/>
  <c r="G226" i="28"/>
  <c r="H226" i="28"/>
  <c r="C227" i="28"/>
  <c r="D227" i="28"/>
  <c r="E227" i="28"/>
  <c r="F227" i="28"/>
  <c r="G227" i="28"/>
  <c r="H227" i="28"/>
  <c r="C228" i="28"/>
  <c r="D228" i="28"/>
  <c r="E228" i="28"/>
  <c r="F228" i="28"/>
  <c r="G228" i="28"/>
  <c r="H228" i="28"/>
  <c r="B216" i="28"/>
  <c r="B217" i="28"/>
  <c r="B218" i="28"/>
  <c r="B219" i="28"/>
  <c r="B220" i="28"/>
  <c r="B221" i="28"/>
  <c r="B222" i="28"/>
  <c r="B223" i="28"/>
  <c r="B224" i="28"/>
  <c r="B225" i="28"/>
  <c r="B226" i="28"/>
  <c r="B227" i="28"/>
  <c r="B228" i="28"/>
  <c r="B215" i="28"/>
  <c r="C74" i="28"/>
  <c r="D74" i="28"/>
  <c r="E74" i="28"/>
  <c r="F74" i="28"/>
  <c r="G74" i="28"/>
  <c r="H74" i="28"/>
  <c r="C75" i="28"/>
  <c r="D75" i="28"/>
  <c r="E75" i="28"/>
  <c r="F75" i="28"/>
  <c r="G75" i="28"/>
  <c r="H75" i="28"/>
  <c r="C76" i="28"/>
  <c r="D76" i="28"/>
  <c r="E76" i="28"/>
  <c r="F76" i="28"/>
  <c r="G76" i="28"/>
  <c r="H76" i="28"/>
  <c r="C77" i="28"/>
  <c r="C88" i="28" s="1"/>
  <c r="D77" i="28"/>
  <c r="D88" i="28" s="1"/>
  <c r="E77" i="28"/>
  <c r="F77" i="28"/>
  <c r="G77" i="28"/>
  <c r="H77" i="28"/>
  <c r="C78" i="28"/>
  <c r="D78" i="28"/>
  <c r="E78" i="28"/>
  <c r="F78" i="28"/>
  <c r="G78" i="28"/>
  <c r="H78" i="28"/>
  <c r="C79" i="28"/>
  <c r="D79" i="28"/>
  <c r="E79" i="28"/>
  <c r="F79" i="28"/>
  <c r="G79" i="28"/>
  <c r="H79" i="28"/>
  <c r="C80" i="28"/>
  <c r="D80" i="28"/>
  <c r="E80" i="28"/>
  <c r="F80" i="28"/>
  <c r="G80" i="28"/>
  <c r="H80" i="28"/>
  <c r="C81" i="28"/>
  <c r="D81" i="28"/>
  <c r="E81" i="28"/>
  <c r="F81" i="28"/>
  <c r="G81" i="28"/>
  <c r="H81" i="28"/>
  <c r="C82" i="28"/>
  <c r="D82" i="28"/>
  <c r="E82" i="28"/>
  <c r="F82" i="28"/>
  <c r="G82" i="28"/>
  <c r="H82" i="28"/>
  <c r="C83" i="28"/>
  <c r="D83" i="28"/>
  <c r="E83" i="28"/>
  <c r="F83" i="28"/>
  <c r="G83" i="28"/>
  <c r="H83" i="28"/>
  <c r="C84" i="28"/>
  <c r="D84" i="28"/>
  <c r="E84" i="28"/>
  <c r="F84" i="28"/>
  <c r="G84" i="28"/>
  <c r="H84" i="28"/>
  <c r="C85" i="28"/>
  <c r="D85" i="28"/>
  <c r="E85" i="28"/>
  <c r="F85" i="28"/>
  <c r="G85" i="28"/>
  <c r="H85" i="28"/>
  <c r="C86" i="28"/>
  <c r="D86" i="28"/>
  <c r="E86" i="28"/>
  <c r="F86" i="28"/>
  <c r="G86" i="28"/>
  <c r="H86" i="28"/>
  <c r="C87" i="28"/>
  <c r="D87" i="28"/>
  <c r="E87" i="28"/>
  <c r="F87" i="28"/>
  <c r="E88" i="28"/>
  <c r="F88" i="28"/>
  <c r="G88" i="28"/>
  <c r="H88" i="28"/>
  <c r="B87" i="28"/>
  <c r="D123" i="28"/>
  <c r="D106" i="28"/>
  <c r="B75" i="28"/>
  <c r="B76" i="28"/>
  <c r="B77" i="28"/>
  <c r="B78" i="28"/>
  <c r="B79" i="28"/>
  <c r="B80" i="28"/>
  <c r="B81" i="28"/>
  <c r="B82" i="28"/>
  <c r="B83" i="28"/>
  <c r="B84" i="28"/>
  <c r="B85" i="28"/>
  <c r="B86" i="28"/>
  <c r="B74" i="28"/>
  <c r="D122" i="28"/>
  <c r="D121" i="28"/>
  <c r="D120" i="28"/>
  <c r="D119" i="28"/>
  <c r="D118" i="28"/>
  <c r="D117" i="28"/>
  <c r="D116" i="28"/>
  <c r="D115" i="28"/>
  <c r="D114" i="28"/>
  <c r="D113" i="28"/>
  <c r="D112" i="28"/>
  <c r="D111" i="28"/>
  <c r="D110" i="28"/>
  <c r="D93" i="28"/>
  <c r="D94" i="28"/>
  <c r="D95" i="28"/>
  <c r="D96" i="28"/>
  <c r="D97" i="28"/>
  <c r="D98" i="28"/>
  <c r="D99" i="28"/>
  <c r="D100" i="28"/>
  <c r="D101" i="28"/>
  <c r="D102" i="28"/>
  <c r="D103" i="28"/>
  <c r="D104" i="28"/>
  <c r="D105" i="28"/>
  <c r="C19" i="28"/>
  <c r="D19" i="28"/>
  <c r="E19" i="28"/>
  <c r="C20" i="28"/>
  <c r="D20" i="28"/>
  <c r="E20" i="28"/>
  <c r="C21" i="28"/>
  <c r="D21" i="28"/>
  <c r="E21" i="28"/>
  <c r="C22" i="28"/>
  <c r="D22" i="28"/>
  <c r="E22" i="28"/>
  <c r="C23" i="28"/>
  <c r="D23" i="28"/>
  <c r="E23" i="28"/>
  <c r="C24" i="28"/>
  <c r="D24" i="28"/>
  <c r="E24" i="28"/>
  <c r="C25" i="28"/>
  <c r="D25" i="28"/>
  <c r="E25" i="28"/>
  <c r="C26" i="28"/>
  <c r="D26" i="28"/>
  <c r="E26" i="28"/>
  <c r="C27" i="28"/>
  <c r="D27" i="28"/>
  <c r="E27" i="28"/>
  <c r="C28" i="28"/>
  <c r="D28" i="28"/>
  <c r="E28" i="28"/>
  <c r="C29" i="28"/>
  <c r="D29" i="28"/>
  <c r="E29" i="28"/>
  <c r="C30" i="28"/>
  <c r="D30" i="28"/>
  <c r="E30" i="28"/>
  <c r="C31" i="28"/>
  <c r="D31" i="28"/>
  <c r="E31" i="28"/>
  <c r="B20" i="28"/>
  <c r="B21" i="28"/>
  <c r="B22" i="28"/>
  <c r="B23" i="28"/>
  <c r="B24" i="28"/>
  <c r="B25" i="28"/>
  <c r="B26" i="28"/>
  <c r="B27" i="28"/>
  <c r="B28" i="28"/>
  <c r="B29" i="28"/>
  <c r="B30" i="28"/>
  <c r="B31" i="28"/>
  <c r="B19" i="28"/>
  <c r="G50" i="22"/>
  <c r="H50" i="22"/>
  <c r="I50" i="22"/>
  <c r="J50" i="22"/>
  <c r="G51" i="23"/>
  <c r="H51" i="23"/>
  <c r="I51" i="23"/>
  <c r="J51" i="23"/>
  <c r="G52" i="23"/>
  <c r="H52" i="23"/>
  <c r="I52" i="23"/>
  <c r="J52" i="23"/>
  <c r="G53" i="23"/>
  <c r="H53" i="23"/>
  <c r="I53" i="23"/>
  <c r="J53" i="23"/>
  <c r="G54" i="23"/>
  <c r="H54" i="23"/>
  <c r="I54" i="23"/>
  <c r="J54" i="23"/>
  <c r="G55" i="23"/>
  <c r="H55" i="23"/>
  <c r="I55" i="23"/>
  <c r="J55" i="23"/>
  <c r="G56" i="23"/>
  <c r="H56" i="23"/>
  <c r="I56" i="23"/>
  <c r="J56" i="23"/>
  <c r="G57" i="23"/>
  <c r="H57" i="23"/>
  <c r="I57" i="23"/>
  <c r="J57" i="23"/>
  <c r="G58" i="23"/>
  <c r="H58" i="23"/>
  <c r="I58" i="23"/>
  <c r="J58" i="23"/>
  <c r="C18" i="22"/>
  <c r="D18" i="22"/>
  <c r="E18" i="22"/>
  <c r="F18" i="22"/>
  <c r="C19" i="22"/>
  <c r="D19" i="22"/>
  <c r="E19" i="22"/>
  <c r="F19" i="22"/>
  <c r="C20" i="22"/>
  <c r="D20" i="22"/>
  <c r="E20" i="22"/>
  <c r="F20" i="22"/>
  <c r="C21" i="22"/>
  <c r="D21" i="22"/>
  <c r="E21" i="22"/>
  <c r="F21" i="22"/>
  <c r="C22" i="22"/>
  <c r="D22" i="22"/>
  <c r="E22" i="22"/>
  <c r="F22" i="22"/>
  <c r="C23" i="22"/>
  <c r="D23" i="22"/>
  <c r="E23" i="22"/>
  <c r="F23" i="22"/>
  <c r="C24" i="22"/>
  <c r="D24" i="22"/>
  <c r="E24" i="22"/>
  <c r="F24" i="22"/>
  <c r="C25" i="22"/>
  <c r="D25" i="22"/>
  <c r="E25" i="22"/>
  <c r="F25" i="22"/>
  <c r="C26" i="22"/>
  <c r="D26" i="22"/>
  <c r="E26" i="22"/>
  <c r="F26" i="22"/>
  <c r="C27" i="22"/>
  <c r="D27" i="22"/>
  <c r="E27" i="22"/>
  <c r="F27" i="22"/>
  <c r="C28" i="22"/>
  <c r="D28" i="22"/>
  <c r="E28" i="22"/>
  <c r="F28" i="22"/>
  <c r="C29" i="22"/>
  <c r="D29" i="22"/>
  <c r="E29" i="22"/>
  <c r="F29" i="22"/>
  <c r="C30" i="22"/>
  <c r="D30" i="22"/>
  <c r="E30" i="22"/>
  <c r="F30" i="22"/>
  <c r="B28" i="22"/>
  <c r="D35" i="23"/>
  <c r="D28" i="23"/>
  <c r="C24" i="23"/>
  <c r="D24" i="23"/>
  <c r="E24" i="23"/>
  <c r="F24" i="23"/>
  <c r="C25" i="23"/>
  <c r="C40" i="23" s="1"/>
  <c r="D25" i="23"/>
  <c r="E25" i="23"/>
  <c r="F25" i="23"/>
  <c r="C26" i="23"/>
  <c r="D26" i="23"/>
  <c r="E26" i="23"/>
  <c r="F26" i="23"/>
  <c r="C27" i="23"/>
  <c r="D27" i="23"/>
  <c r="E27" i="23"/>
  <c r="F27" i="23"/>
  <c r="C28" i="23"/>
  <c r="E28" i="23"/>
  <c r="F28" i="23"/>
  <c r="C29" i="23"/>
  <c r="D29" i="23"/>
  <c r="E29" i="23"/>
  <c r="F29" i="23"/>
  <c r="C30" i="23"/>
  <c r="D30" i="23"/>
  <c r="E30" i="23"/>
  <c r="F30" i="23"/>
  <c r="C31" i="23"/>
  <c r="D31" i="23"/>
  <c r="E31" i="23"/>
  <c r="F31" i="23"/>
  <c r="C32" i="23"/>
  <c r="D32" i="23"/>
  <c r="E32" i="23"/>
  <c r="F32" i="23"/>
  <c r="C33" i="23"/>
  <c r="D33" i="23"/>
  <c r="E33" i="23"/>
  <c r="F33" i="23"/>
  <c r="C34" i="23"/>
  <c r="D34" i="23"/>
  <c r="E34" i="23"/>
  <c r="F34" i="23"/>
  <c r="C35" i="23"/>
  <c r="E35" i="23"/>
  <c r="F35" i="23"/>
  <c r="C36" i="23"/>
  <c r="D36" i="23"/>
  <c r="E36" i="23"/>
  <c r="F36" i="23"/>
  <c r="C37" i="23"/>
  <c r="D37" i="23"/>
  <c r="E37" i="23"/>
  <c r="F37" i="23"/>
  <c r="C38" i="23"/>
  <c r="D38" i="23"/>
  <c r="E38" i="23"/>
  <c r="F38" i="23"/>
  <c r="C39" i="23"/>
  <c r="D39" i="23"/>
  <c r="E39" i="23"/>
  <c r="F39" i="23"/>
  <c r="B28" i="23"/>
  <c r="B29" i="23"/>
  <c r="B30" i="23"/>
  <c r="B31" i="23"/>
  <c r="B32" i="23"/>
  <c r="B33" i="23"/>
  <c r="B34" i="23"/>
  <c r="B35" i="23"/>
  <c r="B36" i="23"/>
  <c r="B37" i="23"/>
  <c r="B38" i="23"/>
  <c r="B39" i="23"/>
  <c r="F48" i="13"/>
  <c r="L48" i="13" s="1"/>
  <c r="F33" i="13"/>
  <c r="F26" i="13"/>
  <c r="L26" i="13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54" i="26"/>
  <c r="D13" i="26"/>
  <c r="D14" i="26"/>
  <c r="D4" i="26"/>
  <c r="D5" i="26"/>
  <c r="D6" i="26"/>
  <c r="D7" i="26"/>
  <c r="D8" i="26"/>
  <c r="D9" i="26"/>
  <c r="D10" i="26"/>
  <c r="D11" i="26"/>
  <c r="D12" i="26"/>
  <c r="D3" i="26"/>
  <c r="G60" i="25"/>
  <c r="F60" i="25"/>
  <c r="E60" i="25"/>
  <c r="D60" i="25"/>
  <c r="C60" i="25"/>
  <c r="B60" i="25"/>
  <c r="G59" i="25"/>
  <c r="F59" i="25"/>
  <c r="E59" i="25"/>
  <c r="D59" i="25"/>
  <c r="C59" i="25"/>
  <c r="B59" i="25"/>
  <c r="G58" i="25"/>
  <c r="F58" i="25"/>
  <c r="E58" i="25"/>
  <c r="D58" i="25"/>
  <c r="C58" i="25"/>
  <c r="B58" i="25"/>
  <c r="G57" i="25"/>
  <c r="F57" i="25"/>
  <c r="E57" i="25"/>
  <c r="D57" i="25"/>
  <c r="C57" i="25"/>
  <c r="B57" i="25"/>
  <c r="G56" i="25"/>
  <c r="F56" i="25"/>
  <c r="E56" i="25"/>
  <c r="D56" i="25"/>
  <c r="C56" i="25"/>
  <c r="B56" i="25"/>
  <c r="G55" i="25"/>
  <c r="F55" i="25"/>
  <c r="E55" i="25"/>
  <c r="D55" i="25"/>
  <c r="C55" i="25"/>
  <c r="B55" i="25"/>
  <c r="G54" i="25"/>
  <c r="F54" i="25"/>
  <c r="E54" i="25"/>
  <c r="D54" i="25"/>
  <c r="C54" i="25"/>
  <c r="B54" i="25"/>
  <c r="G53" i="25"/>
  <c r="F53" i="25"/>
  <c r="E53" i="25"/>
  <c r="D53" i="25"/>
  <c r="C53" i="25"/>
  <c r="B53" i="25"/>
  <c r="G52" i="25"/>
  <c r="F52" i="25"/>
  <c r="E52" i="25"/>
  <c r="D52" i="25"/>
  <c r="C52" i="25"/>
  <c r="B52" i="25"/>
  <c r="G51" i="25"/>
  <c r="F51" i="25"/>
  <c r="E51" i="25"/>
  <c r="D51" i="25"/>
  <c r="C51" i="25"/>
  <c r="B51" i="25"/>
  <c r="G50" i="25"/>
  <c r="F50" i="25"/>
  <c r="E50" i="25"/>
  <c r="D50" i="25"/>
  <c r="C50" i="25"/>
  <c r="B50" i="25"/>
  <c r="G49" i="25"/>
  <c r="G61" i="25" s="1"/>
  <c r="F49" i="25"/>
  <c r="F61" i="25" s="1"/>
  <c r="E49" i="25"/>
  <c r="E61" i="25" s="1"/>
  <c r="D49" i="25"/>
  <c r="D61" i="25" s="1"/>
  <c r="C49" i="25"/>
  <c r="C61" i="25" s="1"/>
  <c r="B49" i="25"/>
  <c r="B61" i="25" s="1"/>
  <c r="L45" i="25"/>
  <c r="K45" i="25"/>
  <c r="J45" i="25"/>
  <c r="M45" i="25" s="1"/>
  <c r="I45" i="25"/>
  <c r="H45" i="25"/>
  <c r="M44" i="25"/>
  <c r="L44" i="25"/>
  <c r="K44" i="25"/>
  <c r="J44" i="25"/>
  <c r="I44" i="25"/>
  <c r="H44" i="25"/>
  <c r="L43" i="25"/>
  <c r="K43" i="25"/>
  <c r="J43" i="25"/>
  <c r="M43" i="25" s="1"/>
  <c r="I43" i="25"/>
  <c r="H43" i="25"/>
  <c r="L42" i="25"/>
  <c r="K42" i="25"/>
  <c r="J42" i="25"/>
  <c r="M42" i="25" s="1"/>
  <c r="I42" i="25"/>
  <c r="H42" i="25"/>
  <c r="L41" i="25"/>
  <c r="M41" i="25" s="1"/>
  <c r="K41" i="25"/>
  <c r="J41" i="25"/>
  <c r="I41" i="25"/>
  <c r="H41" i="25"/>
  <c r="L40" i="25"/>
  <c r="K40" i="25"/>
  <c r="J40" i="25"/>
  <c r="M40" i="25" s="1"/>
  <c r="I40" i="25"/>
  <c r="H40" i="25"/>
  <c r="M39" i="25"/>
  <c r="L39" i="25"/>
  <c r="K39" i="25"/>
  <c r="J39" i="25"/>
  <c r="I39" i="25"/>
  <c r="H39" i="25"/>
  <c r="L38" i="25"/>
  <c r="K38" i="25"/>
  <c r="J38" i="25"/>
  <c r="M38" i="25" s="1"/>
  <c r="I38" i="25"/>
  <c r="H38" i="25"/>
  <c r="L37" i="25"/>
  <c r="K37" i="25"/>
  <c r="J37" i="25"/>
  <c r="M37" i="25" s="1"/>
  <c r="I37" i="25"/>
  <c r="H37" i="25"/>
  <c r="L36" i="25"/>
  <c r="M36" i="25" s="1"/>
  <c r="K36" i="25"/>
  <c r="J36" i="25"/>
  <c r="I36" i="25"/>
  <c r="H36" i="25"/>
  <c r="L35" i="25"/>
  <c r="K35" i="25"/>
  <c r="K46" i="25" s="1"/>
  <c r="J35" i="25"/>
  <c r="M35" i="25" s="1"/>
  <c r="I35" i="25"/>
  <c r="H35" i="25"/>
  <c r="M34" i="25"/>
  <c r="L34" i="25"/>
  <c r="K34" i="25"/>
  <c r="J34" i="25"/>
  <c r="J46" i="25" s="1"/>
  <c r="I34" i="25"/>
  <c r="I46" i="25" s="1"/>
  <c r="H34" i="25"/>
  <c r="H46" i="25" s="1"/>
  <c r="F29" i="25"/>
  <c r="G28" i="25"/>
  <c r="F28" i="25"/>
  <c r="E28" i="25"/>
  <c r="D28" i="25"/>
  <c r="C28" i="25"/>
  <c r="B28" i="25"/>
  <c r="G27" i="25"/>
  <c r="F27" i="25"/>
  <c r="E27" i="25"/>
  <c r="D27" i="25"/>
  <c r="C27" i="25"/>
  <c r="B27" i="25"/>
  <c r="G26" i="25"/>
  <c r="F26" i="25"/>
  <c r="E26" i="25"/>
  <c r="D26" i="25"/>
  <c r="C26" i="25"/>
  <c r="B26" i="25"/>
  <c r="G25" i="25"/>
  <c r="F25" i="25"/>
  <c r="E25" i="25"/>
  <c r="D25" i="25"/>
  <c r="C25" i="25"/>
  <c r="B25" i="25"/>
  <c r="G24" i="25"/>
  <c r="F24" i="25"/>
  <c r="E24" i="25"/>
  <c r="D24" i="25"/>
  <c r="C24" i="25"/>
  <c r="B24" i="25"/>
  <c r="G23" i="25"/>
  <c r="F23" i="25"/>
  <c r="E23" i="25"/>
  <c r="D23" i="25"/>
  <c r="C23" i="25"/>
  <c r="B23" i="25"/>
  <c r="G22" i="25"/>
  <c r="F22" i="25"/>
  <c r="E22" i="25"/>
  <c r="D22" i="25"/>
  <c r="C22" i="25"/>
  <c r="B22" i="25"/>
  <c r="G21" i="25"/>
  <c r="F21" i="25"/>
  <c r="E21" i="25"/>
  <c r="D21" i="25"/>
  <c r="C21" i="25"/>
  <c r="B21" i="25"/>
  <c r="G20" i="25"/>
  <c r="F20" i="25"/>
  <c r="E20" i="25"/>
  <c r="D20" i="25"/>
  <c r="C20" i="25"/>
  <c r="B20" i="25"/>
  <c r="G19" i="25"/>
  <c r="F19" i="25"/>
  <c r="E19" i="25"/>
  <c r="E29" i="25" s="1"/>
  <c r="D19" i="25"/>
  <c r="C19" i="25"/>
  <c r="B19" i="25"/>
  <c r="G18" i="25"/>
  <c r="F18" i="25"/>
  <c r="E18" i="25"/>
  <c r="D18" i="25"/>
  <c r="D29" i="25" s="1"/>
  <c r="C18" i="25"/>
  <c r="B18" i="25"/>
  <c r="G17" i="25"/>
  <c r="G29" i="25" s="1"/>
  <c r="F17" i="25"/>
  <c r="E17" i="25"/>
  <c r="D17" i="25"/>
  <c r="C17" i="25"/>
  <c r="C29" i="25" s="1"/>
  <c r="B17" i="25"/>
  <c r="B29" i="25" s="1"/>
  <c r="G28" i="24"/>
  <c r="F28" i="24"/>
  <c r="E28" i="24"/>
  <c r="D28" i="24"/>
  <c r="C28" i="24"/>
  <c r="B28" i="24"/>
  <c r="G27" i="24"/>
  <c r="F27" i="24"/>
  <c r="E27" i="24"/>
  <c r="D27" i="24"/>
  <c r="C27" i="24"/>
  <c r="B27" i="24"/>
  <c r="G26" i="24"/>
  <c r="F26" i="24"/>
  <c r="E26" i="24"/>
  <c r="D26" i="24"/>
  <c r="C26" i="24"/>
  <c r="B26" i="24"/>
  <c r="G25" i="24"/>
  <c r="F25" i="24"/>
  <c r="E25" i="24"/>
  <c r="D25" i="24"/>
  <c r="C25" i="24"/>
  <c r="B25" i="24"/>
  <c r="G24" i="24"/>
  <c r="F24" i="24"/>
  <c r="E24" i="24"/>
  <c r="D24" i="24"/>
  <c r="C24" i="24"/>
  <c r="B24" i="24"/>
  <c r="G23" i="24"/>
  <c r="F23" i="24"/>
  <c r="E23" i="24"/>
  <c r="D23" i="24"/>
  <c r="C23" i="24"/>
  <c r="B23" i="24"/>
  <c r="G22" i="24"/>
  <c r="F22" i="24"/>
  <c r="E22" i="24"/>
  <c r="D22" i="24"/>
  <c r="C22" i="24"/>
  <c r="B22" i="24"/>
  <c r="G21" i="24"/>
  <c r="F21" i="24"/>
  <c r="E21" i="24"/>
  <c r="D21" i="24"/>
  <c r="C21" i="24"/>
  <c r="B21" i="24"/>
  <c r="G20" i="24"/>
  <c r="F20" i="24"/>
  <c r="E20" i="24"/>
  <c r="D20" i="24"/>
  <c r="C20" i="24"/>
  <c r="B20" i="24"/>
  <c r="G19" i="24"/>
  <c r="F19" i="24"/>
  <c r="E19" i="24"/>
  <c r="D19" i="24"/>
  <c r="C19" i="24"/>
  <c r="B19" i="24"/>
  <c r="G18" i="24"/>
  <c r="F18" i="24"/>
  <c r="E18" i="24"/>
  <c r="D18" i="24"/>
  <c r="C18" i="24"/>
  <c r="B18" i="24"/>
  <c r="G17" i="24"/>
  <c r="G29" i="24" s="1"/>
  <c r="F17" i="24"/>
  <c r="F29" i="24" s="1"/>
  <c r="E17" i="24"/>
  <c r="E29" i="24" s="1"/>
  <c r="D17" i="24"/>
  <c r="D29" i="24" s="1"/>
  <c r="C17" i="24"/>
  <c r="C29" i="24" s="1"/>
  <c r="B17" i="24"/>
  <c r="B29" i="24" s="1"/>
  <c r="K22" i="19"/>
  <c r="L22" i="19"/>
  <c r="M22" i="19"/>
  <c r="N22" i="19"/>
  <c r="K23" i="19"/>
  <c r="L23" i="19"/>
  <c r="M23" i="19"/>
  <c r="M36" i="19" s="1"/>
  <c r="N23" i="19"/>
  <c r="K24" i="19"/>
  <c r="K36" i="19" s="1"/>
  <c r="L24" i="19"/>
  <c r="L36" i="19" s="1"/>
  <c r="M24" i="19"/>
  <c r="N24" i="19"/>
  <c r="K25" i="19"/>
  <c r="L25" i="19"/>
  <c r="M25" i="19"/>
  <c r="N25" i="19"/>
  <c r="K26" i="19"/>
  <c r="L26" i="19"/>
  <c r="M26" i="19"/>
  <c r="N26" i="19"/>
  <c r="N36" i="19" s="1"/>
  <c r="K27" i="19"/>
  <c r="L27" i="19"/>
  <c r="M27" i="19"/>
  <c r="N27" i="19"/>
  <c r="K28" i="19"/>
  <c r="L28" i="19"/>
  <c r="M28" i="19"/>
  <c r="N28" i="19"/>
  <c r="K29" i="19"/>
  <c r="L29" i="19"/>
  <c r="M29" i="19"/>
  <c r="N29" i="19"/>
  <c r="K30" i="19"/>
  <c r="L30" i="19"/>
  <c r="M30" i="19"/>
  <c r="N30" i="19"/>
  <c r="K31" i="19"/>
  <c r="L31" i="19"/>
  <c r="M31" i="19"/>
  <c r="N31" i="19"/>
  <c r="K32" i="19"/>
  <c r="L32" i="19"/>
  <c r="M32" i="19"/>
  <c r="N32" i="19"/>
  <c r="K33" i="19"/>
  <c r="L33" i="19"/>
  <c r="M33" i="19"/>
  <c r="N33" i="19"/>
  <c r="K34" i="19"/>
  <c r="L34" i="19"/>
  <c r="M34" i="19"/>
  <c r="N34" i="19"/>
  <c r="K35" i="19"/>
  <c r="L35" i="19"/>
  <c r="M35" i="19"/>
  <c r="N35" i="19"/>
  <c r="J23" i="19"/>
  <c r="J24" i="19"/>
  <c r="J25" i="19"/>
  <c r="J26" i="19"/>
  <c r="J27" i="19"/>
  <c r="J28" i="19"/>
  <c r="J36" i="19" s="1"/>
  <c r="J29" i="19"/>
  <c r="J30" i="19"/>
  <c r="J31" i="19"/>
  <c r="J32" i="19"/>
  <c r="J33" i="19"/>
  <c r="J34" i="19"/>
  <c r="J35" i="19"/>
  <c r="J22" i="19"/>
  <c r="F23" i="13"/>
  <c r="L23" i="13" s="1"/>
  <c r="F24" i="13"/>
  <c r="L24" i="13" s="1"/>
  <c r="F25" i="13"/>
  <c r="L25" i="13" s="1"/>
  <c r="F27" i="13"/>
  <c r="L27" i="13" s="1"/>
  <c r="F28" i="13"/>
  <c r="L28" i="13" s="1"/>
  <c r="F29" i="13"/>
  <c r="L29" i="13" s="1"/>
  <c r="F30" i="13"/>
  <c r="L30" i="13" s="1"/>
  <c r="F31" i="13"/>
  <c r="L31" i="13" s="1"/>
  <c r="F32" i="13"/>
  <c r="L32" i="13" s="1"/>
  <c r="F34" i="13"/>
  <c r="L34" i="13" s="1"/>
  <c r="F35" i="13"/>
  <c r="L35" i="13" s="1"/>
  <c r="F36" i="13"/>
  <c r="L36" i="13" s="1"/>
  <c r="F37" i="13"/>
  <c r="L37" i="13" s="1"/>
  <c r="F38" i="13"/>
  <c r="L38" i="13" s="1"/>
  <c r="F39" i="13"/>
  <c r="L39" i="13" s="1"/>
  <c r="F40" i="13"/>
  <c r="L40" i="13" s="1"/>
  <c r="F41" i="13"/>
  <c r="L41" i="13" s="1"/>
  <c r="F42" i="13"/>
  <c r="L42" i="13" s="1"/>
  <c r="F43" i="13"/>
  <c r="L43" i="13" s="1"/>
  <c r="F44" i="13"/>
  <c r="L44" i="13" s="1"/>
  <c r="F45" i="13"/>
  <c r="L45" i="13" s="1"/>
  <c r="F46" i="13"/>
  <c r="L46" i="13" s="1"/>
  <c r="F47" i="13"/>
  <c r="L47" i="13" s="1"/>
  <c r="F49" i="13"/>
  <c r="L49" i="13" s="1"/>
  <c r="F50" i="13"/>
  <c r="L50" i="13" s="1"/>
  <c r="F22" i="13"/>
  <c r="L22" i="13" s="1"/>
  <c r="H49" i="23"/>
  <c r="I46" i="20"/>
  <c r="J46" i="20"/>
  <c r="K46" i="20"/>
  <c r="L46" i="20"/>
  <c r="H46" i="20"/>
  <c r="H44" i="19"/>
  <c r="I44" i="19"/>
  <c r="I57" i="19" s="1"/>
  <c r="K44" i="19"/>
  <c r="J44" i="19"/>
  <c r="L44" i="19"/>
  <c r="M44" i="19" s="1"/>
  <c r="H45" i="19"/>
  <c r="I45" i="19"/>
  <c r="K45" i="19"/>
  <c r="J45" i="19"/>
  <c r="L45" i="19"/>
  <c r="H46" i="19"/>
  <c r="I46" i="19"/>
  <c r="K46" i="19"/>
  <c r="J46" i="19"/>
  <c r="L46" i="19"/>
  <c r="H47" i="19"/>
  <c r="I47" i="19"/>
  <c r="K47" i="19"/>
  <c r="J47" i="19"/>
  <c r="L47" i="19"/>
  <c r="H48" i="19"/>
  <c r="I48" i="19"/>
  <c r="K48" i="19"/>
  <c r="J48" i="19"/>
  <c r="L48" i="19"/>
  <c r="M48" i="19" s="1"/>
  <c r="H49" i="19"/>
  <c r="I49" i="19"/>
  <c r="K49" i="19"/>
  <c r="J49" i="19"/>
  <c r="L49" i="19"/>
  <c r="H50" i="19"/>
  <c r="I50" i="19"/>
  <c r="K50" i="19"/>
  <c r="J50" i="19"/>
  <c r="L50" i="19"/>
  <c r="H51" i="19"/>
  <c r="I51" i="19"/>
  <c r="K51" i="19"/>
  <c r="J51" i="19"/>
  <c r="L51" i="19"/>
  <c r="H52" i="19"/>
  <c r="I52" i="19"/>
  <c r="K52" i="19"/>
  <c r="J52" i="19"/>
  <c r="L52" i="19"/>
  <c r="M52" i="19" s="1"/>
  <c r="H53" i="19"/>
  <c r="I53" i="19"/>
  <c r="K53" i="19"/>
  <c r="J53" i="19"/>
  <c r="L53" i="19"/>
  <c r="M53" i="19" s="1"/>
  <c r="H54" i="19"/>
  <c r="I54" i="19"/>
  <c r="K54" i="19"/>
  <c r="J54" i="19"/>
  <c r="L54" i="19"/>
  <c r="M54" i="19" s="1"/>
  <c r="H55" i="19"/>
  <c r="I55" i="19"/>
  <c r="K55" i="19"/>
  <c r="J55" i="19"/>
  <c r="L55" i="19"/>
  <c r="I56" i="19"/>
  <c r="K56" i="19"/>
  <c r="L56" i="19"/>
  <c r="L43" i="19"/>
  <c r="J43" i="19"/>
  <c r="K43" i="19"/>
  <c r="I43" i="19"/>
  <c r="H43" i="19"/>
  <c r="G41" i="22"/>
  <c r="I41" i="22"/>
  <c r="H41" i="22"/>
  <c r="J41" i="22"/>
  <c r="G42" i="22"/>
  <c r="I42" i="22"/>
  <c r="H42" i="22"/>
  <c r="J42" i="22"/>
  <c r="G43" i="22"/>
  <c r="I43" i="22"/>
  <c r="H43" i="22"/>
  <c r="J43" i="22"/>
  <c r="G44" i="22"/>
  <c r="I44" i="22"/>
  <c r="H44" i="22"/>
  <c r="J44" i="22"/>
  <c r="G45" i="22"/>
  <c r="I45" i="22"/>
  <c r="H45" i="22"/>
  <c r="J45" i="22"/>
  <c r="G46" i="22"/>
  <c r="I46" i="22"/>
  <c r="H46" i="22"/>
  <c r="J46" i="22"/>
  <c r="G47" i="22"/>
  <c r="I47" i="22"/>
  <c r="H47" i="22"/>
  <c r="J47" i="22"/>
  <c r="G48" i="22"/>
  <c r="I48" i="22"/>
  <c r="H48" i="22"/>
  <c r="J48" i="22"/>
  <c r="G49" i="22"/>
  <c r="I49" i="22"/>
  <c r="H49" i="22"/>
  <c r="J49" i="22"/>
  <c r="G51" i="22"/>
  <c r="I51" i="22"/>
  <c r="H51" i="22"/>
  <c r="J51" i="22"/>
  <c r="G52" i="22"/>
  <c r="I52" i="22"/>
  <c r="H52" i="22"/>
  <c r="J52" i="22"/>
  <c r="J40" i="22"/>
  <c r="H40" i="22"/>
  <c r="I40" i="22"/>
  <c r="G40" i="22"/>
  <c r="G48" i="23"/>
  <c r="H48" i="23"/>
  <c r="I48" i="23"/>
  <c r="J48" i="23"/>
  <c r="G49" i="23"/>
  <c r="I49" i="23"/>
  <c r="J49" i="23"/>
  <c r="G50" i="23"/>
  <c r="H50" i="23"/>
  <c r="I50" i="23"/>
  <c r="J50" i="23"/>
  <c r="G59" i="23"/>
  <c r="H59" i="23"/>
  <c r="I59" i="23"/>
  <c r="J59" i="23"/>
  <c r="G60" i="23"/>
  <c r="H60" i="23"/>
  <c r="I60" i="23"/>
  <c r="J60" i="23"/>
  <c r="G61" i="23"/>
  <c r="H61" i="23"/>
  <c r="I61" i="23"/>
  <c r="J61" i="23"/>
  <c r="J47" i="23"/>
  <c r="I47" i="23"/>
  <c r="H47" i="23"/>
  <c r="G47" i="23"/>
  <c r="L35" i="20"/>
  <c r="L36" i="20"/>
  <c r="L37" i="20"/>
  <c r="L38" i="20"/>
  <c r="L39" i="20"/>
  <c r="L40" i="20"/>
  <c r="L41" i="20"/>
  <c r="L42" i="20"/>
  <c r="L43" i="20"/>
  <c r="L44" i="20"/>
  <c r="M44" i="20" s="1"/>
  <c r="L45" i="20"/>
  <c r="L34" i="20"/>
  <c r="K35" i="20"/>
  <c r="K36" i="20"/>
  <c r="K37" i="20"/>
  <c r="K38" i="20"/>
  <c r="K39" i="20"/>
  <c r="K40" i="20"/>
  <c r="K41" i="20"/>
  <c r="K42" i="20"/>
  <c r="K43" i="20"/>
  <c r="K44" i="20"/>
  <c r="K45" i="20"/>
  <c r="K34" i="20"/>
  <c r="J35" i="20"/>
  <c r="J36" i="20"/>
  <c r="J37" i="20"/>
  <c r="J38" i="20"/>
  <c r="M38" i="20" s="1"/>
  <c r="J39" i="20"/>
  <c r="M39" i="20" s="1"/>
  <c r="J40" i="20"/>
  <c r="M40" i="20" s="1"/>
  <c r="J41" i="20"/>
  <c r="J42" i="20"/>
  <c r="J43" i="20"/>
  <c r="J44" i="20"/>
  <c r="J45" i="20"/>
  <c r="J34" i="20"/>
  <c r="I35" i="20"/>
  <c r="I36" i="20"/>
  <c r="I37" i="20"/>
  <c r="I38" i="20"/>
  <c r="I39" i="20"/>
  <c r="I40" i="20"/>
  <c r="I41" i="20"/>
  <c r="I42" i="20"/>
  <c r="I43" i="20"/>
  <c r="I44" i="20"/>
  <c r="I45" i="20"/>
  <c r="I34" i="20"/>
  <c r="H35" i="20"/>
  <c r="H36" i="20"/>
  <c r="H37" i="20"/>
  <c r="H38" i="20"/>
  <c r="H39" i="20"/>
  <c r="H40" i="20"/>
  <c r="H41" i="20"/>
  <c r="H42" i="20"/>
  <c r="H43" i="20"/>
  <c r="H44" i="20"/>
  <c r="H45" i="20"/>
  <c r="H34" i="20"/>
  <c r="M35" i="20"/>
  <c r="M36" i="20"/>
  <c r="M37" i="20"/>
  <c r="M45" i="20"/>
  <c r="M34" i="20"/>
  <c r="D17" i="20"/>
  <c r="B27" i="23"/>
  <c r="B26" i="23"/>
  <c r="B25" i="23"/>
  <c r="B24" i="23"/>
  <c r="B30" i="22"/>
  <c r="B29" i="22"/>
  <c r="B27" i="22"/>
  <c r="B26" i="22"/>
  <c r="B25" i="22"/>
  <c r="B24" i="22"/>
  <c r="B23" i="22"/>
  <c r="B22" i="22"/>
  <c r="B21" i="22"/>
  <c r="B20" i="22"/>
  <c r="B19" i="22"/>
  <c r="B18" i="22"/>
  <c r="E60" i="20"/>
  <c r="D60" i="20"/>
  <c r="G60" i="20"/>
  <c r="F60" i="20"/>
  <c r="C60" i="20"/>
  <c r="B60" i="20"/>
  <c r="E59" i="20"/>
  <c r="D59" i="20"/>
  <c r="G59" i="20"/>
  <c r="F59" i="20"/>
  <c r="C59" i="20"/>
  <c r="B59" i="20"/>
  <c r="E58" i="20"/>
  <c r="D58" i="20"/>
  <c r="G58" i="20"/>
  <c r="F58" i="20"/>
  <c r="C58" i="20"/>
  <c r="B58" i="20"/>
  <c r="E57" i="20"/>
  <c r="D57" i="20"/>
  <c r="G57" i="20"/>
  <c r="F57" i="20"/>
  <c r="C57" i="20"/>
  <c r="B57" i="20"/>
  <c r="E56" i="20"/>
  <c r="D56" i="20"/>
  <c r="G56" i="20"/>
  <c r="F56" i="20"/>
  <c r="C56" i="20"/>
  <c r="B56" i="20"/>
  <c r="E55" i="20"/>
  <c r="D55" i="20"/>
  <c r="G55" i="20"/>
  <c r="F55" i="20"/>
  <c r="C55" i="20"/>
  <c r="B55" i="20"/>
  <c r="E54" i="20"/>
  <c r="D54" i="20"/>
  <c r="G54" i="20"/>
  <c r="F54" i="20"/>
  <c r="C54" i="20"/>
  <c r="B54" i="20"/>
  <c r="E53" i="20"/>
  <c r="D53" i="20"/>
  <c r="G53" i="20"/>
  <c r="F53" i="20"/>
  <c r="C53" i="20"/>
  <c r="B53" i="20"/>
  <c r="E52" i="20"/>
  <c r="D52" i="20"/>
  <c r="G52" i="20"/>
  <c r="F52" i="20"/>
  <c r="C52" i="20"/>
  <c r="B52" i="20"/>
  <c r="E51" i="20"/>
  <c r="D51" i="20"/>
  <c r="G51" i="20"/>
  <c r="F51" i="20"/>
  <c r="C51" i="20"/>
  <c r="B51" i="20"/>
  <c r="E50" i="20"/>
  <c r="D50" i="20"/>
  <c r="G50" i="20"/>
  <c r="F50" i="20"/>
  <c r="C50" i="20"/>
  <c r="B50" i="20"/>
  <c r="E49" i="20"/>
  <c r="D49" i="20"/>
  <c r="G49" i="20"/>
  <c r="F49" i="20"/>
  <c r="C49" i="20"/>
  <c r="B49" i="20"/>
  <c r="E28" i="20"/>
  <c r="D28" i="20"/>
  <c r="G28" i="20"/>
  <c r="F28" i="20"/>
  <c r="C28" i="20"/>
  <c r="B28" i="20"/>
  <c r="E27" i="20"/>
  <c r="D27" i="20"/>
  <c r="G27" i="20"/>
  <c r="F27" i="20"/>
  <c r="C27" i="20"/>
  <c r="B27" i="20"/>
  <c r="E26" i="20"/>
  <c r="D26" i="20"/>
  <c r="G26" i="20"/>
  <c r="F26" i="20"/>
  <c r="C26" i="20"/>
  <c r="B26" i="20"/>
  <c r="E25" i="20"/>
  <c r="D25" i="20"/>
  <c r="G25" i="20"/>
  <c r="F25" i="20"/>
  <c r="C25" i="20"/>
  <c r="B25" i="20"/>
  <c r="E24" i="20"/>
  <c r="D24" i="20"/>
  <c r="G24" i="20"/>
  <c r="F24" i="20"/>
  <c r="C24" i="20"/>
  <c r="B24" i="20"/>
  <c r="E23" i="20"/>
  <c r="D23" i="20"/>
  <c r="G23" i="20"/>
  <c r="F23" i="20"/>
  <c r="C23" i="20"/>
  <c r="B23" i="20"/>
  <c r="E22" i="20"/>
  <c r="D22" i="20"/>
  <c r="G22" i="20"/>
  <c r="F22" i="20"/>
  <c r="C22" i="20"/>
  <c r="B22" i="20"/>
  <c r="E21" i="20"/>
  <c r="D21" i="20"/>
  <c r="G21" i="20"/>
  <c r="F21" i="20"/>
  <c r="C21" i="20"/>
  <c r="B21" i="20"/>
  <c r="E20" i="20"/>
  <c r="D20" i="20"/>
  <c r="G20" i="20"/>
  <c r="F20" i="20"/>
  <c r="C20" i="20"/>
  <c r="B20" i="20"/>
  <c r="E19" i="20"/>
  <c r="D19" i="20"/>
  <c r="G19" i="20"/>
  <c r="F19" i="20"/>
  <c r="C19" i="20"/>
  <c r="B19" i="20"/>
  <c r="E18" i="20"/>
  <c r="D18" i="20"/>
  <c r="G18" i="20"/>
  <c r="F18" i="20"/>
  <c r="C18" i="20"/>
  <c r="B18" i="20"/>
  <c r="E17" i="20"/>
  <c r="G17" i="20"/>
  <c r="F17" i="20"/>
  <c r="C17" i="20"/>
  <c r="B17" i="20"/>
  <c r="C62" i="19"/>
  <c r="E62" i="19"/>
  <c r="G62" i="19"/>
  <c r="D62" i="19"/>
  <c r="F62" i="19"/>
  <c r="C63" i="19"/>
  <c r="E63" i="19"/>
  <c r="G63" i="19"/>
  <c r="D63" i="19"/>
  <c r="F63" i="19"/>
  <c r="C64" i="19"/>
  <c r="E64" i="19"/>
  <c r="G64" i="19"/>
  <c r="D64" i="19"/>
  <c r="F64" i="19"/>
  <c r="C65" i="19"/>
  <c r="E65" i="19"/>
  <c r="G65" i="19"/>
  <c r="D65" i="19"/>
  <c r="F65" i="19"/>
  <c r="C66" i="19"/>
  <c r="E66" i="19"/>
  <c r="G66" i="19"/>
  <c r="D66" i="19"/>
  <c r="F66" i="19"/>
  <c r="C67" i="19"/>
  <c r="E67" i="19"/>
  <c r="G67" i="19"/>
  <c r="D67" i="19"/>
  <c r="F67" i="19"/>
  <c r="C68" i="19"/>
  <c r="E68" i="19"/>
  <c r="G68" i="19"/>
  <c r="D68" i="19"/>
  <c r="F68" i="19"/>
  <c r="C69" i="19"/>
  <c r="E69" i="19"/>
  <c r="G69" i="19"/>
  <c r="D69" i="19"/>
  <c r="F69" i="19"/>
  <c r="C70" i="19"/>
  <c r="E70" i="19"/>
  <c r="G70" i="19"/>
  <c r="D70" i="19"/>
  <c r="F70" i="19"/>
  <c r="C71" i="19"/>
  <c r="E71" i="19"/>
  <c r="G71" i="19"/>
  <c r="D71" i="19"/>
  <c r="F71" i="19"/>
  <c r="C72" i="19"/>
  <c r="E72" i="19"/>
  <c r="G72" i="19"/>
  <c r="D72" i="19"/>
  <c r="F72" i="19"/>
  <c r="C73" i="19"/>
  <c r="E73" i="19"/>
  <c r="G73" i="19"/>
  <c r="D73" i="19"/>
  <c r="F73" i="19"/>
  <c r="C74" i="19"/>
  <c r="E74" i="19"/>
  <c r="G74" i="19"/>
  <c r="D74" i="19"/>
  <c r="F74" i="19"/>
  <c r="C75" i="19"/>
  <c r="E75" i="19"/>
  <c r="G75" i="19"/>
  <c r="D75" i="19"/>
  <c r="F75" i="19"/>
  <c r="B73" i="19"/>
  <c r="B74" i="19"/>
  <c r="B75" i="19"/>
  <c r="B33" i="19"/>
  <c r="C33" i="19"/>
  <c r="E33" i="19"/>
  <c r="G33" i="19"/>
  <c r="D33" i="19"/>
  <c r="F33" i="19"/>
  <c r="B34" i="19"/>
  <c r="C34" i="19"/>
  <c r="E34" i="19"/>
  <c r="G34" i="19"/>
  <c r="D34" i="19"/>
  <c r="F34" i="19"/>
  <c r="B35" i="19"/>
  <c r="C35" i="19"/>
  <c r="E35" i="19"/>
  <c r="G35" i="19"/>
  <c r="D35" i="19"/>
  <c r="F35" i="19"/>
  <c r="B72" i="19"/>
  <c r="B71" i="19"/>
  <c r="B70" i="19"/>
  <c r="B69" i="19"/>
  <c r="B68" i="19"/>
  <c r="B67" i="19"/>
  <c r="B66" i="19"/>
  <c r="B65" i="19"/>
  <c r="B64" i="19"/>
  <c r="B63" i="19"/>
  <c r="B62" i="19"/>
  <c r="F32" i="19"/>
  <c r="D32" i="19"/>
  <c r="G32" i="19"/>
  <c r="E32" i="19"/>
  <c r="C32" i="19"/>
  <c r="B32" i="19"/>
  <c r="F31" i="19"/>
  <c r="D31" i="19"/>
  <c r="G31" i="19"/>
  <c r="E31" i="19"/>
  <c r="C31" i="19"/>
  <c r="B31" i="19"/>
  <c r="F30" i="19"/>
  <c r="D30" i="19"/>
  <c r="G30" i="19"/>
  <c r="E30" i="19"/>
  <c r="C30" i="19"/>
  <c r="B30" i="19"/>
  <c r="F29" i="19"/>
  <c r="D29" i="19"/>
  <c r="G29" i="19"/>
  <c r="E29" i="19"/>
  <c r="C29" i="19"/>
  <c r="B29" i="19"/>
  <c r="F28" i="19"/>
  <c r="D28" i="19"/>
  <c r="G28" i="19"/>
  <c r="E28" i="19"/>
  <c r="C28" i="19"/>
  <c r="B28" i="19"/>
  <c r="F27" i="19"/>
  <c r="D27" i="19"/>
  <c r="G27" i="19"/>
  <c r="E27" i="19"/>
  <c r="C27" i="19"/>
  <c r="B27" i="19"/>
  <c r="F26" i="19"/>
  <c r="D26" i="19"/>
  <c r="G26" i="19"/>
  <c r="E26" i="19"/>
  <c r="C26" i="19"/>
  <c r="B26" i="19"/>
  <c r="F25" i="19"/>
  <c r="D25" i="19"/>
  <c r="G25" i="19"/>
  <c r="E25" i="19"/>
  <c r="C25" i="19"/>
  <c r="B25" i="19"/>
  <c r="F24" i="19"/>
  <c r="D24" i="19"/>
  <c r="G24" i="19"/>
  <c r="E24" i="19"/>
  <c r="C24" i="19"/>
  <c r="B24" i="19"/>
  <c r="F23" i="19"/>
  <c r="D23" i="19"/>
  <c r="G23" i="19"/>
  <c r="E23" i="19"/>
  <c r="C23" i="19"/>
  <c r="B23" i="19"/>
  <c r="F22" i="19"/>
  <c r="D22" i="19"/>
  <c r="G22" i="19"/>
  <c r="E22" i="19"/>
  <c r="C22" i="19"/>
  <c r="B22" i="19"/>
  <c r="B88" i="28" l="1"/>
  <c r="F29" i="28"/>
  <c r="F19" i="28"/>
  <c r="F23" i="28"/>
  <c r="F28" i="28"/>
  <c r="F24" i="28"/>
  <c r="F31" i="28"/>
  <c r="F30" i="28"/>
  <c r="F27" i="28"/>
  <c r="F20" i="28"/>
  <c r="F25" i="28"/>
  <c r="F26" i="28"/>
  <c r="F22" i="28"/>
  <c r="F21" i="28"/>
  <c r="E32" i="28"/>
  <c r="B32" i="28"/>
  <c r="C32" i="28"/>
  <c r="D32" i="28"/>
  <c r="D40" i="23"/>
  <c r="K49" i="22"/>
  <c r="E40" i="23"/>
  <c r="F40" i="23"/>
  <c r="B40" i="23"/>
  <c r="H63" i="23"/>
  <c r="I63" i="23"/>
  <c r="H29" i="25"/>
  <c r="L46" i="25"/>
  <c r="M43" i="19"/>
  <c r="M50" i="19"/>
  <c r="J57" i="19"/>
  <c r="H57" i="19"/>
  <c r="M51" i="19"/>
  <c r="M49" i="19"/>
  <c r="M45" i="19"/>
  <c r="L57" i="19"/>
  <c r="M47" i="19"/>
  <c r="C76" i="19"/>
  <c r="M55" i="19"/>
  <c r="K57" i="19"/>
  <c r="M46" i="19"/>
  <c r="M56" i="19"/>
  <c r="F31" i="22"/>
  <c r="K44" i="22"/>
  <c r="K43" i="22"/>
  <c r="K48" i="22"/>
  <c r="J63" i="23"/>
  <c r="G63" i="23"/>
  <c r="J53" i="22"/>
  <c r="K42" i="22"/>
  <c r="K47" i="22"/>
  <c r="H53" i="22"/>
  <c r="G53" i="22"/>
  <c r="K41" i="22"/>
  <c r="K46" i="22"/>
  <c r="K52" i="22"/>
  <c r="B31" i="22"/>
  <c r="I53" i="22"/>
  <c r="K40" i="22"/>
  <c r="K45" i="22"/>
  <c r="K51" i="22"/>
  <c r="E31" i="22"/>
  <c r="M43" i="20"/>
  <c r="M42" i="20"/>
  <c r="M41" i="20"/>
  <c r="C31" i="22"/>
  <c r="E76" i="19"/>
  <c r="G76" i="19"/>
  <c r="D76" i="19"/>
  <c r="B36" i="19"/>
  <c r="B61" i="20"/>
  <c r="D61" i="20"/>
  <c r="D29" i="20"/>
  <c r="B29" i="20"/>
  <c r="G29" i="20"/>
  <c r="G61" i="20"/>
  <c r="C61" i="20"/>
  <c r="F61" i="20"/>
  <c r="C29" i="20"/>
  <c r="E29" i="20"/>
  <c r="F29" i="20"/>
  <c r="E61" i="20"/>
  <c r="D31" i="22"/>
  <c r="F76" i="19"/>
  <c r="D36" i="19"/>
  <c r="B76" i="19"/>
  <c r="C36" i="19"/>
  <c r="E36" i="19"/>
  <c r="G36" i="19"/>
  <c r="F36" i="19"/>
  <c r="F32" i="28" l="1"/>
  <c r="H29" i="20"/>
  <c r="G35" i="22"/>
  <c r="G31" i="22"/>
  <c r="H36" i="19"/>
  <c r="G41" i="23"/>
  <c r="G40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Kim, Sungkeun</author>
  </authors>
  <commentList>
    <comment ref="C55" authorId="0" shapeId="0" xr:uid="{E3995B86-D2EA-AC4D-AF62-53D0370E4E26}">
      <text>
        <r>
          <rPr>
            <b/>
            <sz val="10"/>
            <color rgb="FF000000"/>
            <rFont val="Tahoma"/>
            <family val="2"/>
          </rPr>
          <t xml:space="preserve">Link error with clang
</t>
        </r>
        <r>
          <rPr>
            <b/>
            <sz val="10"/>
            <color rgb="FF000000"/>
            <rFont val="Tahoma"/>
            <family val="2"/>
          </rPr>
          <t>It does not have issue wigh gcc</t>
        </r>
      </text>
    </comment>
  </commentList>
</comments>
</file>

<file path=xl/sharedStrings.xml><?xml version="1.0" encoding="utf-8"?>
<sst xmlns="http://schemas.openxmlformats.org/spreadsheetml/2006/main" count="1381" uniqueCount="224">
  <si>
    <t>mcf_s</t>
  </si>
  <si>
    <t>lbm_s</t>
  </si>
  <si>
    <t>xalancbmk_s</t>
  </si>
  <si>
    <t>x264_s</t>
  </si>
  <si>
    <t>leela_s</t>
  </si>
  <si>
    <t>xz_s</t>
  </si>
  <si>
    <t>508.namd_r</t>
  </si>
  <si>
    <t>510.parest_r</t>
  </si>
  <si>
    <t>511.povray_r</t>
  </si>
  <si>
    <t>600.perlbench_s</t>
  </si>
  <si>
    <t>602.gcc_s</t>
  </si>
  <si>
    <t>605.mcf_s</t>
  </si>
  <si>
    <t>607.cactuBSSN_s</t>
  </si>
  <si>
    <t>619.lbm_s</t>
  </si>
  <si>
    <t>620.omnetpp_s</t>
  </si>
  <si>
    <t>623.xalancbmk_s</t>
  </si>
  <si>
    <t>625.x264_s</t>
  </si>
  <si>
    <t>631.deepsjeng_s</t>
  </si>
  <si>
    <t>638.imagick_s</t>
  </si>
  <si>
    <t>641.leela_s</t>
  </si>
  <si>
    <t>644.nab_s</t>
  </si>
  <si>
    <t>657.xz_s</t>
  </si>
  <si>
    <t>Nodes</t>
  </si>
  <si>
    <t>Language</t>
  </si>
  <si>
    <t>C++</t>
  </si>
  <si>
    <t>C</t>
  </si>
  <si>
    <t>500.perlbench_r</t>
  </si>
  <si>
    <t>502.gcc_r</t>
  </si>
  <si>
    <t>505.mcf_r</t>
  </si>
  <si>
    <t>520.omnetpp_r</t>
  </si>
  <si>
    <t>523.xalancbmk_r</t>
  </si>
  <si>
    <t>519.lbm_r</t>
  </si>
  <si>
    <t>525.x264_r</t>
  </si>
  <si>
    <t>531.deepsjeng_r</t>
  </si>
  <si>
    <t>541.leela_r</t>
  </si>
  <si>
    <t>538.imagick_r</t>
  </si>
  <si>
    <t>557.xz_r</t>
  </si>
  <si>
    <t>544.nab_r</t>
  </si>
  <si>
    <t>526.blender_r</t>
  </si>
  <si>
    <t>Benchmarks</t>
  </si>
  <si>
    <t>2. Callgraph Gen.</t>
  </si>
  <si>
    <t>3. Encoding CCW</t>
  </si>
  <si>
    <t>4. Embedding CCW to bc</t>
  </si>
  <si>
    <t>548.exchange2_r</t>
  </si>
  <si>
    <t>Fortran</t>
  </si>
  <si>
    <t>503.bwaves_r</t>
  </si>
  <si>
    <t>507.cactuBSSN_r</t>
  </si>
  <si>
    <t>C++, C, Fortran</t>
  </si>
  <si>
    <t>C++, C</t>
  </si>
  <si>
    <t>521.wrf_r</t>
  </si>
  <si>
    <t>Fortran, C</t>
  </si>
  <si>
    <t>527.cam4_r</t>
  </si>
  <si>
    <t>549.fotonik3d_r</t>
  </si>
  <si>
    <t>554.roms_r</t>
  </si>
  <si>
    <t>648.exchange2_s</t>
  </si>
  <si>
    <t>603.bwaves_s</t>
  </si>
  <si>
    <t>621.wrf_s</t>
  </si>
  <si>
    <t>627.cam4_s</t>
  </si>
  <si>
    <t>628.pop2_s</t>
  </si>
  <si>
    <t>649.fotonik3d_s</t>
  </si>
  <si>
    <t>654.roms_s</t>
  </si>
  <si>
    <t>O</t>
  </si>
  <si>
    <t>5. Rebuild exe with bc</t>
  </si>
  <si>
    <t>7. CCW Test (w/ CCID update)</t>
  </si>
  <si>
    <t>Done</t>
  </si>
  <si>
    <t>OOM</t>
  </si>
  <si>
    <t>geomean</t>
  </si>
  <si>
    <t>Overflow MAXID</t>
  </si>
  <si>
    <t>Never finish</t>
  </si>
  <si>
    <t>701.BARNES</t>
  </si>
  <si>
    <t>702.CHOLESKY</t>
  </si>
  <si>
    <t>703.FFT</t>
  </si>
  <si>
    <t>704.FMM</t>
  </si>
  <si>
    <t>705.LU-CB</t>
  </si>
  <si>
    <t>706.LU-NCB</t>
  </si>
  <si>
    <t>707.OCEAN-CP</t>
  </si>
  <si>
    <t>708.OCEAN-NCP</t>
  </si>
  <si>
    <t>709.RADIOSITY</t>
  </si>
  <si>
    <t>710.RADIX</t>
  </si>
  <si>
    <t>713.WATER-NSQUARED</t>
  </si>
  <si>
    <t>714.WATER-SPATIAL</t>
  </si>
  <si>
    <t>Static barriers</t>
  </si>
  <si>
    <t>Dynamic barriers</t>
  </si>
  <si>
    <t>8 threads</t>
  </si>
  <si>
    <t>16 threads</t>
  </si>
  <si>
    <t>goemean</t>
  </si>
  <si>
    <t>Native</t>
  </si>
  <si>
    <t>Runtime Overhead</t>
  </si>
  <si>
    <t>Memory Overhead (kbytes)</t>
  </si>
  <si>
    <t>Indrect Calls</t>
  </si>
  <si>
    <t>MAX CCID</t>
  </si>
  <si>
    <t>BARNES</t>
  </si>
  <si>
    <t>CHOLESKY</t>
  </si>
  <si>
    <t>FFT</t>
  </si>
  <si>
    <t>FMM</t>
  </si>
  <si>
    <t>LU-CB</t>
  </si>
  <si>
    <t>LU-NCB</t>
  </si>
  <si>
    <t>OCEAN-CP</t>
  </si>
  <si>
    <t>OCEAN-NCP</t>
  </si>
  <si>
    <t>RADIOSITY</t>
  </si>
  <si>
    <t>RADIX</t>
  </si>
  <si>
    <t>WATER-NSQUARED</t>
  </si>
  <si>
    <t>WATER-SPATIAL</t>
  </si>
  <si>
    <t>Runtime overhead (ms)</t>
  </si>
  <si>
    <t>Empty client</t>
  </si>
  <si>
    <t>segfault at push_back function???</t>
  </si>
  <si>
    <t>looks okay, so need to collect # of getCCID at runtime</t>
  </si>
  <si>
    <t>701.BARNES: malloc.c:2379: sysmalloc: Assertion `(old_top == initial_top (av) &amp;&amp; old_size == 0) || ((unsigned long) (old_size) &gt;= MINSIZE &amp;&amp; prev_inuse (old_top) &amp;&amp; ((unsigned long) old_end &amp; (pagesize - 1)) == 0)' failed.</t>
  </si>
  <si>
    <t>Command terminated by signal 11</t>
  </si>
  <si>
    <t>DCCE (CCID Update)</t>
  </si>
  <si>
    <t>DCCE (CCID Update + getCCID)</t>
  </si>
  <si>
    <t>PCCE (CCID Update)</t>
  </si>
  <si>
    <t>PCCE (CCID Update + getCCID)</t>
  </si>
  <si>
    <t>DrCCTProf (CCID Update)</t>
  </si>
  <si>
    <t>DrCCTProf (CCID Update + getCCID)</t>
  </si>
  <si>
    <t>mcf_r</t>
  </si>
  <si>
    <t>namd_r</t>
  </si>
  <si>
    <t>parest_r</t>
  </si>
  <si>
    <t>lbm_r</t>
  </si>
  <si>
    <t>xalancbmk_r</t>
  </si>
  <si>
    <t>x264_r</t>
  </si>
  <si>
    <t>leela_r</t>
  </si>
  <si>
    <t>xz_r</t>
  </si>
  <si>
    <t>DrCCTProf (CCID Update+getCCID)</t>
  </si>
  <si>
    <t>DCCE (CCID Update+getCCID)</t>
  </si>
  <si>
    <t>#function calls</t>
  </si>
  <si>
    <t>Stack Depts</t>
  </si>
  <si>
    <t>CCW File Size
(KB)</t>
  </si>
  <si>
    <t>MB</t>
  </si>
  <si>
    <t>Edges with non zero weight (PCCE)</t>
  </si>
  <si>
    <t xml:space="preserve">Edges </t>
  </si>
  <si>
    <t>Percentage of Non-zero edge weight (PCCE)</t>
  </si>
  <si>
    <t>CCW lookup (ms/call)</t>
  </si>
  <si>
    <t>CCW loading overhead (ms)</t>
  </si>
  <si>
    <t>memory size of indirect call (KB)</t>
  </si>
  <si>
    <t>memory size of direct call (KB)</t>
  </si>
  <si>
    <t>Portion of CCW Lookup in Execution Time</t>
  </si>
  <si>
    <t># of Calls (Dynamic)</t>
  </si>
  <si>
    <t>Overhead of CCW Load (ms)</t>
  </si>
  <si>
    <t>The more calls executed, the higher latency of lookup</t>
  </si>
  <si>
    <t>Execution Time (ms)</t>
  </si>
  <si>
    <t>Accumulated Latency of CCW Lookups (ms)</t>
  </si>
  <si>
    <t>Why do 707,708  have no overhead?</t>
  </si>
  <si>
    <t>713.WATER-NSQUARED.out</t>
  </si>
  <si>
    <t>714.WATER-SPATIAL.out</t>
  </si>
  <si>
    <t>Runtime (ms)</t>
  </si>
  <si>
    <t>% of CCW Loading in Runtime</t>
  </si>
  <si>
    <t>Direct Call (dynamic)</t>
  </si>
  <si>
    <t>Indirect Call (dynamic)</t>
  </si>
  <si>
    <t>% of CCW Lookup in Execution Time</t>
  </si>
  <si>
    <t>Selected?</t>
  </si>
  <si>
    <t>0. Optimized IR</t>
  </si>
  <si>
    <t>Not supportted language</t>
  </si>
  <si>
    <t>N/A</t>
  </si>
  <si>
    <t>711.RAYTRACE</t>
  </si>
  <si>
    <t>712.VOLREND</t>
  </si>
  <si>
    <t>omnetpp_r</t>
  </si>
  <si>
    <t>omnetpp_s</t>
  </si>
  <si>
    <t>RAYTRACE</t>
  </si>
  <si>
    <t/>
  </si>
  <si>
    <t>GEOMEAN</t>
  </si>
  <si>
    <t>DCCE</t>
  </si>
  <si>
    <t>DrCCTLib</t>
  </si>
  <si>
    <t>Speedup</t>
  </si>
  <si>
    <t>Number of Barrier Calls</t>
  </si>
  <si>
    <t>Time for barrier call (ms)</t>
  </si>
  <si>
    <t>% in total execution</t>
  </si>
  <si>
    <t>PCCE</t>
  </si>
  <si>
    <t>DCCE/PCCE</t>
  </si>
  <si>
    <t>PCCE-barrierElider</t>
  </si>
  <si>
    <t>DCCE-barrierElider</t>
  </si>
  <si>
    <t>PCCE-profileECC</t>
  </si>
  <si>
    <t>DCCE-profileECC</t>
  </si>
  <si>
    <t>PCCE-all</t>
  </si>
  <si>
    <t>DCCE-all</t>
  </si>
  <si>
    <t>Number of CCID Updates</t>
  </si>
  <si>
    <t>Numer of profile/elide ECC</t>
  </si>
  <si>
    <t>num ccids related with barrier call</t>
  </si>
  <si>
    <t>802.lud</t>
  </si>
  <si>
    <t>802.lue</t>
  </si>
  <si>
    <t>10_10</t>
  </si>
  <si>
    <t>10_100</t>
  </si>
  <si>
    <t>10_200</t>
  </si>
  <si>
    <t>10_400</t>
  </si>
  <si>
    <t>10_800</t>
  </si>
  <si>
    <t>10_1600</t>
  </si>
  <si>
    <t>100_10</t>
  </si>
  <si>
    <t>100_100</t>
  </si>
  <si>
    <t>100_200</t>
  </si>
  <si>
    <t>100_400</t>
  </si>
  <si>
    <t>100_800</t>
  </si>
  <si>
    <t>100_1600</t>
  </si>
  <si>
    <t>200_10</t>
  </si>
  <si>
    <t>200_100</t>
  </si>
  <si>
    <t>200_200</t>
  </si>
  <si>
    <t>200_400</t>
  </si>
  <si>
    <t>200_800</t>
  </si>
  <si>
    <t>200_1600</t>
  </si>
  <si>
    <t>400_10</t>
  </si>
  <si>
    <t>400_100</t>
  </si>
  <si>
    <t>400_200</t>
  </si>
  <si>
    <t>400_400</t>
  </si>
  <si>
    <t>400_800</t>
  </si>
  <si>
    <t>400_1600</t>
  </si>
  <si>
    <t>800_10</t>
  </si>
  <si>
    <t>800_100</t>
  </si>
  <si>
    <t>800_200</t>
  </si>
  <si>
    <t>800_400</t>
  </si>
  <si>
    <t>800_800</t>
  </si>
  <si>
    <t>800_1600</t>
  </si>
  <si>
    <t>1600_10</t>
  </si>
  <si>
    <t>1600_100</t>
  </si>
  <si>
    <t>1600_200</t>
  </si>
  <si>
    <t>1600_400</t>
  </si>
  <si>
    <t>1600_800</t>
  </si>
  <si>
    <t>1600_1600</t>
  </si>
  <si>
    <t>Context</t>
  </si>
  <si>
    <t># of barrier calls</t>
  </si>
  <si>
    <t>Runtime of DCCE (ms)</t>
  </si>
  <si>
    <t>Runtime of PCCE (ms)</t>
  </si>
  <si>
    <t>numFuncEntry_numCCID</t>
  </si>
  <si>
    <t>PCCE-onlyccid</t>
  </si>
  <si>
    <t>DCCE-onlyccid</t>
  </si>
  <si>
    <t>geomen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</si>
</sst>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  <numFmt numFmtId="166" formatCode="_(* #,##0.0_);_(* \(#,##0.0\);_(* &quot;-&quot;??_);_(@_)"/>
    <numFmt numFmtId="167" formatCode="0.0"/>
    <numFmt numFmtId="168" formatCode="_(* #,##0.000000_);_(* \(#,##0.000000\);_(* &quot;-&quot;??_);_(@_)"/>
    <numFmt numFmtId="169" formatCode="0.0000%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Tw Cen MT"/>
      <family val="2"/>
    </font>
    <font>
      <b/>
      <sz val="10"/>
      <color rgb="FF000000"/>
      <name val="Tahoma"/>
      <family val="2"/>
    </font>
    <font>
      <sz val="14"/>
      <color rgb="FF000000"/>
      <name val="Tw Cen MT"/>
      <family val="2"/>
    </font>
    <font>
      <sz val="12"/>
      <color theme="1"/>
      <name val="Tw Cen MT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2" fillId="0" borderId="1" xfId="0" applyFont="1" applyBorder="1"/>
    <xf numFmtId="164" fontId="2" fillId="0" borderId="1" xfId="1" applyNumberFormat="1" applyFont="1" applyBorder="1"/>
    <xf numFmtId="0" fontId="2" fillId="2" borderId="1" xfId="0" applyFont="1" applyFill="1" applyBorder="1"/>
    <xf numFmtId="164" fontId="2" fillId="0" borderId="1" xfId="1" applyNumberFormat="1" applyFont="1" applyFill="1" applyBorder="1"/>
    <xf numFmtId="0" fontId="2" fillId="0" borderId="1" xfId="0" applyFont="1" applyBorder="1" applyAlignment="1">
      <alignment horizontal="center" vertical="center"/>
    </xf>
    <xf numFmtId="164" fontId="2" fillId="4" borderId="1" xfId="1" applyNumberFormat="1" applyFont="1" applyFill="1" applyBorder="1"/>
    <xf numFmtId="0" fontId="0" fillId="0" borderId="1" xfId="0" applyBorder="1"/>
    <xf numFmtId="0" fontId="4" fillId="0" borderId="5" xfId="0" applyFont="1" applyBorder="1"/>
    <xf numFmtId="0" fontId="4" fillId="0" borderId="8" xfId="0" applyFont="1" applyBorder="1"/>
    <xf numFmtId="0" fontId="4" fillId="0" borderId="7" xfId="0" applyFont="1" applyBorder="1"/>
    <xf numFmtId="0" fontId="4" fillId="0" borderId="1" xfId="0" applyFont="1" applyBorder="1"/>
    <xf numFmtId="0" fontId="4" fillId="5" borderId="8" xfId="0" applyFont="1" applyFill="1" applyBorder="1"/>
    <xf numFmtId="0" fontId="4" fillId="5" borderId="1" xfId="0" applyFont="1" applyFill="1" applyBorder="1"/>
    <xf numFmtId="0" fontId="4" fillId="5" borderId="5" xfId="0" applyFont="1" applyFill="1" applyBorder="1"/>
    <xf numFmtId="0" fontId="4" fillId="5" borderId="2" xfId="0" applyFont="1" applyFill="1" applyBorder="1"/>
    <xf numFmtId="0" fontId="4" fillId="5" borderId="4" xfId="0" applyFont="1" applyFill="1" applyBorder="1"/>
    <xf numFmtId="0" fontId="5" fillId="0" borderId="1" xfId="0" applyFont="1" applyBorder="1"/>
    <xf numFmtId="0" fontId="2" fillId="0" borderId="1" xfId="0" applyFont="1" applyBorder="1" applyAlignment="1">
      <alignment vertical="center"/>
    </xf>
    <xf numFmtId="43" fontId="2" fillId="0" borderId="1" xfId="1" applyFont="1" applyBorder="1"/>
    <xf numFmtId="43" fontId="2" fillId="0" borderId="0" xfId="1" applyFont="1" applyBorder="1"/>
    <xf numFmtId="164" fontId="2" fillId="0" borderId="0" xfId="1" applyNumberFormat="1" applyFont="1" applyBorder="1"/>
    <xf numFmtId="0" fontId="2" fillId="4" borderId="1" xfId="0" applyFont="1" applyFill="1" applyBorder="1"/>
    <xf numFmtId="164" fontId="2" fillId="6" borderId="1" xfId="1" applyNumberFormat="1" applyFont="1" applyFill="1" applyBorder="1"/>
    <xf numFmtId="164" fontId="2" fillId="0" borderId="0" xfId="0" applyNumberFormat="1" applyFont="1"/>
    <xf numFmtId="166" fontId="2" fillId="0" borderId="1" xfId="1" applyNumberFormat="1" applyFont="1" applyBorder="1"/>
    <xf numFmtId="167" fontId="2" fillId="0" borderId="1" xfId="0" applyNumberFormat="1" applyFont="1" applyBorder="1"/>
    <xf numFmtId="167" fontId="2" fillId="0" borderId="0" xfId="0" applyNumberFormat="1" applyFont="1"/>
    <xf numFmtId="164" fontId="4" fillId="0" borderId="5" xfId="0" applyNumberFormat="1" applyFont="1" applyBorder="1"/>
    <xf numFmtId="0" fontId="2" fillId="0" borderId="1" xfId="0" applyFont="1" applyBorder="1" applyAlignment="1">
      <alignment vertical="center" wrapText="1"/>
    </xf>
    <xf numFmtId="43" fontId="2" fillId="0" borderId="0" xfId="0" applyNumberFormat="1" applyFont="1"/>
    <xf numFmtId="165" fontId="2" fillId="0" borderId="1" xfId="1" applyNumberFormat="1" applyFont="1" applyBorder="1"/>
    <xf numFmtId="168" fontId="2" fillId="0" borderId="1" xfId="1" applyNumberFormat="1" applyFont="1" applyBorder="1"/>
    <xf numFmtId="43" fontId="0" fillId="0" borderId="0" xfId="1" applyFont="1"/>
    <xf numFmtId="164" fontId="0" fillId="0" borderId="1" xfId="1" applyNumberFormat="1" applyFont="1" applyBorder="1"/>
    <xf numFmtId="10" fontId="0" fillId="0" borderId="1" xfId="2" applyNumberFormat="1" applyFont="1" applyBorder="1"/>
    <xf numFmtId="0" fontId="0" fillId="3" borderId="1" xfId="0" applyFill="1" applyBorder="1"/>
    <xf numFmtId="164" fontId="0" fillId="3" borderId="1" xfId="1" applyNumberFormat="1" applyFont="1" applyFill="1" applyBorder="1"/>
    <xf numFmtId="10" fontId="0" fillId="3" borderId="1" xfId="2" applyNumberFormat="1" applyFont="1" applyFill="1" applyBorder="1"/>
    <xf numFmtId="0" fontId="0" fillId="4" borderId="1" xfId="0" applyFill="1" applyBorder="1"/>
    <xf numFmtId="164" fontId="0" fillId="4" borderId="1" xfId="1" applyNumberFormat="1" applyFont="1" applyFill="1" applyBorder="1"/>
    <xf numFmtId="10" fontId="0" fillId="4" borderId="1" xfId="2" applyNumberFormat="1" applyFont="1" applyFill="1" applyBorder="1"/>
    <xf numFmtId="0" fontId="0" fillId="0" borderId="6" xfId="0" applyBorder="1"/>
    <xf numFmtId="10" fontId="2" fillId="0" borderId="1" xfId="2" applyNumberFormat="1" applyFont="1" applyBorder="1"/>
    <xf numFmtId="0" fontId="4" fillId="4" borderId="1" xfId="0" applyFont="1" applyFill="1" applyBorder="1"/>
    <xf numFmtId="166" fontId="2" fillId="4" borderId="1" xfId="1" applyNumberFormat="1" applyFont="1" applyFill="1" applyBorder="1"/>
    <xf numFmtId="10" fontId="2" fillId="4" borderId="1" xfId="2" applyNumberFormat="1" applyFont="1" applyFill="1" applyBorder="1"/>
    <xf numFmtId="0" fontId="5" fillId="4" borderId="1" xfId="0" applyFont="1" applyFill="1" applyBorder="1"/>
    <xf numFmtId="0" fontId="2" fillId="7" borderId="1" xfId="0" applyFont="1" applyFill="1" applyBorder="1"/>
    <xf numFmtId="166" fontId="2" fillId="7" borderId="1" xfId="1" applyNumberFormat="1" applyFont="1" applyFill="1" applyBorder="1"/>
    <xf numFmtId="164" fontId="2" fillId="7" borderId="1" xfId="1" applyNumberFormat="1" applyFont="1" applyFill="1" applyBorder="1"/>
    <xf numFmtId="10" fontId="2" fillId="7" borderId="1" xfId="2" applyNumberFormat="1" applyFont="1" applyFill="1" applyBorder="1"/>
    <xf numFmtId="169" fontId="0" fillId="4" borderId="1" xfId="2" applyNumberFormat="1" applyFont="1" applyFill="1" applyBorder="1"/>
    <xf numFmtId="0" fontId="4" fillId="2" borderId="8" xfId="0" applyFont="1" applyFill="1" applyBorder="1"/>
    <xf numFmtId="0" fontId="4" fillId="8" borderId="8" xfId="0" applyFont="1" applyFill="1" applyBorder="1"/>
    <xf numFmtId="0" fontId="4" fillId="9" borderId="8" xfId="0" applyFont="1" applyFill="1" applyBorder="1"/>
    <xf numFmtId="0" fontId="4" fillId="9" borderId="1" xfId="0" applyFont="1" applyFill="1" applyBorder="1"/>
    <xf numFmtId="0" fontId="4" fillId="2" borderId="1" xfId="0" applyFont="1" applyFill="1" applyBorder="1"/>
    <xf numFmtId="0" fontId="4" fillId="10" borderId="5" xfId="0" applyFont="1" applyFill="1" applyBorder="1"/>
    <xf numFmtId="0" fontId="4" fillId="10" borderId="8" xfId="0" applyFont="1" applyFill="1" applyBorder="1"/>
    <xf numFmtId="0" fontId="4" fillId="11" borderId="5" xfId="0" applyFont="1" applyFill="1" applyBorder="1"/>
    <xf numFmtId="0" fontId="4" fillId="11" borderId="8" xfId="0" applyFont="1" applyFill="1" applyBorder="1"/>
    <xf numFmtId="0" fontId="4" fillId="11" borderId="1" xfId="0" applyFont="1" applyFill="1" applyBorder="1"/>
    <xf numFmtId="164" fontId="2" fillId="0" borderId="1" xfId="1" quotePrefix="1" applyNumberFormat="1" applyFont="1" applyBorder="1"/>
    <xf numFmtId="43" fontId="2" fillId="2" borderId="1" xfId="1" applyFont="1" applyFill="1" applyBorder="1"/>
    <xf numFmtId="164" fontId="2" fillId="2" borderId="1" xfId="1" applyNumberFormat="1" applyFont="1" applyFill="1" applyBorder="1"/>
    <xf numFmtId="166" fontId="2" fillId="2" borderId="1" xfId="1" applyNumberFormat="1" applyFont="1" applyFill="1" applyBorder="1"/>
    <xf numFmtId="0" fontId="2" fillId="0" borderId="9" xfId="0" applyFont="1" applyBorder="1"/>
    <xf numFmtId="43" fontId="2" fillId="0" borderId="1" xfId="1" applyFont="1" applyFill="1" applyBorder="1"/>
    <xf numFmtId="0" fontId="2" fillId="0" borderId="6" xfId="0" applyFont="1" applyBorder="1"/>
    <xf numFmtId="43" fontId="2" fillId="0" borderId="0" xfId="1" applyFont="1" applyFill="1" applyBorder="1"/>
    <xf numFmtId="16" fontId="0" fillId="0" borderId="1" xfId="0" applyNumberFormat="1" applyBorder="1"/>
    <xf numFmtId="3" fontId="0" fillId="0" borderId="0" xfId="0" applyNumberFormat="1"/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24150614391195"/>
          <c:y val="0.21904053659959175"/>
          <c:w val="0.86015141814020657"/>
          <c:h val="0.499110649363274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Static_Overhead_SPEC2017!$B$23</c:f>
              <c:strCache>
                <c:ptCount val="1"/>
                <c:pt idx="0">
                  <c:v>Native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Static_Overhead_SPEC2017!$A$24:$A$40</c:f>
              <c:strCache>
                <c:ptCount val="17"/>
                <c:pt idx="0">
                  <c:v>mcf_r</c:v>
                </c:pt>
                <c:pt idx="1">
                  <c:v>namd_r</c:v>
                </c:pt>
                <c:pt idx="2">
                  <c:v>parest_r</c:v>
                </c:pt>
                <c:pt idx="3">
                  <c:v>lbm_r</c:v>
                </c:pt>
                <c:pt idx="4">
                  <c:v>omnetpp_r</c:v>
                </c:pt>
                <c:pt idx="5">
                  <c:v>xalancbmk_r</c:v>
                </c:pt>
                <c:pt idx="6">
                  <c:v>x264_r</c:v>
                </c:pt>
                <c:pt idx="7">
                  <c:v>leela_r</c:v>
                </c:pt>
                <c:pt idx="8">
                  <c:v>xz_r</c:v>
                </c:pt>
                <c:pt idx="9">
                  <c:v>mcf_s</c:v>
                </c:pt>
                <c:pt idx="10">
                  <c:v>lbm_s</c:v>
                </c:pt>
                <c:pt idx="11">
                  <c:v>omnetpp_s</c:v>
                </c:pt>
                <c:pt idx="12">
                  <c:v>xalancbmk_s</c:v>
                </c:pt>
                <c:pt idx="13">
                  <c:v>x264_s</c:v>
                </c:pt>
                <c:pt idx="14">
                  <c:v>leela_s</c:v>
                </c:pt>
                <c:pt idx="15">
                  <c:v>xz_s</c:v>
                </c:pt>
                <c:pt idx="16">
                  <c:v>goemean</c:v>
                </c:pt>
              </c:strCache>
            </c:strRef>
          </c:cat>
          <c:val>
            <c:numRef>
              <c:f>Static_Overhead_SPEC2017!$B$24:$B$40</c:f>
              <c:numCache>
                <c:formatCode>_(* #,##0.00_);_(* \(#,##0.00\);_(* "-"??_);_(@_)</c:formatCode>
                <c:ptCount val="1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94-E64D-8E3A-629F42E216D8}"/>
            </c:ext>
          </c:extLst>
        </c:ser>
        <c:ser>
          <c:idx val="1"/>
          <c:order val="1"/>
          <c:tx>
            <c:strRef>
              <c:f>Static_Overhead_SPEC2017!$C$23</c:f>
              <c:strCache>
                <c:ptCount val="1"/>
                <c:pt idx="0">
                  <c:v>PCCE (CCID Update)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Static_Overhead_SPEC2017!$A$24:$A$40</c:f>
              <c:strCache>
                <c:ptCount val="17"/>
                <c:pt idx="0">
                  <c:v>mcf_r</c:v>
                </c:pt>
                <c:pt idx="1">
                  <c:v>namd_r</c:v>
                </c:pt>
                <c:pt idx="2">
                  <c:v>parest_r</c:v>
                </c:pt>
                <c:pt idx="3">
                  <c:v>lbm_r</c:v>
                </c:pt>
                <c:pt idx="4">
                  <c:v>omnetpp_r</c:v>
                </c:pt>
                <c:pt idx="5">
                  <c:v>xalancbmk_r</c:v>
                </c:pt>
                <c:pt idx="6">
                  <c:v>x264_r</c:v>
                </c:pt>
                <c:pt idx="7">
                  <c:v>leela_r</c:v>
                </c:pt>
                <c:pt idx="8">
                  <c:v>xz_r</c:v>
                </c:pt>
                <c:pt idx="9">
                  <c:v>mcf_s</c:v>
                </c:pt>
                <c:pt idx="10">
                  <c:v>lbm_s</c:v>
                </c:pt>
                <c:pt idx="11">
                  <c:v>omnetpp_s</c:v>
                </c:pt>
                <c:pt idx="12">
                  <c:v>xalancbmk_s</c:v>
                </c:pt>
                <c:pt idx="13">
                  <c:v>x264_s</c:v>
                </c:pt>
                <c:pt idx="14">
                  <c:v>leela_s</c:v>
                </c:pt>
                <c:pt idx="15">
                  <c:v>xz_s</c:v>
                </c:pt>
                <c:pt idx="16">
                  <c:v>goemean</c:v>
                </c:pt>
              </c:strCache>
            </c:strRef>
          </c:cat>
          <c:val>
            <c:numRef>
              <c:f>Static_Overhead_SPEC2017!$C$24:$C$40</c:f>
              <c:numCache>
                <c:formatCode>_(* #,##0.00_);_(* \(#,##0.00\);_(* "-"??_);_(@_)</c:formatCode>
                <c:ptCount val="17"/>
                <c:pt idx="0">
                  <c:v>1.7103958136846269</c:v>
                </c:pt>
                <c:pt idx="1">
                  <c:v>1.6373122834039275</c:v>
                </c:pt>
                <c:pt idx="2">
                  <c:v>2.5291974471078951</c:v>
                </c:pt>
                <c:pt idx="3">
                  <c:v>1.2255798758575629</c:v>
                </c:pt>
                <c:pt idx="4">
                  <c:v>1.3342740265120132</c:v>
                </c:pt>
                <c:pt idx="5">
                  <c:v>1.7915722547262336</c:v>
                </c:pt>
                <c:pt idx="6">
                  <c:v>1.8157203658426153</c:v>
                </c:pt>
                <c:pt idx="7">
                  <c:v>1.687632842635598</c:v>
                </c:pt>
                <c:pt idx="8">
                  <c:v>1.6695261097693013</c:v>
                </c:pt>
                <c:pt idx="9">
                  <c:v>1.6856932175588026</c:v>
                </c:pt>
                <c:pt idx="10">
                  <c:v>0.96508848263882918</c:v>
                </c:pt>
                <c:pt idx="11">
                  <c:v>1.3483768598480907</c:v>
                </c:pt>
                <c:pt idx="12">
                  <c:v>1.7081217409086262</c:v>
                </c:pt>
                <c:pt idx="13">
                  <c:v>1.6892061781609196</c:v>
                </c:pt>
                <c:pt idx="14">
                  <c:v>1.599460464629004</c:v>
                </c:pt>
                <c:pt idx="15">
                  <c:v>1.9476324365774171</c:v>
                </c:pt>
                <c:pt idx="16">
                  <c:v>1.6126845866503123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94-E64D-8E3A-629F42E216D8}"/>
            </c:ext>
          </c:extLst>
        </c:ser>
        <c:ser>
          <c:idx val="2"/>
          <c:order val="2"/>
          <c:tx>
            <c:strRef>
              <c:f>Static_Overhead_SPEC2017!$D$23</c:f>
              <c:strCache>
                <c:ptCount val="1"/>
                <c:pt idx="0">
                  <c:v>PCCE (CCID Update + getCCID)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-1.197614730283263E-3"/>
                  <c:y val="0.2676032857003985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466-0844-8284-BFB1EFEDB2A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466-0844-8284-BFB1EFEDB2A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466-0844-8284-BFB1EFEDB2A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466-0844-8284-BFB1EFEDB2A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A76-7A47-B64D-348715FFE6B8}"/>
                </c:ext>
              </c:extLst>
            </c:dLbl>
            <c:dLbl>
              <c:idx val="5"/>
              <c:layout>
                <c:manualLayout>
                  <c:x val="-2.1387512363533119E-3"/>
                  <c:y val="0.2706897054534849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466-0844-8284-BFB1EFEDB2A0}"/>
                </c:ext>
              </c:extLst>
            </c:dLbl>
            <c:dLbl>
              <c:idx val="6"/>
              <c:layout>
                <c:manualLayout>
                  <c:x val="7.2726138243466585E-3"/>
                  <c:y val="0.2706897054534849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466-0844-8284-BFB1EFEDB2A0}"/>
                </c:ext>
              </c:extLst>
            </c:dLbl>
            <c:dLbl>
              <c:idx val="7"/>
              <c:layout>
                <c:manualLayout>
                  <c:x val="1.3860569366836707E-2"/>
                  <c:y val="0.2722329153300281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466-0844-8284-BFB1EFEDB2A0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466-0844-8284-BFB1EFEDB2A0}"/>
                </c:ext>
              </c:extLst>
            </c:dLbl>
            <c:dLbl>
              <c:idx val="9"/>
              <c:layout>
                <c:manualLayout>
                  <c:x val="-2.564782242132488E-4"/>
                  <c:y val="0.2691464955769417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466-0844-8284-BFB1EFEDB2A0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466-0844-8284-BFB1EFEDB2A0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A76-7A47-B64D-348715FFE6B8}"/>
                </c:ext>
              </c:extLst>
            </c:dLbl>
            <c:dLbl>
              <c:idx val="12"/>
              <c:layout>
                <c:manualLayout>
                  <c:x val="-3.0798877424232395E-3"/>
                  <c:y val="0.2722329153300281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466-0844-8284-BFB1EFEDB2A0}"/>
                </c:ext>
              </c:extLst>
            </c:dLbl>
            <c:dLbl>
              <c:idx val="13"/>
              <c:layout>
                <c:manualLayout>
                  <c:x val="2.566931293996742E-3"/>
                  <c:y val="0.2722329153300281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466-0844-8284-BFB1EFEDB2A0}"/>
                </c:ext>
              </c:extLst>
            </c:dLbl>
            <c:dLbl>
              <c:idx val="14"/>
              <c:layout>
                <c:manualLayout>
                  <c:x val="7.2726138243465891E-3"/>
                  <c:y val="0.2722329153300281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466-0844-8284-BFB1EFEDB2A0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466-0844-8284-BFB1EFEDB2A0}"/>
                </c:ext>
              </c:extLst>
            </c:dLbl>
            <c:dLbl>
              <c:idx val="16"/>
              <c:layout>
                <c:manualLayout>
                  <c:x val="-7.9840982018883049E-3"/>
                  <c:y val="0.216650019442014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466-0844-8284-BFB1EFEDB2A0}"/>
                </c:ext>
              </c:extLst>
            </c:dLbl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Static_Overhead_SPEC2017!$A$24:$A$40</c:f>
              <c:strCache>
                <c:ptCount val="17"/>
                <c:pt idx="0">
                  <c:v>mcf_r</c:v>
                </c:pt>
                <c:pt idx="1">
                  <c:v>namd_r</c:v>
                </c:pt>
                <c:pt idx="2">
                  <c:v>parest_r</c:v>
                </c:pt>
                <c:pt idx="3">
                  <c:v>lbm_r</c:v>
                </c:pt>
                <c:pt idx="4">
                  <c:v>omnetpp_r</c:v>
                </c:pt>
                <c:pt idx="5">
                  <c:v>xalancbmk_r</c:v>
                </c:pt>
                <c:pt idx="6">
                  <c:v>x264_r</c:v>
                </c:pt>
                <c:pt idx="7">
                  <c:v>leela_r</c:v>
                </c:pt>
                <c:pt idx="8">
                  <c:v>xz_r</c:v>
                </c:pt>
                <c:pt idx="9">
                  <c:v>mcf_s</c:v>
                </c:pt>
                <c:pt idx="10">
                  <c:v>lbm_s</c:v>
                </c:pt>
                <c:pt idx="11">
                  <c:v>omnetpp_s</c:v>
                </c:pt>
                <c:pt idx="12">
                  <c:v>xalancbmk_s</c:v>
                </c:pt>
                <c:pt idx="13">
                  <c:v>x264_s</c:v>
                </c:pt>
                <c:pt idx="14">
                  <c:v>leela_s</c:v>
                </c:pt>
                <c:pt idx="15">
                  <c:v>xz_s</c:v>
                </c:pt>
                <c:pt idx="16">
                  <c:v>goemean</c:v>
                </c:pt>
              </c:strCache>
            </c:strRef>
          </c:cat>
          <c:val>
            <c:numRef>
              <c:f>Static_Overhead_SPEC2017!$D$24:$D$40</c:f>
              <c:numCache>
                <c:formatCode>_(* #,##0.00_);_(* \(#,##0.00\);_(* "-"??_);_(@_)</c:formatCode>
                <c:ptCount val="17"/>
                <c:pt idx="0">
                  <c:v>21.375764398065048</c:v>
                </c:pt>
                <c:pt idx="1">
                  <c:v>2.6425490951097421</c:v>
                </c:pt>
                <c:pt idx="2">
                  <c:v>2.8280315593748431</c:v>
                </c:pt>
                <c:pt idx="3">
                  <c:v>1.310764456060111</c:v>
                </c:pt>
                <c:pt idx="4">
                  <c:v>2.9559859154929575</c:v>
                </c:pt>
                <c:pt idx="5">
                  <c:v>12.316953566234908</c:v>
                </c:pt>
                <c:pt idx="6">
                  <c:v>12.43412116272752</c:v>
                </c:pt>
                <c:pt idx="7">
                  <c:v>12.902463984885459</c:v>
                </c:pt>
                <c:pt idx="8">
                  <c:v>2.4952944115932372</c:v>
                </c:pt>
                <c:pt idx="9">
                  <c:v>24.357797474831077</c:v>
                </c:pt>
                <c:pt idx="10">
                  <c:v>1.0063803807591105</c:v>
                </c:pt>
                <c:pt idx="11">
                  <c:v>2.9344761211112269</c:v>
                </c:pt>
                <c:pt idx="12">
                  <c:v>12.368358269997614</c:v>
                </c:pt>
                <c:pt idx="13">
                  <c:v>12.338362068965518</c:v>
                </c:pt>
                <c:pt idx="14">
                  <c:v>12.940991592676985</c:v>
                </c:pt>
                <c:pt idx="15">
                  <c:v>3.087737235606109</c:v>
                </c:pt>
                <c:pt idx="16">
                  <c:v>5.7268698795566282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94-E64D-8E3A-629F42E216D8}"/>
            </c:ext>
          </c:extLst>
        </c:ser>
        <c:ser>
          <c:idx val="3"/>
          <c:order val="3"/>
          <c:tx>
            <c:strRef>
              <c:f>Static_Overhead_SPEC2017!$E$23</c:f>
              <c:strCache>
                <c:ptCount val="1"/>
                <c:pt idx="0">
                  <c:v>DCCE (CCID Update)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Static_Overhead_SPEC2017!$A$24:$A$40</c:f>
              <c:strCache>
                <c:ptCount val="17"/>
                <c:pt idx="0">
                  <c:v>mcf_r</c:v>
                </c:pt>
                <c:pt idx="1">
                  <c:v>namd_r</c:v>
                </c:pt>
                <c:pt idx="2">
                  <c:v>parest_r</c:v>
                </c:pt>
                <c:pt idx="3">
                  <c:v>lbm_r</c:v>
                </c:pt>
                <c:pt idx="4">
                  <c:v>omnetpp_r</c:v>
                </c:pt>
                <c:pt idx="5">
                  <c:v>xalancbmk_r</c:v>
                </c:pt>
                <c:pt idx="6">
                  <c:v>x264_r</c:v>
                </c:pt>
                <c:pt idx="7">
                  <c:v>leela_r</c:v>
                </c:pt>
                <c:pt idx="8">
                  <c:v>xz_r</c:v>
                </c:pt>
                <c:pt idx="9">
                  <c:v>mcf_s</c:v>
                </c:pt>
                <c:pt idx="10">
                  <c:v>lbm_s</c:v>
                </c:pt>
                <c:pt idx="11">
                  <c:v>omnetpp_s</c:v>
                </c:pt>
                <c:pt idx="12">
                  <c:v>xalancbmk_s</c:v>
                </c:pt>
                <c:pt idx="13">
                  <c:v>x264_s</c:v>
                </c:pt>
                <c:pt idx="14">
                  <c:v>leela_s</c:v>
                </c:pt>
                <c:pt idx="15">
                  <c:v>xz_s</c:v>
                </c:pt>
                <c:pt idx="16">
                  <c:v>goemean</c:v>
                </c:pt>
              </c:strCache>
            </c:strRef>
          </c:cat>
          <c:val>
            <c:numRef>
              <c:f>Static_Overhead_SPEC2017!$E$24:$E$40</c:f>
              <c:numCache>
                <c:formatCode>_(* #,##0.00_);_(* \(#,##0.00\);_(* "-"??_);_(@_)</c:formatCode>
                <c:ptCount val="17"/>
                <c:pt idx="0">
                  <c:v>1.7343393471051751</c:v>
                </c:pt>
                <c:pt idx="1">
                  <c:v>1.7070465922217943</c:v>
                </c:pt>
                <c:pt idx="2">
                  <c:v>2.5778682345846526</c:v>
                </c:pt>
                <c:pt idx="3">
                  <c:v>1.314970597843842</c:v>
                </c:pt>
                <c:pt idx="4">
                  <c:v>1.309419014084507</c:v>
                </c:pt>
                <c:pt idx="5">
                  <c:v>1.7757448679360142</c:v>
                </c:pt>
                <c:pt idx="6">
                  <c:v>1.89133387666395</c:v>
                </c:pt>
                <c:pt idx="7">
                  <c:v>1.6882363746096722</c:v>
                </c:pt>
                <c:pt idx="8">
                  <c:v>1.6823519613558757</c:v>
                </c:pt>
                <c:pt idx="9">
                  <c:v>1.7502370167491836</c:v>
                </c:pt>
                <c:pt idx="10">
                  <c:v>1.0087622749238998</c:v>
                </c:pt>
                <c:pt idx="11">
                  <c:v>1.3315731973780043</c:v>
                </c:pt>
                <c:pt idx="12">
                  <c:v>1.7895095600013633</c:v>
                </c:pt>
                <c:pt idx="13">
                  <c:v>1.8683548850574712</c:v>
                </c:pt>
                <c:pt idx="14">
                  <c:v>1.6913386239228936</c:v>
                </c:pt>
                <c:pt idx="15">
                  <c:v>2.0097130807080323</c:v>
                </c:pt>
                <c:pt idx="16">
                  <c:v>1.6607677624132051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94-E64D-8E3A-629F42E216D8}"/>
            </c:ext>
          </c:extLst>
        </c:ser>
        <c:ser>
          <c:idx val="4"/>
          <c:order val="4"/>
          <c:tx>
            <c:strRef>
              <c:f>Static_Overhead_SPEC2017!$F$23</c:f>
              <c:strCache>
                <c:ptCount val="1"/>
                <c:pt idx="0">
                  <c:v>DCCE (CCID Update + getCCID)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Static_Overhead_SPEC2017!$A$24:$A$40</c:f>
              <c:strCache>
                <c:ptCount val="17"/>
                <c:pt idx="0">
                  <c:v>mcf_r</c:v>
                </c:pt>
                <c:pt idx="1">
                  <c:v>namd_r</c:v>
                </c:pt>
                <c:pt idx="2">
                  <c:v>parest_r</c:v>
                </c:pt>
                <c:pt idx="3">
                  <c:v>lbm_r</c:v>
                </c:pt>
                <c:pt idx="4">
                  <c:v>omnetpp_r</c:v>
                </c:pt>
                <c:pt idx="5">
                  <c:v>xalancbmk_r</c:v>
                </c:pt>
                <c:pt idx="6">
                  <c:v>x264_r</c:v>
                </c:pt>
                <c:pt idx="7">
                  <c:v>leela_r</c:v>
                </c:pt>
                <c:pt idx="8">
                  <c:v>xz_r</c:v>
                </c:pt>
                <c:pt idx="9">
                  <c:v>mcf_s</c:v>
                </c:pt>
                <c:pt idx="10">
                  <c:v>lbm_s</c:v>
                </c:pt>
                <c:pt idx="11">
                  <c:v>omnetpp_s</c:v>
                </c:pt>
                <c:pt idx="12">
                  <c:v>xalancbmk_s</c:v>
                </c:pt>
                <c:pt idx="13">
                  <c:v>x264_s</c:v>
                </c:pt>
                <c:pt idx="14">
                  <c:v>leela_s</c:v>
                </c:pt>
                <c:pt idx="15">
                  <c:v>xz_s</c:v>
                </c:pt>
                <c:pt idx="16">
                  <c:v>goemean</c:v>
                </c:pt>
              </c:strCache>
            </c:strRef>
          </c:cat>
          <c:val>
            <c:numRef>
              <c:f>Static_Overhead_SPEC2017!$F$24:$F$40</c:f>
              <c:numCache>
                <c:formatCode>_(* #,##0.00_);_(* \(#,##0.00\);_(* "-"??_);_(@_)</c:formatCode>
                <c:ptCount val="17"/>
                <c:pt idx="0">
                  <c:v>1.936718488545438</c:v>
                </c:pt>
                <c:pt idx="1">
                  <c:v>1.7102425876010781</c:v>
                </c:pt>
                <c:pt idx="2">
                  <c:v>2.5839991959394943</c:v>
                </c:pt>
                <c:pt idx="3">
                  <c:v>1.3118670369160406</c:v>
                </c:pt>
                <c:pt idx="4">
                  <c:v>1.4245028997514499</c:v>
                </c:pt>
                <c:pt idx="5">
                  <c:v>1.8433156346173358</c:v>
                </c:pt>
                <c:pt idx="6">
                  <c:v>1.9429502852485738</c:v>
                </c:pt>
                <c:pt idx="7">
                  <c:v>1.7269149019916554</c:v>
                </c:pt>
                <c:pt idx="8">
                  <c:v>1.6696093945198633</c:v>
                </c:pt>
                <c:pt idx="9">
                  <c:v>1.9552753156461151</c:v>
                </c:pt>
                <c:pt idx="10">
                  <c:v>1.009673757889487</c:v>
                </c:pt>
                <c:pt idx="11">
                  <c:v>1.4384299240453646</c:v>
                </c:pt>
                <c:pt idx="12">
                  <c:v>1.8334753416720631</c:v>
                </c:pt>
                <c:pt idx="13">
                  <c:v>1.9264547413793103</c:v>
                </c:pt>
                <c:pt idx="14">
                  <c:v>1.7253869725779838</c:v>
                </c:pt>
                <c:pt idx="15">
                  <c:v>2.0301616716723112</c:v>
                </c:pt>
                <c:pt idx="16">
                  <c:v>1.7188099331003612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94-E64D-8E3A-629F42E21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5708623"/>
        <c:axId val="575805615"/>
      </c:barChart>
      <c:catAx>
        <c:axId val="57570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575805615"/>
        <c:crosses val="autoZero"/>
        <c:auto val="1"/>
        <c:lblAlgn val="ctr"/>
        <c:lblOffset val="100"/>
        <c:noMultiLvlLbl val="0"/>
      </c:catAx>
      <c:valAx>
        <c:axId val="575805615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r>
                  <a:rPr lang="en-US"/>
                  <a:t>Runtime Overhead </a:t>
                </a:r>
              </a:p>
              <a:p>
                <a:pPr>
                  <a:defRPr/>
                </a:pPr>
                <a:r>
                  <a:rPr lang="en-US"/>
                  <a:t>Relative to Native (times)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575708623"/>
        <c:crosses val="autoZero"/>
        <c:crossBetween val="between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0630071631671041"/>
          <c:y val="1.8259089141635074E-2"/>
          <c:w val="0.88536041393263332"/>
          <c:h val="0.1847027802080295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w Cen MT" panose="020B0602020104020603" pitchFamily="34" charset="77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3600">
          <a:latin typeface="Tw Cen MT" panose="020B0602020104020603" pitchFamily="34" charset="77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50274667013279"/>
          <c:y val="0.19776854282103626"/>
          <c:w val="0.85189024265103264"/>
          <c:h val="0.409576164090599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Static_Overhead_Splash3!$B$17</c:f>
              <c:strCache>
                <c:ptCount val="1"/>
                <c:pt idx="0">
                  <c:v>Native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Static_Overhead_Splash3!$A$18:$A$31</c:f>
              <c:strCache>
                <c:ptCount val="14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RAYTRACE</c:v>
                </c:pt>
                <c:pt idx="11">
                  <c:v>WATER-NSQUARED</c:v>
                </c:pt>
                <c:pt idx="12">
                  <c:v>WATER-SPATIAL</c:v>
                </c:pt>
                <c:pt idx="13">
                  <c:v>GEOMEAN</c:v>
                </c:pt>
              </c:strCache>
            </c:strRef>
          </c:cat>
          <c:val>
            <c:numRef>
              <c:f>Static_Overhead_Splash3!$B$18:$B$31</c:f>
              <c:numCache>
                <c:formatCode>_(* #,##0.00_);_(* \(#,##0.00\);_(* "-"??_);_(@_)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5E-5847-AE4A-75628940829F}"/>
            </c:ext>
          </c:extLst>
        </c:ser>
        <c:ser>
          <c:idx val="1"/>
          <c:order val="1"/>
          <c:tx>
            <c:strRef>
              <c:f>Static_Overhead_Splash3!$C$17</c:f>
              <c:strCache>
                <c:ptCount val="1"/>
                <c:pt idx="0">
                  <c:v>PCCE (CCID Update)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Static_Overhead_Splash3!$A$18:$A$31</c:f>
              <c:strCache>
                <c:ptCount val="14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RAYTRACE</c:v>
                </c:pt>
                <c:pt idx="11">
                  <c:v>WATER-NSQUARED</c:v>
                </c:pt>
                <c:pt idx="12">
                  <c:v>WATER-SPATIAL</c:v>
                </c:pt>
                <c:pt idx="13">
                  <c:v>GEOMEAN</c:v>
                </c:pt>
              </c:strCache>
            </c:strRef>
          </c:cat>
          <c:val>
            <c:numRef>
              <c:f>Static_Overhead_Splash3!$C$18:$C$31</c:f>
              <c:numCache>
                <c:formatCode>_(* #,##0.00_);_(* \(#,##0.00\);_(* "-"??_);_(@_)</c:formatCode>
                <c:ptCount val="14"/>
                <c:pt idx="0">
                  <c:v>2.1923076923076925</c:v>
                </c:pt>
                <c:pt idx="1">
                  <c:v>1.0454545454545454</c:v>
                </c:pt>
                <c:pt idx="2">
                  <c:v>1.0241137304300882</c:v>
                </c:pt>
                <c:pt idx="3">
                  <c:v>0.93181818181818177</c:v>
                </c:pt>
                <c:pt idx="4">
                  <c:v>1.7817142857142858</c:v>
                </c:pt>
                <c:pt idx="5">
                  <c:v>1.5210866752910737</c:v>
                </c:pt>
                <c:pt idx="6">
                  <c:v>1.0066334991708126</c:v>
                </c:pt>
                <c:pt idx="7">
                  <c:v>0.97901168969181718</c:v>
                </c:pt>
                <c:pt idx="8">
                  <c:v>2.6774193548387095</c:v>
                </c:pt>
                <c:pt idx="9">
                  <c:v>1.3530031612223392</c:v>
                </c:pt>
                <c:pt idx="10">
                  <c:v>1.0370496261046906</c:v>
                </c:pt>
                <c:pt idx="11">
                  <c:v>1.3771186440677967</c:v>
                </c:pt>
                <c:pt idx="12">
                  <c:v>1.5</c:v>
                </c:pt>
                <c:pt idx="13">
                  <c:v>1.3409621318138527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5E-5847-AE4A-75628940829F}"/>
            </c:ext>
          </c:extLst>
        </c:ser>
        <c:ser>
          <c:idx val="2"/>
          <c:order val="2"/>
          <c:tx>
            <c:strRef>
              <c:f>Static_Overhead_Splash3!$D$17</c:f>
              <c:strCache>
                <c:ptCount val="1"/>
                <c:pt idx="0">
                  <c:v>PCCE (CCID Update + getCCID)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4.1037839020122485E-3"/>
                  <c:y val="0.2339650772820064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4A-D240-9DAC-93CE07DA462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4A-D240-9DAC-93CE07DA462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4A-D240-9DAC-93CE07DA462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4A-D240-9DAC-93CE07DA4624}"/>
                </c:ext>
              </c:extLst>
            </c:dLbl>
            <c:dLbl>
              <c:idx val="4"/>
              <c:layout>
                <c:manualLayout>
                  <c:x val="2.3676727909011375E-3"/>
                  <c:y val="0.2370514970350928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4A-D240-9DAC-93CE07DA4624}"/>
                </c:ext>
              </c:extLst>
            </c:dLbl>
            <c:dLbl>
              <c:idx val="5"/>
              <c:layout>
                <c:manualLayout>
                  <c:x val="1.4387849956255469E-3"/>
                  <c:y val="0.2370514970350928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74A-D240-9DAC-93CE07DA462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74A-D240-9DAC-93CE07DA462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74A-D240-9DAC-93CE07DA4624}"/>
                </c:ext>
              </c:extLst>
            </c:dLbl>
            <c:dLbl>
              <c:idx val="8"/>
              <c:layout>
                <c:manualLayout>
                  <c:x val="6.3156167979002624E-4"/>
                  <c:y val="0.2385947069116360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74A-D240-9DAC-93CE07DA4624}"/>
                </c:ext>
              </c:extLst>
            </c:dLbl>
            <c:dLbl>
              <c:idx val="9"/>
              <c:layout>
                <c:manualLayout>
                  <c:x val="7.5152422353455817E-3"/>
                  <c:y val="0.2370514970350928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74A-D240-9DAC-93CE07DA462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BEB-8E4E-BB5A-AE877AD3F3CE}"/>
                </c:ext>
              </c:extLst>
            </c:dLbl>
            <c:dLbl>
              <c:idx val="11"/>
              <c:layout>
                <c:manualLayout>
                  <c:x val="7.5152422353455817E-3"/>
                  <c:y val="0.235508287158549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74A-D240-9DAC-93CE07DA4624}"/>
                </c:ext>
              </c:extLst>
            </c:dLbl>
            <c:dLbl>
              <c:idx val="12"/>
              <c:layout>
                <c:manualLayout>
                  <c:x val="1.1855485837707659E-2"/>
                  <c:y val="0.1901715757752502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74A-D240-9DAC-93CE07DA462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74A-D240-9DAC-93CE07DA4624}"/>
                </c:ext>
              </c:extLst>
            </c:dLbl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Static_Overhead_Splash3!$A$18:$A$31</c:f>
              <c:strCache>
                <c:ptCount val="14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RAYTRACE</c:v>
                </c:pt>
                <c:pt idx="11">
                  <c:v>WATER-NSQUARED</c:v>
                </c:pt>
                <c:pt idx="12">
                  <c:v>WATER-SPATIAL</c:v>
                </c:pt>
                <c:pt idx="13">
                  <c:v>GEOMEAN</c:v>
                </c:pt>
              </c:strCache>
            </c:strRef>
          </c:cat>
          <c:val>
            <c:numRef>
              <c:f>Static_Overhead_Splash3!$D$18:$D$31</c:f>
              <c:numCache>
                <c:formatCode>_(* #,##0.00_);_(* \(#,##0.00\);_(* "-"??_);_(@_)</c:formatCode>
                <c:ptCount val="14"/>
                <c:pt idx="0">
                  <c:v>15.76923076923077</c:v>
                </c:pt>
                <c:pt idx="1">
                  <c:v>2.6363636363636362</c:v>
                </c:pt>
                <c:pt idx="2">
                  <c:v>2.5805290624437647</c:v>
                </c:pt>
                <c:pt idx="3">
                  <c:v>1.7045454545454546</c:v>
                </c:pt>
                <c:pt idx="4">
                  <c:v>11.063619047619047</c:v>
                </c:pt>
                <c:pt idx="5">
                  <c:v>7.9055627425614485</c:v>
                </c:pt>
                <c:pt idx="6">
                  <c:v>1.0182421227197347</c:v>
                </c:pt>
                <c:pt idx="7">
                  <c:v>0.98618490967056327</c:v>
                </c:pt>
                <c:pt idx="8">
                  <c:v>28.838709677419356</c:v>
                </c:pt>
                <c:pt idx="9">
                  <c:v>8.1707060063224439</c:v>
                </c:pt>
                <c:pt idx="10">
                  <c:v>2.6730115567641062</c:v>
                </c:pt>
                <c:pt idx="11">
                  <c:v>6.8919491525423728</c:v>
                </c:pt>
                <c:pt idx="12">
                  <c:v>6.2777777777777777</c:v>
                </c:pt>
                <c:pt idx="13">
                  <c:v>4.6206638097694075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5E-5847-AE4A-75628940829F}"/>
            </c:ext>
          </c:extLst>
        </c:ser>
        <c:ser>
          <c:idx val="3"/>
          <c:order val="3"/>
          <c:tx>
            <c:strRef>
              <c:f>Static_Overhead_Splash3!$E$17</c:f>
              <c:strCache>
                <c:ptCount val="1"/>
                <c:pt idx="0">
                  <c:v>DCCE (CCID Update)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Static_Overhead_Splash3!$A$18:$A$31</c:f>
              <c:strCache>
                <c:ptCount val="14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RAYTRACE</c:v>
                </c:pt>
                <c:pt idx="11">
                  <c:v>WATER-NSQUARED</c:v>
                </c:pt>
                <c:pt idx="12">
                  <c:v>WATER-SPATIAL</c:v>
                </c:pt>
                <c:pt idx="13">
                  <c:v>GEOMEAN</c:v>
                </c:pt>
              </c:strCache>
            </c:strRef>
          </c:cat>
          <c:val>
            <c:numRef>
              <c:f>Static_Overhead_Splash3!$E$18:$E$31</c:f>
              <c:numCache>
                <c:formatCode>_(* #,##0.00_);_(* \(#,##0.00\);_(* "-"??_);_(@_)</c:formatCode>
                <c:ptCount val="14"/>
                <c:pt idx="0">
                  <c:v>2.7307692307692308</c:v>
                </c:pt>
                <c:pt idx="1">
                  <c:v>1.0909090909090908</c:v>
                </c:pt>
                <c:pt idx="2">
                  <c:v>1.1693359726471118</c:v>
                </c:pt>
                <c:pt idx="3">
                  <c:v>0.95454545454545459</c:v>
                </c:pt>
                <c:pt idx="4">
                  <c:v>1.8213333333333332</c:v>
                </c:pt>
                <c:pt idx="5">
                  <c:v>1.4271668822768435</c:v>
                </c:pt>
                <c:pt idx="6">
                  <c:v>1.0071862907683804</c:v>
                </c:pt>
                <c:pt idx="7">
                  <c:v>0.98591923485653565</c:v>
                </c:pt>
                <c:pt idx="8">
                  <c:v>3.161290322580645</c:v>
                </c:pt>
                <c:pt idx="9">
                  <c:v>1.3582718651211803</c:v>
                </c:pt>
                <c:pt idx="10">
                  <c:v>1.073929299796057</c:v>
                </c:pt>
                <c:pt idx="11">
                  <c:v>1.4682203389830508</c:v>
                </c:pt>
                <c:pt idx="12">
                  <c:v>1.537037037037037</c:v>
                </c:pt>
                <c:pt idx="13">
                  <c:v>1.4127695343529236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5E-5847-AE4A-75628940829F}"/>
            </c:ext>
          </c:extLst>
        </c:ser>
        <c:ser>
          <c:idx val="4"/>
          <c:order val="4"/>
          <c:tx>
            <c:strRef>
              <c:f>Static_Overhead_Splash3!$F$17</c:f>
              <c:strCache>
                <c:ptCount val="1"/>
                <c:pt idx="0">
                  <c:v>DCCE (CCID Update + getCCID)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Static_Overhead_Splash3!$A$18:$A$31</c:f>
              <c:strCache>
                <c:ptCount val="14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RAYTRACE</c:v>
                </c:pt>
                <c:pt idx="11">
                  <c:v>WATER-NSQUARED</c:v>
                </c:pt>
                <c:pt idx="12">
                  <c:v>WATER-SPATIAL</c:v>
                </c:pt>
                <c:pt idx="13">
                  <c:v>GEOMEAN</c:v>
                </c:pt>
              </c:strCache>
            </c:strRef>
          </c:cat>
          <c:val>
            <c:numRef>
              <c:f>Static_Overhead_Splash3!$F$18:$F$31</c:f>
              <c:numCache>
                <c:formatCode>_(* #,##0.00_);_(* \(#,##0.00\);_(* "-"??_);_(@_)</c:formatCode>
                <c:ptCount val="14"/>
                <c:pt idx="0">
                  <c:v>2.8461538461538463</c:v>
                </c:pt>
                <c:pt idx="1">
                  <c:v>1.1363636363636365</c:v>
                </c:pt>
                <c:pt idx="2">
                  <c:v>1.1182292603922981</c:v>
                </c:pt>
                <c:pt idx="3">
                  <c:v>0.97727272727272729</c:v>
                </c:pt>
                <c:pt idx="4">
                  <c:v>1.7344761904761905</c:v>
                </c:pt>
                <c:pt idx="5">
                  <c:v>1.5060802069857697</c:v>
                </c:pt>
                <c:pt idx="6">
                  <c:v>1.007739082365948</c:v>
                </c:pt>
                <c:pt idx="7">
                  <c:v>1.0092986184909671</c:v>
                </c:pt>
                <c:pt idx="8">
                  <c:v>3.4193548387096775</c:v>
                </c:pt>
                <c:pt idx="9">
                  <c:v>1.3909378292939938</c:v>
                </c:pt>
                <c:pt idx="10">
                  <c:v>1.1794697484704282</c:v>
                </c:pt>
                <c:pt idx="11">
                  <c:v>1.6271186440677967</c:v>
                </c:pt>
                <c:pt idx="12">
                  <c:v>1.6851851851851851</c:v>
                </c:pt>
                <c:pt idx="13">
                  <c:v>1.4659923378379092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35E-5847-AE4A-756289408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5708623"/>
        <c:axId val="575805615"/>
      </c:barChart>
      <c:catAx>
        <c:axId val="57570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575805615"/>
        <c:crosses val="autoZero"/>
        <c:auto val="1"/>
        <c:lblAlgn val="ctr"/>
        <c:lblOffset val="100"/>
        <c:noMultiLvlLbl val="0"/>
      </c:catAx>
      <c:valAx>
        <c:axId val="575805615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r>
                  <a:rPr lang="en-US"/>
                  <a:t>Runtime Overhead </a:t>
                </a:r>
              </a:p>
              <a:p>
                <a:pPr>
                  <a:defRPr/>
                </a:pPr>
                <a:r>
                  <a:rPr lang="en-US"/>
                  <a:t>Relative to Native (times)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575708623"/>
        <c:crosses val="autoZero"/>
        <c:crossBetween val="between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3842239203157816"/>
          <c:y val="1.596431775142031E-2"/>
          <c:w val="0.85387701211544909"/>
          <c:h val="0.15826808107319917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w Cen MT" panose="020B0602020104020603" pitchFamily="34" charset="77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3600">
          <a:latin typeface="Tw Cen MT" panose="020B0602020104020603" pitchFamily="34" charset="77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967212106299212"/>
          <c:y val="0.2491331291921843"/>
          <c:w val="0.85272077318460193"/>
          <c:h val="0.465086759988334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Dyn_Overhead_SPEC2017!$B$21</c:f>
              <c:strCache>
                <c:ptCount val="1"/>
                <c:pt idx="0">
                  <c:v>Native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Dyn_Overhead_SPEC2017!$A$22:$A$36</c:f>
              <c:strCache>
                <c:ptCount val="15"/>
                <c:pt idx="0">
                  <c:v>mcf_r</c:v>
                </c:pt>
                <c:pt idx="1">
                  <c:v>namd_r</c:v>
                </c:pt>
                <c:pt idx="2">
                  <c:v>parest_r</c:v>
                </c:pt>
                <c:pt idx="3">
                  <c:v>lbm_r</c:v>
                </c:pt>
                <c:pt idx="4">
                  <c:v>xalancbmk_r</c:v>
                </c:pt>
                <c:pt idx="5">
                  <c:v>x264_r</c:v>
                </c:pt>
                <c:pt idx="6">
                  <c:v>leela_r</c:v>
                </c:pt>
                <c:pt idx="7">
                  <c:v>xz_r</c:v>
                </c:pt>
                <c:pt idx="8">
                  <c:v>mcf_s</c:v>
                </c:pt>
                <c:pt idx="9">
                  <c:v>lbm_s</c:v>
                </c:pt>
                <c:pt idx="10">
                  <c:v>xalancbmk_s</c:v>
                </c:pt>
                <c:pt idx="11">
                  <c:v>x264_s</c:v>
                </c:pt>
                <c:pt idx="12">
                  <c:v>leela_s</c:v>
                </c:pt>
                <c:pt idx="13">
                  <c:v>xz_s</c:v>
                </c:pt>
                <c:pt idx="14">
                  <c:v>goemean</c:v>
                </c:pt>
              </c:strCache>
            </c:strRef>
          </c:cat>
          <c:val>
            <c:numRef>
              <c:f>Dyn_Overhead_SPEC2017!$B$22:$B$36</c:f>
              <c:numCache>
                <c:formatCode>_(* #,##0.00_);_(* \(#,##0.00\);_(* "-"??_);_(@_)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CC-084A-8FE5-233D7BA91360}"/>
            </c:ext>
          </c:extLst>
        </c:ser>
        <c:ser>
          <c:idx val="2"/>
          <c:order val="1"/>
          <c:tx>
            <c:strRef>
              <c:f>Dyn_Overhead_SPEC2017!$C$21</c:f>
              <c:strCache>
                <c:ptCount val="1"/>
                <c:pt idx="0">
                  <c:v>Empty client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Dyn_Overhead_SPEC2017!$A$22:$A$36</c:f>
              <c:strCache>
                <c:ptCount val="15"/>
                <c:pt idx="0">
                  <c:v>mcf_r</c:v>
                </c:pt>
                <c:pt idx="1">
                  <c:v>namd_r</c:v>
                </c:pt>
                <c:pt idx="2">
                  <c:v>parest_r</c:v>
                </c:pt>
                <c:pt idx="3">
                  <c:v>lbm_r</c:v>
                </c:pt>
                <c:pt idx="4">
                  <c:v>xalancbmk_r</c:v>
                </c:pt>
                <c:pt idx="5">
                  <c:v>x264_r</c:v>
                </c:pt>
                <c:pt idx="6">
                  <c:v>leela_r</c:v>
                </c:pt>
                <c:pt idx="7">
                  <c:v>xz_r</c:v>
                </c:pt>
                <c:pt idx="8">
                  <c:v>mcf_s</c:v>
                </c:pt>
                <c:pt idx="9">
                  <c:v>lbm_s</c:v>
                </c:pt>
                <c:pt idx="10">
                  <c:v>xalancbmk_s</c:v>
                </c:pt>
                <c:pt idx="11">
                  <c:v>x264_s</c:v>
                </c:pt>
                <c:pt idx="12">
                  <c:v>leela_s</c:v>
                </c:pt>
                <c:pt idx="13">
                  <c:v>xz_s</c:v>
                </c:pt>
                <c:pt idx="14">
                  <c:v>goemean</c:v>
                </c:pt>
              </c:strCache>
            </c:strRef>
          </c:cat>
          <c:val>
            <c:numRef>
              <c:f>Dyn_Overhead_SPEC2017!$C$22:$C$36</c:f>
              <c:numCache>
                <c:formatCode>_(* #,##0.00_);_(* \(#,##0.00\);_(* "-"??_);_(@_)</c:formatCode>
                <c:ptCount val="15"/>
                <c:pt idx="0">
                  <c:v>1.8634275457117648</c:v>
                </c:pt>
                <c:pt idx="1">
                  <c:v>1.7180978051597997</c:v>
                </c:pt>
                <c:pt idx="2">
                  <c:v>2.6148801447308911</c:v>
                </c:pt>
                <c:pt idx="3">
                  <c:v>1.7126347598823914</c:v>
                </c:pt>
                <c:pt idx="4">
                  <c:v>1.871047380702763</c:v>
                </c:pt>
                <c:pt idx="5">
                  <c:v>2.0961695191524043</c:v>
                </c:pt>
                <c:pt idx="6">
                  <c:v>1.8667506363326249</c:v>
                </c:pt>
                <c:pt idx="7">
                  <c:v>1.745898226034813</c:v>
                </c:pt>
                <c:pt idx="8">
                  <c:v>1.872116296218266</c:v>
                </c:pt>
                <c:pt idx="9">
                  <c:v>1.051567578722892</c:v>
                </c:pt>
                <c:pt idx="10">
                  <c:v>1.8700453290617225</c:v>
                </c:pt>
                <c:pt idx="11">
                  <c:v>2.078753591954023</c:v>
                </c:pt>
                <c:pt idx="12">
                  <c:v>1.8705377019983762</c:v>
                </c:pt>
                <c:pt idx="13">
                  <c:v>2.0591411591795001</c:v>
                </c:pt>
                <c:pt idx="14">
                  <c:v>1.8476181560103755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CC-084A-8FE5-233D7BA91360}"/>
            </c:ext>
          </c:extLst>
        </c:ser>
        <c:ser>
          <c:idx val="3"/>
          <c:order val="2"/>
          <c:tx>
            <c:strRef>
              <c:f>Dyn_Overhead_SPEC2017!$D$21</c:f>
              <c:strCache>
                <c:ptCount val="1"/>
                <c:pt idx="0">
                  <c:v>DCCE (CCID Update)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Dyn_Overhead_SPEC2017!$A$22:$A$36</c:f>
              <c:strCache>
                <c:ptCount val="15"/>
                <c:pt idx="0">
                  <c:v>mcf_r</c:v>
                </c:pt>
                <c:pt idx="1">
                  <c:v>namd_r</c:v>
                </c:pt>
                <c:pt idx="2">
                  <c:v>parest_r</c:v>
                </c:pt>
                <c:pt idx="3">
                  <c:v>lbm_r</c:v>
                </c:pt>
                <c:pt idx="4">
                  <c:v>xalancbmk_r</c:v>
                </c:pt>
                <c:pt idx="5">
                  <c:v>x264_r</c:v>
                </c:pt>
                <c:pt idx="6">
                  <c:v>leela_r</c:v>
                </c:pt>
                <c:pt idx="7">
                  <c:v>xz_r</c:v>
                </c:pt>
                <c:pt idx="8">
                  <c:v>mcf_s</c:v>
                </c:pt>
                <c:pt idx="9">
                  <c:v>lbm_s</c:v>
                </c:pt>
                <c:pt idx="10">
                  <c:v>xalancbmk_s</c:v>
                </c:pt>
                <c:pt idx="11">
                  <c:v>x264_s</c:v>
                </c:pt>
                <c:pt idx="12">
                  <c:v>leela_s</c:v>
                </c:pt>
                <c:pt idx="13">
                  <c:v>xz_s</c:v>
                </c:pt>
                <c:pt idx="14">
                  <c:v>goemean</c:v>
                </c:pt>
              </c:strCache>
            </c:strRef>
          </c:cat>
          <c:val>
            <c:numRef>
              <c:f>Dyn_Overhead_SPEC2017!$D$22:$D$36</c:f>
              <c:numCache>
                <c:formatCode>_(* #,##0.00_);_(* \(#,##0.00\);_(* "-"??_);_(@_)</c:formatCode>
                <c:ptCount val="15"/>
                <c:pt idx="0">
                  <c:v>11.977851470990903</c:v>
                </c:pt>
                <c:pt idx="1">
                  <c:v>2.1906815556411243</c:v>
                </c:pt>
                <c:pt idx="2">
                  <c:v>4.5557816975727423</c:v>
                </c:pt>
                <c:pt idx="3">
                  <c:v>1.6963819013394315</c:v>
                </c:pt>
                <c:pt idx="4">
                  <c:v>7.6688761878994898</c:v>
                </c:pt>
                <c:pt idx="5">
                  <c:v>7.2963868513990766</c:v>
                </c:pt>
                <c:pt idx="6">
                  <c:v>7.2846571675982048</c:v>
                </c:pt>
                <c:pt idx="7">
                  <c:v>2.2697593070708755</c:v>
                </c:pt>
                <c:pt idx="8">
                  <c:v>11.527290785691713</c:v>
                </c:pt>
                <c:pt idx="9">
                  <c:v>1.0193905102584828</c:v>
                </c:pt>
                <c:pt idx="10">
                  <c:v>7.7165059132272251</c:v>
                </c:pt>
                <c:pt idx="11">
                  <c:v>7.2301544540229887</c:v>
                </c:pt>
                <c:pt idx="12">
                  <c:v>7.2107330871375819</c:v>
                </c:pt>
                <c:pt idx="13">
                  <c:v>2.6106140967473959</c:v>
                </c:pt>
                <c:pt idx="14">
                  <c:v>4.6655435097550528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CC-084A-8FE5-233D7BA91360}"/>
            </c:ext>
          </c:extLst>
        </c:ser>
        <c:ser>
          <c:idx val="4"/>
          <c:order val="3"/>
          <c:tx>
            <c:strRef>
              <c:f>Dyn_Overhead_SPEC2017!$E$21</c:f>
              <c:strCache>
                <c:ptCount val="1"/>
                <c:pt idx="0">
                  <c:v>DCCE (CCID Update+getCCID)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Dyn_Overhead_SPEC2017!$A$22:$A$36</c:f>
              <c:strCache>
                <c:ptCount val="15"/>
                <c:pt idx="0">
                  <c:v>mcf_r</c:v>
                </c:pt>
                <c:pt idx="1">
                  <c:v>namd_r</c:v>
                </c:pt>
                <c:pt idx="2">
                  <c:v>parest_r</c:v>
                </c:pt>
                <c:pt idx="3">
                  <c:v>lbm_r</c:v>
                </c:pt>
                <c:pt idx="4">
                  <c:v>xalancbmk_r</c:v>
                </c:pt>
                <c:pt idx="5">
                  <c:v>x264_r</c:v>
                </c:pt>
                <c:pt idx="6">
                  <c:v>leela_r</c:v>
                </c:pt>
                <c:pt idx="7">
                  <c:v>xz_r</c:v>
                </c:pt>
                <c:pt idx="8">
                  <c:v>mcf_s</c:v>
                </c:pt>
                <c:pt idx="9">
                  <c:v>lbm_s</c:v>
                </c:pt>
                <c:pt idx="10">
                  <c:v>xalancbmk_s</c:v>
                </c:pt>
                <c:pt idx="11">
                  <c:v>x264_s</c:v>
                </c:pt>
                <c:pt idx="12">
                  <c:v>leela_s</c:v>
                </c:pt>
                <c:pt idx="13">
                  <c:v>xz_s</c:v>
                </c:pt>
                <c:pt idx="14">
                  <c:v>goemean</c:v>
                </c:pt>
              </c:strCache>
            </c:strRef>
          </c:cat>
          <c:val>
            <c:numRef>
              <c:f>Dyn_Overhead_SPEC2017!$E$22:$E$36</c:f>
              <c:numCache>
                <c:formatCode>_(* #,##0.00_);_(* \(#,##0.00\);_(* "-"??_);_(@_)</c:formatCode>
                <c:ptCount val="15"/>
                <c:pt idx="0">
                  <c:v>9.8078128327603515</c:v>
                </c:pt>
                <c:pt idx="1">
                  <c:v>1.9727762803234501</c:v>
                </c:pt>
                <c:pt idx="2">
                  <c:v>3.6053319262274486</c:v>
                </c:pt>
                <c:pt idx="3">
                  <c:v>1.7067134923227703</c:v>
                </c:pt>
                <c:pt idx="4">
                  <c:v>4.8612059927626907</c:v>
                </c:pt>
                <c:pt idx="5">
                  <c:v>5.6994476138730414</c:v>
                </c:pt>
                <c:pt idx="6">
                  <c:v>4.3248051641344567</c:v>
                </c:pt>
                <c:pt idx="7">
                  <c:v>2.0695427667194135</c:v>
                </c:pt>
                <c:pt idx="8">
                  <c:v>9.4144557643978271</c:v>
                </c:pt>
                <c:pt idx="9">
                  <c:v>1.0154694137272775</c:v>
                </c:pt>
                <c:pt idx="10">
                  <c:v>4.8336457516785387</c:v>
                </c:pt>
                <c:pt idx="11">
                  <c:v>5.6506824712643677</c:v>
                </c:pt>
                <c:pt idx="12">
                  <c:v>4.3492574840889446</c:v>
                </c:pt>
                <c:pt idx="13">
                  <c:v>2.4405393315866828</c:v>
                </c:pt>
                <c:pt idx="14">
                  <c:v>3.6745826883437345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CC-084A-8FE5-233D7BA91360}"/>
            </c:ext>
          </c:extLst>
        </c:ser>
        <c:ser>
          <c:idx val="5"/>
          <c:order val="4"/>
          <c:tx>
            <c:strRef>
              <c:f>Dyn_Overhead_SPEC2017!$F$21</c:f>
              <c:strCache>
                <c:ptCount val="1"/>
                <c:pt idx="0">
                  <c:v>DrCCTProf (CCID Update)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Dyn_Overhead_SPEC2017!$A$22:$A$36</c:f>
              <c:strCache>
                <c:ptCount val="15"/>
                <c:pt idx="0">
                  <c:v>mcf_r</c:v>
                </c:pt>
                <c:pt idx="1">
                  <c:v>namd_r</c:v>
                </c:pt>
                <c:pt idx="2">
                  <c:v>parest_r</c:v>
                </c:pt>
                <c:pt idx="3">
                  <c:v>lbm_r</c:v>
                </c:pt>
                <c:pt idx="4">
                  <c:v>xalancbmk_r</c:v>
                </c:pt>
                <c:pt idx="5">
                  <c:v>x264_r</c:v>
                </c:pt>
                <c:pt idx="6">
                  <c:v>leela_r</c:v>
                </c:pt>
                <c:pt idx="7">
                  <c:v>xz_r</c:v>
                </c:pt>
                <c:pt idx="8">
                  <c:v>mcf_s</c:v>
                </c:pt>
                <c:pt idx="9">
                  <c:v>lbm_s</c:v>
                </c:pt>
                <c:pt idx="10">
                  <c:v>xalancbmk_s</c:v>
                </c:pt>
                <c:pt idx="11">
                  <c:v>x264_s</c:v>
                </c:pt>
                <c:pt idx="12">
                  <c:v>leela_s</c:v>
                </c:pt>
                <c:pt idx="13">
                  <c:v>xz_s</c:v>
                </c:pt>
                <c:pt idx="14">
                  <c:v>goemean</c:v>
                </c:pt>
              </c:strCache>
            </c:strRef>
          </c:cat>
          <c:val>
            <c:numRef>
              <c:f>Dyn_Overhead_SPEC2017!$F$22:$F$36</c:f>
              <c:numCache>
                <c:formatCode>_(* #,##0.00_);_(* \(#,##0.00\);_(* "-"??_);_(@_)</c:formatCode>
                <c:ptCount val="15"/>
                <c:pt idx="0">
                  <c:v>13.95844108430436</c:v>
                </c:pt>
                <c:pt idx="1">
                  <c:v>2.2666923373122834</c:v>
                </c:pt>
                <c:pt idx="2">
                  <c:v>4.9206241519674352</c:v>
                </c:pt>
                <c:pt idx="3">
                  <c:v>1.7083061091146685</c:v>
                </c:pt>
                <c:pt idx="4">
                  <c:v>8.8169704758361807</c:v>
                </c:pt>
                <c:pt idx="5">
                  <c:v>8.3346011047722541</c:v>
                </c:pt>
                <c:pt idx="6">
                  <c:v>8.2738723136267023</c:v>
                </c:pt>
                <c:pt idx="7">
                  <c:v>2.36886816023986</c:v>
                </c:pt>
                <c:pt idx="8">
                  <c:v>13.259394140043039</c:v>
                </c:pt>
                <c:pt idx="9">
                  <c:v>1.0154436170395722</c:v>
                </c:pt>
                <c:pt idx="10">
                  <c:v>8.8725673971575603</c:v>
                </c:pt>
                <c:pt idx="11">
                  <c:v>8.2584410919540225</c:v>
                </c:pt>
                <c:pt idx="12">
                  <c:v>8.301458840784683</c:v>
                </c:pt>
                <c:pt idx="13">
                  <c:v>2.7455108952648732</c:v>
                </c:pt>
                <c:pt idx="14">
                  <c:v>5.1245444978469061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CC-084A-8FE5-233D7BA91360}"/>
            </c:ext>
          </c:extLst>
        </c:ser>
        <c:ser>
          <c:idx val="1"/>
          <c:order val="5"/>
          <c:tx>
            <c:strRef>
              <c:f>Dyn_Overhead_SPEC2017!$G$21</c:f>
              <c:strCache>
                <c:ptCount val="1"/>
                <c:pt idx="0">
                  <c:v>DrCCTProf (CCID Update+getCCID)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Dyn_Overhead_SPEC2017!$A$22:$A$36</c:f>
              <c:strCache>
                <c:ptCount val="15"/>
                <c:pt idx="0">
                  <c:v>mcf_r</c:v>
                </c:pt>
                <c:pt idx="1">
                  <c:v>namd_r</c:v>
                </c:pt>
                <c:pt idx="2">
                  <c:v>parest_r</c:v>
                </c:pt>
                <c:pt idx="3">
                  <c:v>lbm_r</c:v>
                </c:pt>
                <c:pt idx="4">
                  <c:v>xalancbmk_r</c:v>
                </c:pt>
                <c:pt idx="5">
                  <c:v>x264_r</c:v>
                </c:pt>
                <c:pt idx="6">
                  <c:v>leela_r</c:v>
                </c:pt>
                <c:pt idx="7">
                  <c:v>xz_r</c:v>
                </c:pt>
                <c:pt idx="8">
                  <c:v>mcf_s</c:v>
                </c:pt>
                <c:pt idx="9">
                  <c:v>lbm_s</c:v>
                </c:pt>
                <c:pt idx="10">
                  <c:v>xalancbmk_s</c:v>
                </c:pt>
                <c:pt idx="11">
                  <c:v>x264_s</c:v>
                </c:pt>
                <c:pt idx="12">
                  <c:v>leela_s</c:v>
                </c:pt>
                <c:pt idx="13">
                  <c:v>xz_s</c:v>
                </c:pt>
                <c:pt idx="14">
                  <c:v>goemean</c:v>
                </c:pt>
              </c:strCache>
            </c:strRef>
          </c:cat>
          <c:val>
            <c:numRef>
              <c:f>Dyn_Overhead_SPEC2017!$G$22:$G$36</c:f>
              <c:numCache>
                <c:formatCode>_(* #,##0.00_);_(* \(#,##0.00\);_(* "-"??_);_(@_)</c:formatCode>
                <c:ptCount val="15"/>
                <c:pt idx="0">
                  <c:v>11.831817213788067</c:v>
                </c:pt>
                <c:pt idx="1">
                  <c:v>2.0347708894878704</c:v>
                </c:pt>
                <c:pt idx="2">
                  <c:v>3.9598723553947432</c:v>
                </c:pt>
                <c:pt idx="3">
                  <c:v>1.7029157138190134</c:v>
                </c:pt>
                <c:pt idx="4">
                  <c:v>5.9611079170753154</c:v>
                </c:pt>
                <c:pt idx="5">
                  <c:v>6.6386851399076336</c:v>
                </c:pt>
                <c:pt idx="6">
                  <c:v>5.1537432102652918</c:v>
                </c:pt>
                <c:pt idx="7">
                  <c:v>2.1584075955692512</c:v>
                </c:pt>
                <c:pt idx="8">
                  <c:v>11.355735805330243</c:v>
                </c:pt>
                <c:pt idx="9">
                  <c:v>1.0191669389650369</c:v>
                </c:pt>
                <c:pt idx="10">
                  <c:v>5.9641798166388327</c:v>
                </c:pt>
                <c:pt idx="11">
                  <c:v>6.5884518678160919</c:v>
                </c:pt>
                <c:pt idx="12">
                  <c:v>5.1725989366438805</c:v>
                </c:pt>
                <c:pt idx="13">
                  <c:v>2.5617611348967984</c:v>
                </c:pt>
                <c:pt idx="14">
                  <c:v>4.13737523717624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84-924A-9BF4-082FE7807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5708623"/>
        <c:axId val="575805615"/>
      </c:barChart>
      <c:catAx>
        <c:axId val="57570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575805615"/>
        <c:crosses val="autoZero"/>
        <c:auto val="1"/>
        <c:lblAlgn val="ctr"/>
        <c:lblOffset val="100"/>
        <c:noMultiLvlLbl val="0"/>
      </c:catAx>
      <c:valAx>
        <c:axId val="575805615"/>
        <c:scaling>
          <c:orientation val="minMax"/>
          <c:max val="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r>
                  <a:rPr lang="en-US"/>
                  <a:t>Runtime Overhead Relative</a:t>
                </a:r>
                <a:r>
                  <a:rPr lang="en-US" baseline="0"/>
                  <a:t> to Native </a:t>
                </a:r>
                <a:r>
                  <a:rPr lang="en-US"/>
                  <a:t>(times)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575708623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2909879429133858"/>
          <c:y val="2.9372752017108969E-2"/>
          <c:w val="0.86169694608486447"/>
          <c:h val="0.2119717847769029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w Cen MT" panose="020B0602020104020603" pitchFamily="34" charset="77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3600">
          <a:latin typeface="Tw Cen MT" panose="020B0602020104020603" pitchFamily="34" charset="77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530415848574877"/>
          <c:y val="0.2491331291921843"/>
          <c:w val="0.83708870776524558"/>
          <c:h val="0.4450250315932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Dyn_Overhead_SPEC2017!$H$42</c:f>
              <c:strCache>
                <c:ptCount val="1"/>
                <c:pt idx="0">
                  <c:v>Empty client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Dyn_Overhead_SPEC2017!$H$43:$H$56</c:f>
              <c:numCache>
                <c:formatCode>_(* #,##0_);_(* \(#,##0\);_(* "-"??_);_(@_)</c:formatCode>
                <c:ptCount val="14"/>
                <c:pt idx="0">
                  <c:v>7.48828125</c:v>
                </c:pt>
                <c:pt idx="1">
                  <c:v>8.20703125</c:v>
                </c:pt>
                <c:pt idx="2">
                  <c:v>105.4453125</c:v>
                </c:pt>
                <c:pt idx="3">
                  <c:v>7.1171875</c:v>
                </c:pt>
                <c:pt idx="4">
                  <c:v>17.78125</c:v>
                </c:pt>
                <c:pt idx="5">
                  <c:v>11.984375</c:v>
                </c:pt>
                <c:pt idx="6">
                  <c:v>57.11328125</c:v>
                </c:pt>
                <c:pt idx="7">
                  <c:v>8.19921875</c:v>
                </c:pt>
                <c:pt idx="8">
                  <c:v>7.21875</c:v>
                </c:pt>
                <c:pt idx="9">
                  <c:v>8.03515625</c:v>
                </c:pt>
                <c:pt idx="10">
                  <c:v>17.32421875</c:v>
                </c:pt>
                <c:pt idx="11">
                  <c:v>11.71484375</c:v>
                </c:pt>
                <c:pt idx="12">
                  <c:v>56.8203125</c:v>
                </c:pt>
                <c:pt idx="1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F1-3C4E-A9FD-4221930020F9}"/>
            </c:ext>
          </c:extLst>
        </c:ser>
        <c:ser>
          <c:idx val="1"/>
          <c:order val="1"/>
          <c:tx>
            <c:strRef>
              <c:f>Dyn_Overhead_SPEC2017!$I$42</c:f>
              <c:strCache>
                <c:ptCount val="1"/>
                <c:pt idx="0">
                  <c:v>DCCE (CCID Update)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8F1-3C4E-A9FD-4221930020F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8F1-3C4E-A9FD-4221930020F9}"/>
                </c:ext>
              </c:extLst>
            </c:dLbl>
            <c:dLbl>
              <c:idx val="2"/>
              <c:layout>
                <c:manualLayout>
                  <c:x val="-3.8902722369197014E-2"/>
                  <c:y val="0.274637397273800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8F1-3C4E-A9FD-4221930020F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8F1-3C4E-A9FD-4221930020F9}"/>
                </c:ext>
              </c:extLst>
            </c:dLbl>
            <c:dLbl>
              <c:idx val="4"/>
              <c:layout>
                <c:manualLayout>
                  <c:x val="-2.8899120246276604E-2"/>
                  <c:y val="0.3484980512121981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F1-3C4E-A9FD-4221930020F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8F1-3C4E-A9FD-4221930020F9}"/>
                </c:ext>
              </c:extLst>
            </c:dLbl>
            <c:dLbl>
              <c:idx val="6"/>
              <c:layout>
                <c:manualLayout>
                  <c:x val="-3.3241911312273144E-2"/>
                  <c:y val="0.2966384431277914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8F1-3C4E-A9FD-4221930020F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8F1-3C4E-A9FD-4221930020F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8F1-3C4E-A9FD-4221930020F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8F1-3C4E-A9FD-4221930020F9}"/>
                </c:ext>
              </c:extLst>
            </c:dLbl>
            <c:dLbl>
              <c:idx val="10"/>
              <c:layout>
                <c:manualLayout>
                  <c:x val="-3.1504794885874529E-2"/>
                  <c:y val="0.2604938677962351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8F1-3C4E-A9FD-4221930020F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8F1-3C4E-A9FD-4221930020F9}"/>
                </c:ext>
              </c:extLst>
            </c:dLbl>
            <c:dLbl>
              <c:idx val="12"/>
              <c:layout>
                <c:manualLayout>
                  <c:x val="-2.8899120246276732E-2"/>
                  <c:y val="0.3139249791559269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E8F1-3C4E-A9FD-4221930020F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8F1-3C4E-A9FD-4221930020F9}"/>
                </c:ext>
              </c:extLst>
            </c:dLbl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Dyn_Overhead_SPEC2017!$I$43:$I$56</c:f>
              <c:numCache>
                <c:formatCode>_(* #,##0_);_(* \(#,##0\);_(* "-"??_);_(@_)</c:formatCode>
                <c:ptCount val="14"/>
                <c:pt idx="0">
                  <c:v>54.671875</c:v>
                </c:pt>
                <c:pt idx="1">
                  <c:v>67.1953125</c:v>
                </c:pt>
                <c:pt idx="2">
                  <c:v>1380.61328125</c:v>
                </c:pt>
                <c:pt idx="3">
                  <c:v>51.30078125</c:v>
                </c:pt>
                <c:pt idx="4">
                  <c:v>242.8515625</c:v>
                </c:pt>
                <c:pt idx="5">
                  <c:v>113.21484375</c:v>
                </c:pt>
                <c:pt idx="6">
                  <c:v>298.70703125</c:v>
                </c:pt>
                <c:pt idx="7">
                  <c:v>52.9296875</c:v>
                </c:pt>
                <c:pt idx="8">
                  <c:v>54.03515625</c:v>
                </c:pt>
                <c:pt idx="9">
                  <c:v>66.70703125</c:v>
                </c:pt>
                <c:pt idx="10">
                  <c:v>241.95703125</c:v>
                </c:pt>
                <c:pt idx="11">
                  <c:v>112.9296875</c:v>
                </c:pt>
                <c:pt idx="12">
                  <c:v>298.203125</c:v>
                </c:pt>
                <c:pt idx="13">
                  <c:v>37.1875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8F1-3C4E-A9FD-4221930020F9}"/>
            </c:ext>
          </c:extLst>
        </c:ser>
        <c:ser>
          <c:idx val="2"/>
          <c:order val="2"/>
          <c:tx>
            <c:strRef>
              <c:f>Dyn_Overhead_SPEC2017!$J$42</c:f>
              <c:strCache>
                <c:ptCount val="1"/>
                <c:pt idx="0">
                  <c:v>DCCE (CCID Update+getCCID)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Dyn_Overhead_SPEC2017!$J$43:$J$56</c:f>
              <c:numCache>
                <c:formatCode>_(* #,##0_);_(* \(#,##0\);_(* "-"??_);_(@_)</c:formatCode>
                <c:ptCount val="14"/>
                <c:pt idx="0">
                  <c:v>8.3359375</c:v>
                </c:pt>
                <c:pt idx="1">
                  <c:v>9.34765625</c:v>
                </c:pt>
                <c:pt idx="2">
                  <c:v>109.13671875</c:v>
                </c:pt>
                <c:pt idx="3">
                  <c:v>8.21484375</c:v>
                </c:pt>
                <c:pt idx="4">
                  <c:v>20.62890625</c:v>
                </c:pt>
                <c:pt idx="5">
                  <c:v>16.43359375</c:v>
                </c:pt>
                <c:pt idx="6">
                  <c:v>58.2109375</c:v>
                </c:pt>
                <c:pt idx="7">
                  <c:v>9.5390625</c:v>
                </c:pt>
                <c:pt idx="8">
                  <c:v>8.1171875</c:v>
                </c:pt>
                <c:pt idx="9">
                  <c:v>10.0859375</c:v>
                </c:pt>
                <c:pt idx="10">
                  <c:v>20.171875</c:v>
                </c:pt>
                <c:pt idx="11">
                  <c:v>16.20703125</c:v>
                </c:pt>
                <c:pt idx="12">
                  <c:v>57.7734375</c:v>
                </c:pt>
                <c:pt idx="1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8F1-3C4E-A9FD-4221930020F9}"/>
            </c:ext>
          </c:extLst>
        </c:ser>
        <c:ser>
          <c:idx val="3"/>
          <c:order val="3"/>
          <c:tx>
            <c:strRef>
              <c:f>Dyn_Overhead_SPEC2017!$K$42</c:f>
              <c:strCache>
                <c:ptCount val="1"/>
                <c:pt idx="0">
                  <c:v>DrCCTProf (CCID Update)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4AA-F747-80D7-B98211AA089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4AA-F747-80D7-B98211AA089C}"/>
                </c:ext>
              </c:extLst>
            </c:dLbl>
            <c:dLbl>
              <c:idx val="2"/>
              <c:layout>
                <c:manualLayout>
                  <c:x val="3.4056167539544872E-2"/>
                  <c:y val="0.2762089005490856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4AA-F747-80D7-B98211AA089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4AA-F747-80D7-B98211AA089C}"/>
                </c:ext>
              </c:extLst>
            </c:dLbl>
            <c:dLbl>
              <c:idx val="4"/>
              <c:layout>
                <c:manualLayout>
                  <c:x val="1.9740139692884656E-2"/>
                  <c:y val="0.4019291625718900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4AA-F747-80D7-B98211AA089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4AA-F747-80D7-B98211AA089C}"/>
                </c:ext>
              </c:extLst>
            </c:dLbl>
            <c:dLbl>
              <c:idx val="6"/>
              <c:layout>
                <c:manualLayout>
                  <c:x val="3.1899954677674904E-2"/>
                  <c:y val="0.2997814496783614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4AA-F747-80D7-B98211AA089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4AA-F747-80D7-B98211AA089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4AA-F747-80D7-B98211AA089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4AA-F747-80D7-B98211AA089C}"/>
                </c:ext>
              </c:extLst>
            </c:dLbl>
            <c:dLbl>
              <c:idx val="10"/>
              <c:layout>
                <c:manualLayout>
                  <c:x val="2.9294280038077044E-2"/>
                  <c:y val="0.262065371071520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4AA-F747-80D7-B98211AA089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4AA-F747-80D7-B98211AA089C}"/>
                </c:ext>
              </c:extLst>
            </c:dLbl>
            <c:dLbl>
              <c:idx val="12"/>
              <c:layout>
                <c:manualLayout>
                  <c:x val="2.9294280038077044E-2"/>
                  <c:y val="0.3139249791559269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4AA-F747-80D7-B98211AA089C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4AA-F747-80D7-B98211AA089C}"/>
                </c:ext>
              </c:extLst>
            </c:dLbl>
            <c:spPr>
              <a:solidFill>
                <a:schemeClr val="accent4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Dyn_Overhead_SPEC2017!$K$43:$K$56</c:f>
              <c:numCache>
                <c:formatCode>_(* #,##0_);_(* \(#,##0\);_(* "-"??_);_(@_)</c:formatCode>
                <c:ptCount val="14"/>
                <c:pt idx="0">
                  <c:v>54.78125</c:v>
                </c:pt>
                <c:pt idx="1">
                  <c:v>67.359375</c:v>
                </c:pt>
                <c:pt idx="2">
                  <c:v>1382.62890625</c:v>
                </c:pt>
                <c:pt idx="3">
                  <c:v>51.62890625</c:v>
                </c:pt>
                <c:pt idx="4">
                  <c:v>244.703125</c:v>
                </c:pt>
                <c:pt idx="5">
                  <c:v>110.625</c:v>
                </c:pt>
                <c:pt idx="6">
                  <c:v>299.15234375</c:v>
                </c:pt>
                <c:pt idx="7">
                  <c:v>53.09375</c:v>
                </c:pt>
                <c:pt idx="8">
                  <c:v>54.34375</c:v>
                </c:pt>
                <c:pt idx="9">
                  <c:v>66.59765625</c:v>
                </c:pt>
                <c:pt idx="10">
                  <c:v>243.75</c:v>
                </c:pt>
                <c:pt idx="11">
                  <c:v>110.4140625</c:v>
                </c:pt>
                <c:pt idx="12">
                  <c:v>298.734375</c:v>
                </c:pt>
                <c:pt idx="13">
                  <c:v>52.69140625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8F1-3C4E-A9FD-4221930020F9}"/>
            </c:ext>
          </c:extLst>
        </c:ser>
        <c:ser>
          <c:idx val="4"/>
          <c:order val="4"/>
          <c:tx>
            <c:strRef>
              <c:f>Dyn_Overhead_SPEC2017!$L$42</c:f>
              <c:strCache>
                <c:ptCount val="1"/>
                <c:pt idx="0">
                  <c:v>DrCCTProf (CCID Update+getCCID)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Dyn_Overhead_SPEC2017!$L$43:$L$56</c:f>
              <c:numCache>
                <c:formatCode>_(* #,##0_);_(* \(#,##0\);_(* "-"??_);_(@_)</c:formatCode>
                <c:ptCount val="14"/>
                <c:pt idx="0">
                  <c:v>8.4296875</c:v>
                </c:pt>
                <c:pt idx="1">
                  <c:v>9.41796875</c:v>
                </c:pt>
                <c:pt idx="2">
                  <c:v>110.66796875</c:v>
                </c:pt>
                <c:pt idx="3">
                  <c:v>8.08984375</c:v>
                </c:pt>
                <c:pt idx="4">
                  <c:v>22.17578125</c:v>
                </c:pt>
                <c:pt idx="5">
                  <c:v>16.78125</c:v>
                </c:pt>
                <c:pt idx="6">
                  <c:v>58.375</c:v>
                </c:pt>
                <c:pt idx="7">
                  <c:v>9.62890625</c:v>
                </c:pt>
                <c:pt idx="8">
                  <c:v>8.171875</c:v>
                </c:pt>
                <c:pt idx="9">
                  <c:v>10.296875</c:v>
                </c:pt>
                <c:pt idx="10">
                  <c:v>21.703125</c:v>
                </c:pt>
                <c:pt idx="11">
                  <c:v>16.5546875</c:v>
                </c:pt>
                <c:pt idx="12">
                  <c:v>58.02734375</c:v>
                </c:pt>
                <c:pt idx="13">
                  <c:v>21.30859375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8F1-3C4E-A9FD-422193002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5708623"/>
        <c:axId val="575805615"/>
      </c:barChart>
      <c:catAx>
        <c:axId val="57570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575805615"/>
        <c:crosses val="autoZero"/>
        <c:auto val="1"/>
        <c:lblAlgn val="ctr"/>
        <c:lblOffset val="100"/>
        <c:noMultiLvlLbl val="0"/>
      </c:catAx>
      <c:valAx>
        <c:axId val="575805615"/>
        <c:scaling>
          <c:orientation val="minMax"/>
          <c:max val="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r>
                  <a:rPr lang="en-US"/>
                  <a:t>Memory Overhead Difference</a:t>
                </a:r>
                <a:r>
                  <a:rPr lang="en-US" baseline="0"/>
                  <a:t> </a:t>
                </a:r>
              </a:p>
              <a:p>
                <a:pPr>
                  <a:defRPr/>
                </a:pPr>
                <a:r>
                  <a:rPr lang="en-US" baseline="0"/>
                  <a:t>from Native </a:t>
                </a:r>
                <a:r>
                  <a:rPr lang="en-US"/>
                  <a:t>(MB)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575708623"/>
        <c:crosses val="autoZero"/>
        <c:crossBetween val="between"/>
        <c:majorUnit val="25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247585165135608"/>
          <c:y val="3.0915961893652182E-2"/>
          <c:w val="0.86482481681977252"/>
          <c:h val="0.2021440896276854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w Cen MT" panose="020B0602020104020603" pitchFamily="34" charset="77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3600">
          <a:latin typeface="Tw Cen MT" panose="020B0602020104020603" pitchFamily="34" charset="77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71222969511"/>
          <c:y val="0.20376275882181397"/>
          <c:w val="0.84468068982763012"/>
          <c:h val="0.402020997375328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Dyn_Overhead_Splash3!$B$16</c:f>
              <c:strCache>
                <c:ptCount val="1"/>
                <c:pt idx="0">
                  <c:v>Native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Dyn_Overhead_Splash3!$A$17:$A$29</c:f>
              <c:strCache>
                <c:ptCount val="13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WATER-NSQUARED</c:v>
                </c:pt>
                <c:pt idx="11">
                  <c:v>WATER-SPATIAL</c:v>
                </c:pt>
                <c:pt idx="12">
                  <c:v>goemean</c:v>
                </c:pt>
              </c:strCache>
            </c:strRef>
          </c:cat>
          <c:val>
            <c:numRef>
              <c:f>Dyn_Overhead_Splash3!$B$17:$B$29</c:f>
              <c:numCache>
                <c:formatCode>_(* #,##0.00_);_(* \(#,##0.00\);_(* "-"??_);_(@_)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EE-5147-9617-421561E354A5}"/>
            </c:ext>
          </c:extLst>
        </c:ser>
        <c:ser>
          <c:idx val="1"/>
          <c:order val="1"/>
          <c:tx>
            <c:strRef>
              <c:f>Dyn_Overhead_Splash3!$C$16</c:f>
              <c:strCache>
                <c:ptCount val="1"/>
                <c:pt idx="0">
                  <c:v>Empty client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Dyn_Overhead_Splash3!$A$17:$A$29</c:f>
              <c:strCache>
                <c:ptCount val="13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WATER-NSQUARED</c:v>
                </c:pt>
                <c:pt idx="11">
                  <c:v>WATER-SPATIAL</c:v>
                </c:pt>
                <c:pt idx="12">
                  <c:v>goemean</c:v>
                </c:pt>
              </c:strCache>
            </c:strRef>
          </c:cat>
          <c:val>
            <c:numRef>
              <c:f>Dyn_Overhead_Splash3!$C$17:$C$29</c:f>
              <c:numCache>
                <c:formatCode>_(* #,##0.00_);_(* \(#,##0.00\);_(* "-"??_);_(@_)</c:formatCode>
                <c:ptCount val="13"/>
                <c:pt idx="0">
                  <c:v>1.1153846153846154</c:v>
                </c:pt>
                <c:pt idx="1">
                  <c:v>1.4090909090909092</c:v>
                </c:pt>
                <c:pt idx="2">
                  <c:v>1.5463379521324456</c:v>
                </c:pt>
                <c:pt idx="3">
                  <c:v>1.2727272727272727</c:v>
                </c:pt>
                <c:pt idx="4">
                  <c:v>1.0331428571428571</c:v>
                </c:pt>
                <c:pt idx="5">
                  <c:v>1.0388098318240622</c:v>
                </c:pt>
                <c:pt idx="6">
                  <c:v>1.0334821428571428</c:v>
                </c:pt>
                <c:pt idx="7">
                  <c:v>1.0154091392136027</c:v>
                </c:pt>
                <c:pt idx="8">
                  <c:v>1.3225806451612903</c:v>
                </c:pt>
                <c:pt idx="9">
                  <c:v>1.0147523709167545</c:v>
                </c:pt>
                <c:pt idx="10">
                  <c:v>1.097457627118644</c:v>
                </c:pt>
                <c:pt idx="11">
                  <c:v>1.4259259259259258</c:v>
                </c:pt>
                <c:pt idx="12">
                  <c:v>1.1803910434964764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EE-5147-9617-421561E354A5}"/>
            </c:ext>
          </c:extLst>
        </c:ser>
        <c:ser>
          <c:idx val="2"/>
          <c:order val="2"/>
          <c:tx>
            <c:strRef>
              <c:f>Dyn_Overhead_Splash3!$D$16</c:f>
              <c:strCache>
                <c:ptCount val="1"/>
                <c:pt idx="0">
                  <c:v>DCCE (CCID Update)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Dyn_Overhead_Splash3!$A$17:$A$29</c:f>
              <c:strCache>
                <c:ptCount val="13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WATER-NSQUARED</c:v>
                </c:pt>
                <c:pt idx="11">
                  <c:v>WATER-SPATIAL</c:v>
                </c:pt>
                <c:pt idx="12">
                  <c:v>goemean</c:v>
                </c:pt>
              </c:strCache>
            </c:strRef>
          </c:cat>
          <c:val>
            <c:numRef>
              <c:f>Dyn_Overhead_Splash3!$D$17:$D$29</c:f>
              <c:numCache>
                <c:formatCode>_(* #,##0.00_);_(* \(#,##0.00\);_(* "-"??_);_(@_)</c:formatCode>
                <c:ptCount val="13"/>
                <c:pt idx="0">
                  <c:v>14.76923076923077</c:v>
                </c:pt>
                <c:pt idx="1">
                  <c:v>3.3636363636363638</c:v>
                </c:pt>
                <c:pt idx="2">
                  <c:v>7.2513946373942773</c:v>
                </c:pt>
                <c:pt idx="3">
                  <c:v>2.3409090909090908</c:v>
                </c:pt>
                <c:pt idx="4">
                  <c:v>6.5039999999999996</c:v>
                </c:pt>
                <c:pt idx="5">
                  <c:v>5.0623544631306601</c:v>
                </c:pt>
                <c:pt idx="6">
                  <c:v>1.0758928571428572</c:v>
                </c:pt>
                <c:pt idx="7">
                  <c:v>1.0162061636556854</c:v>
                </c:pt>
                <c:pt idx="8">
                  <c:v>14</c:v>
                </c:pt>
                <c:pt idx="9">
                  <c:v>4.7692307692307692</c:v>
                </c:pt>
                <c:pt idx="10">
                  <c:v>4.6207627118644066</c:v>
                </c:pt>
                <c:pt idx="11">
                  <c:v>6.4814814814814818</c:v>
                </c:pt>
                <c:pt idx="12">
                  <c:v>4.4524778925966091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EE-5147-9617-421561E354A5}"/>
            </c:ext>
          </c:extLst>
        </c:ser>
        <c:ser>
          <c:idx val="3"/>
          <c:order val="3"/>
          <c:tx>
            <c:strRef>
              <c:f>Dyn_Overhead_Splash3!$E$16</c:f>
              <c:strCache>
                <c:ptCount val="1"/>
                <c:pt idx="0">
                  <c:v>DCCE (CCID Update+getCCID)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 w="12700">
              <a:solidFill>
                <a:schemeClr val="tx1"/>
              </a:solidFill>
            </a:ln>
            <a:effectLst/>
          </c:spPr>
          <c:invertIfNegative val="0"/>
          <c:cat>
            <c:strRef>
              <c:f>Dyn_Overhead_Splash3!$A$17:$A$29</c:f>
              <c:strCache>
                <c:ptCount val="13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WATER-NSQUARED</c:v>
                </c:pt>
                <c:pt idx="11">
                  <c:v>WATER-SPATIAL</c:v>
                </c:pt>
                <c:pt idx="12">
                  <c:v>goemean</c:v>
                </c:pt>
              </c:strCache>
            </c:strRef>
          </c:cat>
          <c:val>
            <c:numRef>
              <c:f>Dyn_Overhead_Splash3!$E$17:$E$29</c:f>
              <c:numCache>
                <c:formatCode>_(* #,##0.00_);_(* \(#,##0.00\);_(* "-"??_);_(@_)</c:formatCode>
                <c:ptCount val="13"/>
                <c:pt idx="0">
                  <c:v>14.23076923076923</c:v>
                </c:pt>
                <c:pt idx="1">
                  <c:v>3.0909090909090908</c:v>
                </c:pt>
                <c:pt idx="2">
                  <c:v>6.1943494691380243</c:v>
                </c:pt>
                <c:pt idx="3">
                  <c:v>2.1363636363636362</c:v>
                </c:pt>
                <c:pt idx="4">
                  <c:v>5.7344761904761903</c:v>
                </c:pt>
                <c:pt idx="5">
                  <c:v>4.5068564036222512</c:v>
                </c:pt>
                <c:pt idx="6">
                  <c:v>1.0714285714285714</c:v>
                </c:pt>
                <c:pt idx="7">
                  <c:v>1.0185972369819341</c:v>
                </c:pt>
                <c:pt idx="8">
                  <c:v>12.096774193548388</c:v>
                </c:pt>
                <c:pt idx="9">
                  <c:v>4.3076923076923075</c:v>
                </c:pt>
                <c:pt idx="10">
                  <c:v>4.1716101694915251</c:v>
                </c:pt>
                <c:pt idx="11">
                  <c:v>5.7777777777777777</c:v>
                </c:pt>
                <c:pt idx="12">
                  <c:v>4.0693476148817931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EE-5147-9617-421561E354A5}"/>
            </c:ext>
          </c:extLst>
        </c:ser>
        <c:ser>
          <c:idx val="4"/>
          <c:order val="4"/>
          <c:tx>
            <c:strRef>
              <c:f>Dyn_Overhead_Splash3!$F$16</c:f>
              <c:strCache>
                <c:ptCount val="1"/>
                <c:pt idx="0">
                  <c:v>DrCCTProf (CCID Update)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1.8860728346456693E-2"/>
                  <c:y val="0.1399710800038884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E46-D648-86BC-6D3F98F1401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E46-D648-86BC-6D3F98F1401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E46-D648-86BC-6D3F98F1401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E46-D648-86BC-6D3F98F1401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E46-D648-86BC-6D3F98F1401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E46-D648-86BC-6D3F98F1401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E46-D648-86BC-6D3F98F1401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E46-D648-86BC-6D3F98F14014}"/>
                </c:ext>
              </c:extLst>
            </c:dLbl>
            <c:dLbl>
              <c:idx val="8"/>
              <c:layout>
                <c:manualLayout>
                  <c:x val="-3.6694827209098863E-2"/>
                  <c:y val="0.142589068727520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E46-D648-86BC-6D3F98F1401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E46-D648-86BC-6D3F98F1401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E46-D648-86BC-6D3F98F1401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E46-D648-86BC-6D3F98F14014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E46-D648-86BC-6D3F98F14014}"/>
                </c:ext>
              </c:extLst>
            </c:dLbl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Dyn_Overhead_Splash3!$A$17:$A$29</c:f>
              <c:strCache>
                <c:ptCount val="13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WATER-NSQUARED</c:v>
                </c:pt>
                <c:pt idx="11">
                  <c:v>WATER-SPATIAL</c:v>
                </c:pt>
                <c:pt idx="12">
                  <c:v>goemean</c:v>
                </c:pt>
              </c:strCache>
            </c:strRef>
          </c:cat>
          <c:val>
            <c:numRef>
              <c:f>Dyn_Overhead_Splash3!$F$17:$F$29</c:f>
              <c:numCache>
                <c:formatCode>_(* #,##0.00_);_(* \(#,##0.00\);_(* "-"??_);_(@_)</c:formatCode>
                <c:ptCount val="13"/>
                <c:pt idx="0">
                  <c:v>20.846153846153847</c:v>
                </c:pt>
                <c:pt idx="1">
                  <c:v>4.5</c:v>
                </c:pt>
                <c:pt idx="2">
                  <c:v>10.853158178873493</c:v>
                </c:pt>
                <c:pt idx="3">
                  <c:v>3.1363636363636362</c:v>
                </c:pt>
                <c:pt idx="4">
                  <c:v>9.0712380952380958</c:v>
                </c:pt>
                <c:pt idx="5">
                  <c:v>6.6631306597671411</c:v>
                </c:pt>
                <c:pt idx="6">
                  <c:v>1.1551339285714286</c:v>
                </c:pt>
                <c:pt idx="7">
                  <c:v>1.0209883103081827</c:v>
                </c:pt>
                <c:pt idx="8">
                  <c:v>21.516129032258064</c:v>
                </c:pt>
                <c:pt idx="9">
                  <c:v>6.3308746048472075</c:v>
                </c:pt>
                <c:pt idx="10">
                  <c:v>6.1652542372881358</c:v>
                </c:pt>
                <c:pt idx="11">
                  <c:v>9.3148148148148149</c:v>
                </c:pt>
                <c:pt idx="12">
                  <c:v>5.9003939039676796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1EE-5147-9617-421561E354A5}"/>
            </c:ext>
          </c:extLst>
        </c:ser>
        <c:ser>
          <c:idx val="5"/>
          <c:order val="5"/>
          <c:tx>
            <c:strRef>
              <c:f>Dyn_Overhead_Splash3!$G$16</c:f>
              <c:strCache>
                <c:ptCount val="1"/>
                <c:pt idx="0">
                  <c:v>DrCCTProf (CCID Update+getCCID)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Dyn_Overhead_Splash3!$A$17:$A$29</c:f>
              <c:strCache>
                <c:ptCount val="13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WATER-NSQUARED</c:v>
                </c:pt>
                <c:pt idx="11">
                  <c:v>WATER-SPATIAL</c:v>
                </c:pt>
                <c:pt idx="12">
                  <c:v>goemean</c:v>
                </c:pt>
              </c:strCache>
            </c:strRef>
          </c:cat>
          <c:val>
            <c:numRef>
              <c:f>Dyn_Overhead_Splash3!$G$17:$G$29</c:f>
              <c:numCache>
                <c:formatCode>_(* #,##0.00_);_(* \(#,##0.00\);_(* "-"??_);_(@_)</c:formatCode>
                <c:ptCount val="13"/>
                <c:pt idx="0">
                  <c:v>17.73076923076923</c:v>
                </c:pt>
                <c:pt idx="1">
                  <c:v>3.9545454545454546</c:v>
                </c:pt>
                <c:pt idx="2">
                  <c:v>9.534640993341732</c:v>
                </c:pt>
                <c:pt idx="3">
                  <c:v>2.7954545454545454</c:v>
                </c:pt>
                <c:pt idx="4">
                  <c:v>6.8994285714285715</c:v>
                </c:pt>
                <c:pt idx="5">
                  <c:v>5.0401034928848638</c:v>
                </c:pt>
                <c:pt idx="6">
                  <c:v>1.1238839285714286</c:v>
                </c:pt>
                <c:pt idx="7">
                  <c:v>0.99123273113708821</c:v>
                </c:pt>
                <c:pt idx="8">
                  <c:v>16.903225806451612</c:v>
                </c:pt>
                <c:pt idx="9">
                  <c:v>5.8177028451001052</c:v>
                </c:pt>
                <c:pt idx="10">
                  <c:v>4.9110169491525424</c:v>
                </c:pt>
                <c:pt idx="11">
                  <c:v>7.5185185185185182</c:v>
                </c:pt>
                <c:pt idx="12">
                  <c:v>5.0309069677068088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1EE-5147-9617-421561E35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5708623"/>
        <c:axId val="575805615"/>
      </c:barChart>
      <c:catAx>
        <c:axId val="57570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575805615"/>
        <c:crosses val="autoZero"/>
        <c:auto val="1"/>
        <c:lblAlgn val="ctr"/>
        <c:lblOffset val="100"/>
        <c:noMultiLvlLbl val="0"/>
      </c:catAx>
      <c:valAx>
        <c:axId val="575805615"/>
        <c:scaling>
          <c:orientation val="minMax"/>
          <c:max val="1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r>
                  <a:rPr lang="en-US"/>
                  <a:t>Runtime Overhead</a:t>
                </a:r>
              </a:p>
              <a:p>
                <a:pPr>
                  <a:defRPr/>
                </a:pPr>
                <a:r>
                  <a:rPr lang="en-US"/>
                  <a:t>Relative to Native (times)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575708623"/>
        <c:crosses val="autoZero"/>
        <c:crossBetween val="between"/>
        <c:majorUnit val="2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2157569171041122"/>
          <c:y val="2.7520851560221639E-2"/>
          <c:w val="0.86661595034995631"/>
          <c:h val="0.16721872265966753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w Cen MT" panose="020B0602020104020603" pitchFamily="34" charset="77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3600">
          <a:latin typeface="Tw Cen MT" panose="020B0602020104020603" pitchFamily="34" charset="77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89317555731646"/>
          <c:y val="0.22470287745983708"/>
          <c:w val="0.84549974214608736"/>
          <c:h val="0.381080849671593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Dyn_Overhead_Splash3!$H$33</c:f>
              <c:strCache>
                <c:ptCount val="1"/>
                <c:pt idx="0">
                  <c:v>Empty client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Dyn_Overhead_Splash3!$A$34:$A$46</c:f>
              <c:strCache>
                <c:ptCount val="13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WATER-NSQUARED</c:v>
                </c:pt>
                <c:pt idx="11">
                  <c:v>WATER-SPATIAL</c:v>
                </c:pt>
                <c:pt idx="12">
                  <c:v>geomean</c:v>
                </c:pt>
              </c:strCache>
            </c:strRef>
          </c:cat>
          <c:val>
            <c:numRef>
              <c:f>Dyn_Overhead_Splash3!$H$34:$H$46</c:f>
              <c:numCache>
                <c:formatCode>_(* #,##0.0_);_(* \(#,##0.0\);_(* "-"??_);_(@_)</c:formatCode>
                <c:ptCount val="13"/>
                <c:pt idx="0">
                  <c:v>7.6015625</c:v>
                </c:pt>
                <c:pt idx="1">
                  <c:v>8.31640625</c:v>
                </c:pt>
                <c:pt idx="2">
                  <c:v>7.421875</c:v>
                </c:pt>
                <c:pt idx="3">
                  <c:v>7.9140625</c:v>
                </c:pt>
                <c:pt idx="4">
                  <c:v>7.453125</c:v>
                </c:pt>
                <c:pt idx="5">
                  <c:v>7.45703125</c:v>
                </c:pt>
                <c:pt idx="6">
                  <c:v>8.07421875</c:v>
                </c:pt>
                <c:pt idx="7">
                  <c:v>7.734375</c:v>
                </c:pt>
                <c:pt idx="8">
                  <c:v>7.8515625</c:v>
                </c:pt>
                <c:pt idx="9">
                  <c:v>7.53125</c:v>
                </c:pt>
                <c:pt idx="10">
                  <c:v>7.7578125</c:v>
                </c:pt>
                <c:pt idx="11">
                  <c:v>8.0390625</c:v>
                </c:pt>
                <c:pt idx="12" formatCode="0.0">
                  <c:v>7.7579290223578559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98-2945-8492-6F664603998D}"/>
            </c:ext>
          </c:extLst>
        </c:ser>
        <c:ser>
          <c:idx val="1"/>
          <c:order val="1"/>
          <c:tx>
            <c:strRef>
              <c:f>Dyn_Overhead_Splash3!$I$33</c:f>
              <c:strCache>
                <c:ptCount val="1"/>
                <c:pt idx="0">
                  <c:v>DCCE (CCID Update)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098-2945-8492-6F664603998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098-2945-8492-6F664603998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098-2945-8492-6F664603998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098-2945-8492-6F664603998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098-2945-8492-6F664603998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098-2945-8492-6F664603998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098-2945-8492-6F664603998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098-2945-8492-6F664603998D}"/>
                </c:ext>
              </c:extLst>
            </c:dLbl>
            <c:dLbl>
              <c:idx val="8"/>
              <c:layout>
                <c:manualLayout>
                  <c:x val="-3.1170177422225109E-2"/>
                  <c:y val="0.23491079875682749"/>
                </c:manualLayout>
              </c:layout>
              <c:spPr>
                <a:solidFill>
                  <a:schemeClr val="accent4">
                    <a:lumMod val="60000"/>
                    <a:lumOff val="40000"/>
                  </a:schemeClr>
                </a:solidFill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w Cen MT" panose="020B0602020104020603" pitchFamily="34" charset="77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098-2945-8492-6F664603998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098-2945-8492-6F664603998D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098-2945-8492-6F664603998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098-2945-8492-6F664603998D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6098-2945-8492-6F664603998D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Dyn_Overhead_Splash3!$A$34:$A$46</c:f>
              <c:strCache>
                <c:ptCount val="13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WATER-NSQUARED</c:v>
                </c:pt>
                <c:pt idx="11">
                  <c:v>WATER-SPATIAL</c:v>
                </c:pt>
                <c:pt idx="12">
                  <c:v>geomean</c:v>
                </c:pt>
              </c:strCache>
            </c:strRef>
          </c:cat>
          <c:val>
            <c:numRef>
              <c:f>Dyn_Overhead_Splash3!$I$34:$I$46</c:f>
              <c:numCache>
                <c:formatCode>_(* #,##0.0_);_(* \(#,##0.0\);_(* "-"??_);_(@_)</c:formatCode>
                <c:ptCount val="13"/>
                <c:pt idx="0">
                  <c:v>56.1171875</c:v>
                </c:pt>
                <c:pt idx="1">
                  <c:v>64.94140625</c:v>
                </c:pt>
                <c:pt idx="2">
                  <c:v>53.46484375</c:v>
                </c:pt>
                <c:pt idx="3">
                  <c:v>62.7890625</c:v>
                </c:pt>
                <c:pt idx="4">
                  <c:v>54.55078125</c:v>
                </c:pt>
                <c:pt idx="5">
                  <c:v>54.65234375</c:v>
                </c:pt>
                <c:pt idx="6">
                  <c:v>58.08203125</c:v>
                </c:pt>
                <c:pt idx="7">
                  <c:v>56.39453125</c:v>
                </c:pt>
                <c:pt idx="8">
                  <c:v>303.7109375</c:v>
                </c:pt>
                <c:pt idx="9">
                  <c:v>52.95703125</c:v>
                </c:pt>
                <c:pt idx="10">
                  <c:v>57.65234375</c:v>
                </c:pt>
                <c:pt idx="11">
                  <c:v>58.46875</c:v>
                </c:pt>
                <c:pt idx="12" formatCode="0.0">
                  <c:v>65.707549857590024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098-2945-8492-6F664603998D}"/>
            </c:ext>
          </c:extLst>
        </c:ser>
        <c:ser>
          <c:idx val="2"/>
          <c:order val="2"/>
          <c:tx>
            <c:strRef>
              <c:f>Dyn_Overhead_Splash3!$J$33</c:f>
              <c:strCache>
                <c:ptCount val="1"/>
                <c:pt idx="0">
                  <c:v>DCCE (CCID Update+getCCID)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098-2945-8492-6F664603998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6098-2945-8492-6F664603998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098-2945-8492-6F664603998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6098-2945-8492-6F664603998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6098-2945-8492-6F664603998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6098-2945-8492-6F664603998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6098-2945-8492-6F664603998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6098-2945-8492-6F664603998D}"/>
                </c:ext>
              </c:extLst>
            </c:dLbl>
            <c:dLbl>
              <c:idx val="8"/>
              <c:layout>
                <c:manualLayout>
                  <c:x val="3.1561276335741503E-2"/>
                  <c:y val="0.2334150722359356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6098-2945-8492-6F664603998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6098-2945-8492-6F664603998D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6098-2945-8492-6F664603998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6098-2945-8492-6F664603998D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6098-2945-8492-6F664603998D}"/>
                </c:ext>
              </c:extLst>
            </c:dLbl>
            <c:spPr>
              <a:solidFill>
                <a:schemeClr val="accent4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Dyn_Overhead_Splash3!$A$34:$A$46</c:f>
              <c:strCache>
                <c:ptCount val="13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WATER-NSQUARED</c:v>
                </c:pt>
                <c:pt idx="11">
                  <c:v>WATER-SPATIAL</c:v>
                </c:pt>
                <c:pt idx="12">
                  <c:v>geomean</c:v>
                </c:pt>
              </c:strCache>
            </c:strRef>
          </c:cat>
          <c:val>
            <c:numRef>
              <c:f>Dyn_Overhead_Splash3!$J$34:$J$46</c:f>
              <c:numCache>
                <c:formatCode>_(* #,##0.0_);_(* \(#,##0.0\);_(* "-"??_);_(@_)</c:formatCode>
                <c:ptCount val="13"/>
                <c:pt idx="0">
                  <c:v>56.359375</c:v>
                </c:pt>
                <c:pt idx="1">
                  <c:v>65.10546875</c:v>
                </c:pt>
                <c:pt idx="2">
                  <c:v>53.5234375</c:v>
                </c:pt>
                <c:pt idx="3">
                  <c:v>63.0625</c:v>
                </c:pt>
                <c:pt idx="4">
                  <c:v>54.87890625</c:v>
                </c:pt>
                <c:pt idx="5">
                  <c:v>54.54296875</c:v>
                </c:pt>
                <c:pt idx="6">
                  <c:v>58.0703125</c:v>
                </c:pt>
                <c:pt idx="7">
                  <c:v>56.484375</c:v>
                </c:pt>
                <c:pt idx="8">
                  <c:v>304.41796875</c:v>
                </c:pt>
                <c:pt idx="9">
                  <c:v>53.1328125</c:v>
                </c:pt>
                <c:pt idx="10">
                  <c:v>57.76953125</c:v>
                </c:pt>
                <c:pt idx="11">
                  <c:v>58.69921875</c:v>
                </c:pt>
                <c:pt idx="12" formatCode="0.0">
                  <c:v>65.867950232364592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098-2945-8492-6F664603998D}"/>
            </c:ext>
          </c:extLst>
        </c:ser>
        <c:ser>
          <c:idx val="3"/>
          <c:order val="3"/>
          <c:tx>
            <c:strRef>
              <c:f>Dyn_Overhead_Splash3!$K$33</c:f>
              <c:strCache>
                <c:ptCount val="1"/>
                <c:pt idx="0">
                  <c:v>DrCCTProf (CCID Update)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Dyn_Overhead_Splash3!$A$34:$A$46</c:f>
              <c:strCache>
                <c:ptCount val="13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WATER-NSQUARED</c:v>
                </c:pt>
                <c:pt idx="11">
                  <c:v>WATER-SPATIAL</c:v>
                </c:pt>
                <c:pt idx="12">
                  <c:v>geomean</c:v>
                </c:pt>
              </c:strCache>
            </c:strRef>
          </c:cat>
          <c:val>
            <c:numRef>
              <c:f>Dyn_Overhead_Splash3!$K$34:$K$46</c:f>
              <c:numCache>
                <c:formatCode>_(* #,##0.0_);_(* \(#,##0.0\);_(* "-"??_);_(@_)</c:formatCode>
                <c:ptCount val="13"/>
                <c:pt idx="0">
                  <c:v>8.34375</c:v>
                </c:pt>
                <c:pt idx="1">
                  <c:v>9.44140625</c:v>
                </c:pt>
                <c:pt idx="2">
                  <c:v>8.23828125</c:v>
                </c:pt>
                <c:pt idx="3">
                  <c:v>8.74609375</c:v>
                </c:pt>
                <c:pt idx="4">
                  <c:v>8.14453125</c:v>
                </c:pt>
                <c:pt idx="5">
                  <c:v>8.171875</c:v>
                </c:pt>
                <c:pt idx="6">
                  <c:v>9.09765625</c:v>
                </c:pt>
                <c:pt idx="7">
                  <c:v>8.8359375</c:v>
                </c:pt>
                <c:pt idx="8">
                  <c:v>9.13671875</c:v>
                </c:pt>
                <c:pt idx="9">
                  <c:v>8.16796875</c:v>
                </c:pt>
                <c:pt idx="10">
                  <c:v>8.4296875</c:v>
                </c:pt>
                <c:pt idx="11">
                  <c:v>8.828125</c:v>
                </c:pt>
                <c:pt idx="12" formatCode="0.0">
                  <c:v>8.6215148237372947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098-2945-8492-6F664603998D}"/>
            </c:ext>
          </c:extLst>
        </c:ser>
        <c:ser>
          <c:idx val="4"/>
          <c:order val="4"/>
          <c:tx>
            <c:strRef>
              <c:f>Dyn_Overhead_Splash3!$L$33</c:f>
              <c:strCache>
                <c:ptCount val="1"/>
                <c:pt idx="0">
                  <c:v>DrCCTProf (CCID Update+getCCID)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Dyn_Overhead_Splash3!$A$34:$A$46</c:f>
              <c:strCache>
                <c:ptCount val="13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WATER-NSQUARED</c:v>
                </c:pt>
                <c:pt idx="11">
                  <c:v>WATER-SPATIAL</c:v>
                </c:pt>
                <c:pt idx="12">
                  <c:v>geomean</c:v>
                </c:pt>
              </c:strCache>
            </c:strRef>
          </c:cat>
          <c:val>
            <c:numRef>
              <c:f>Dyn_Overhead_Splash3!$L$34:$L$46</c:f>
              <c:numCache>
                <c:formatCode>_(* #,##0.0_);_(* \(#,##0.0\);_(* "-"??_);_(@_)</c:formatCode>
                <c:ptCount val="13"/>
                <c:pt idx="0">
                  <c:v>8.35546875</c:v>
                </c:pt>
                <c:pt idx="1">
                  <c:v>9.45703125</c:v>
                </c:pt>
                <c:pt idx="2">
                  <c:v>8.22265625</c:v>
                </c:pt>
                <c:pt idx="3">
                  <c:v>8.7890625</c:v>
                </c:pt>
                <c:pt idx="4">
                  <c:v>8.19921875</c:v>
                </c:pt>
                <c:pt idx="5">
                  <c:v>8.3046875</c:v>
                </c:pt>
                <c:pt idx="6">
                  <c:v>9.11328125</c:v>
                </c:pt>
                <c:pt idx="7">
                  <c:v>8.8671875</c:v>
                </c:pt>
                <c:pt idx="8">
                  <c:v>9.1875</c:v>
                </c:pt>
                <c:pt idx="9">
                  <c:v>8.265625</c:v>
                </c:pt>
                <c:pt idx="10">
                  <c:v>8.60546875</c:v>
                </c:pt>
                <c:pt idx="11">
                  <c:v>8.82421875</c:v>
                </c:pt>
                <c:pt idx="12" formatCode="0.0">
                  <c:v>8.6732137773689146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098-2945-8492-6F6646039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5708623"/>
        <c:axId val="575805615"/>
      </c:barChart>
      <c:catAx>
        <c:axId val="57570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575805615"/>
        <c:crosses val="autoZero"/>
        <c:auto val="1"/>
        <c:lblAlgn val="ctr"/>
        <c:lblOffset val="100"/>
        <c:noMultiLvlLbl val="0"/>
      </c:catAx>
      <c:valAx>
        <c:axId val="575805615"/>
        <c:scaling>
          <c:orientation val="minMax"/>
          <c:max val="7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r>
                  <a:rPr lang="en-US"/>
                  <a:t>Memory Overhead</a:t>
                </a:r>
              </a:p>
              <a:p>
                <a:pPr>
                  <a:defRPr/>
                </a:pPr>
                <a:r>
                  <a:rPr lang="en-US"/>
                  <a:t>Difference from</a:t>
                </a:r>
                <a:r>
                  <a:rPr lang="en-US" baseline="0"/>
                  <a:t> Native</a:t>
                </a:r>
                <a:r>
                  <a:rPr lang="en-US"/>
                  <a:t> (MB)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575708623"/>
        <c:crosses val="autoZero"/>
        <c:crossBetween val="between"/>
        <c:majorUnit val="10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2157569171041122"/>
          <c:y val="2.7520851560221639E-2"/>
          <c:w val="0.87842429919715992"/>
          <c:h val="0.17947128305187568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w Cen MT" panose="020B0602020104020603" pitchFamily="34" charset="77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3600">
          <a:latin typeface="Tw Cen MT" panose="020B0602020104020603" pitchFamily="34" charset="77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71222969511"/>
          <c:y val="0.20376275882181397"/>
          <c:w val="0.84468068982763012"/>
          <c:h val="0.402020997375328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'Dyn_Overhead_Splash3-analysis'!$B$16</c:f>
              <c:strCache>
                <c:ptCount val="1"/>
                <c:pt idx="0">
                  <c:v>Native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'Dyn_Overhead_Splash3-analysis'!$A$17:$A$29</c:f>
              <c:strCache>
                <c:ptCount val="13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WATER-NSQUARED</c:v>
                </c:pt>
                <c:pt idx="11">
                  <c:v>WATER-SPATIAL</c:v>
                </c:pt>
                <c:pt idx="12">
                  <c:v>goemean</c:v>
                </c:pt>
              </c:strCache>
            </c:strRef>
          </c:cat>
          <c:val>
            <c:numRef>
              <c:f>'Dyn_Overhead_Splash3-analysis'!$B$17:$B$29</c:f>
              <c:numCache>
                <c:formatCode>_(* #,##0.00_);_(* \(#,##0.00\);_(* "-"??_);_(@_)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AB-1F40-84E0-6D5C081B5B94}"/>
            </c:ext>
          </c:extLst>
        </c:ser>
        <c:ser>
          <c:idx val="1"/>
          <c:order val="1"/>
          <c:tx>
            <c:strRef>
              <c:f>'Dyn_Overhead_Splash3-analysis'!$C$16</c:f>
              <c:strCache>
                <c:ptCount val="1"/>
                <c:pt idx="0">
                  <c:v>Empty client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'Dyn_Overhead_Splash3-analysis'!$A$17:$A$29</c:f>
              <c:strCache>
                <c:ptCount val="13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WATER-NSQUARED</c:v>
                </c:pt>
                <c:pt idx="11">
                  <c:v>WATER-SPATIAL</c:v>
                </c:pt>
                <c:pt idx="12">
                  <c:v>goemean</c:v>
                </c:pt>
              </c:strCache>
            </c:strRef>
          </c:cat>
          <c:val>
            <c:numRef>
              <c:f>'Dyn_Overhead_Splash3-analysis'!$C$17:$C$29</c:f>
              <c:numCache>
                <c:formatCode>_(* #,##0.00_);_(* \(#,##0.00\);_(* "-"??_);_(@_)</c:formatCode>
                <c:ptCount val="13"/>
                <c:pt idx="0">
                  <c:v>1.1153846153846154</c:v>
                </c:pt>
                <c:pt idx="1">
                  <c:v>1.4090909090909092</c:v>
                </c:pt>
                <c:pt idx="2">
                  <c:v>1.5463379521324456</c:v>
                </c:pt>
                <c:pt idx="3">
                  <c:v>1.2727272727272727</c:v>
                </c:pt>
                <c:pt idx="4">
                  <c:v>1.0331428571428571</c:v>
                </c:pt>
                <c:pt idx="5">
                  <c:v>1.0388098318240622</c:v>
                </c:pt>
                <c:pt idx="6">
                  <c:v>1.0334821428571428</c:v>
                </c:pt>
                <c:pt idx="7">
                  <c:v>1.0154091392136027</c:v>
                </c:pt>
                <c:pt idx="8">
                  <c:v>1.3225806451612903</c:v>
                </c:pt>
                <c:pt idx="9">
                  <c:v>1.0147523709167545</c:v>
                </c:pt>
                <c:pt idx="10">
                  <c:v>1.097457627118644</c:v>
                </c:pt>
                <c:pt idx="11">
                  <c:v>1.4259259259259258</c:v>
                </c:pt>
                <c:pt idx="12">
                  <c:v>1.1803910434964764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AB-1F40-84E0-6D5C081B5B94}"/>
            </c:ext>
          </c:extLst>
        </c:ser>
        <c:ser>
          <c:idx val="2"/>
          <c:order val="2"/>
          <c:tx>
            <c:strRef>
              <c:f>'Dyn_Overhead_Splash3-analysis'!$D$16</c:f>
              <c:strCache>
                <c:ptCount val="1"/>
                <c:pt idx="0">
                  <c:v>DCCE (CCID Update)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'Dyn_Overhead_Splash3-analysis'!$A$17:$A$29</c:f>
              <c:strCache>
                <c:ptCount val="13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WATER-NSQUARED</c:v>
                </c:pt>
                <c:pt idx="11">
                  <c:v>WATER-SPATIAL</c:v>
                </c:pt>
                <c:pt idx="12">
                  <c:v>goemean</c:v>
                </c:pt>
              </c:strCache>
            </c:strRef>
          </c:cat>
          <c:val>
            <c:numRef>
              <c:f>'Dyn_Overhead_Splash3-analysis'!$D$17:$D$29</c:f>
              <c:numCache>
                <c:formatCode>_(* #,##0.00_);_(* \(#,##0.00\);_(* "-"??_);_(@_)</c:formatCode>
                <c:ptCount val="13"/>
                <c:pt idx="0">
                  <c:v>14.76923076923077</c:v>
                </c:pt>
                <c:pt idx="1">
                  <c:v>3.3636363636363638</c:v>
                </c:pt>
                <c:pt idx="2">
                  <c:v>7.2513946373942773</c:v>
                </c:pt>
                <c:pt idx="3">
                  <c:v>2.3409090909090908</c:v>
                </c:pt>
                <c:pt idx="4">
                  <c:v>6.5039999999999996</c:v>
                </c:pt>
                <c:pt idx="5">
                  <c:v>5.0623544631306601</c:v>
                </c:pt>
                <c:pt idx="6">
                  <c:v>1.0758928571428572</c:v>
                </c:pt>
                <c:pt idx="7">
                  <c:v>1.0162061636556854</c:v>
                </c:pt>
                <c:pt idx="8">
                  <c:v>14</c:v>
                </c:pt>
                <c:pt idx="9">
                  <c:v>4.7692307692307692</c:v>
                </c:pt>
                <c:pt idx="10">
                  <c:v>4.6207627118644066</c:v>
                </c:pt>
                <c:pt idx="11">
                  <c:v>6.4814814814814818</c:v>
                </c:pt>
                <c:pt idx="12">
                  <c:v>4.4524778925966091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AB-1F40-84E0-6D5C081B5B94}"/>
            </c:ext>
          </c:extLst>
        </c:ser>
        <c:ser>
          <c:idx val="3"/>
          <c:order val="3"/>
          <c:tx>
            <c:strRef>
              <c:f>'Dyn_Overhead_Splash3-analysis'!$E$16</c:f>
              <c:strCache>
                <c:ptCount val="1"/>
                <c:pt idx="0">
                  <c:v>DCCE (CCID Update+getCCID)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'Dyn_Overhead_Splash3-analysis'!$A$17:$A$29</c:f>
              <c:strCache>
                <c:ptCount val="13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WATER-NSQUARED</c:v>
                </c:pt>
                <c:pt idx="11">
                  <c:v>WATER-SPATIAL</c:v>
                </c:pt>
                <c:pt idx="12">
                  <c:v>goemean</c:v>
                </c:pt>
              </c:strCache>
            </c:strRef>
          </c:cat>
          <c:val>
            <c:numRef>
              <c:f>'Dyn_Overhead_Splash3-analysis'!$E$17:$E$29</c:f>
              <c:numCache>
                <c:formatCode>_(* #,##0.00_);_(* \(#,##0.00\);_(* "-"??_);_(@_)</c:formatCode>
                <c:ptCount val="13"/>
                <c:pt idx="0">
                  <c:v>14.23076923076923</c:v>
                </c:pt>
                <c:pt idx="1">
                  <c:v>3.0909090909090908</c:v>
                </c:pt>
                <c:pt idx="2">
                  <c:v>6.1943494691380243</c:v>
                </c:pt>
                <c:pt idx="3">
                  <c:v>2.1363636363636362</c:v>
                </c:pt>
                <c:pt idx="4">
                  <c:v>5.7344761904761903</c:v>
                </c:pt>
                <c:pt idx="5">
                  <c:v>4.5068564036222512</c:v>
                </c:pt>
                <c:pt idx="6">
                  <c:v>1.0714285714285714</c:v>
                </c:pt>
                <c:pt idx="7">
                  <c:v>1.0185972369819341</c:v>
                </c:pt>
                <c:pt idx="8">
                  <c:v>12.096774193548388</c:v>
                </c:pt>
                <c:pt idx="9">
                  <c:v>4.3076923076923075</c:v>
                </c:pt>
                <c:pt idx="10">
                  <c:v>4.1716101694915251</c:v>
                </c:pt>
                <c:pt idx="11">
                  <c:v>5.7777777777777777</c:v>
                </c:pt>
                <c:pt idx="12">
                  <c:v>4.0693476148817931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AB-1F40-84E0-6D5C081B5B94}"/>
            </c:ext>
          </c:extLst>
        </c:ser>
        <c:ser>
          <c:idx val="4"/>
          <c:order val="4"/>
          <c:tx>
            <c:strRef>
              <c:f>'Dyn_Overhead_Splash3-analysis'!$F$16</c:f>
              <c:strCache>
                <c:ptCount val="1"/>
                <c:pt idx="0">
                  <c:v>DrCCTProf (CCID Update)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1.8860728346456693E-2"/>
                  <c:y val="0.1399710800038884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AB-1F40-84E0-6D5C081B5B9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3AB-1F40-84E0-6D5C081B5B9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3AB-1F40-84E0-6D5C081B5B9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3AB-1F40-84E0-6D5C081B5B9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3AB-1F40-84E0-6D5C081B5B9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3AB-1F40-84E0-6D5C081B5B9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3AB-1F40-84E0-6D5C081B5B9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3AB-1F40-84E0-6D5C081B5B94}"/>
                </c:ext>
              </c:extLst>
            </c:dLbl>
            <c:dLbl>
              <c:idx val="8"/>
              <c:layout>
                <c:manualLayout>
                  <c:x val="-3.6694827209098863E-2"/>
                  <c:y val="0.142589068727520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3AB-1F40-84E0-6D5C081B5B9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3AB-1F40-84E0-6D5C081B5B9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3AB-1F40-84E0-6D5C081B5B9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3AB-1F40-84E0-6D5C081B5B94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3AB-1F40-84E0-6D5C081B5B94}"/>
                </c:ext>
              </c:extLst>
            </c:dLbl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'Dyn_Overhead_Splash3-analysis'!$A$17:$A$29</c:f>
              <c:strCache>
                <c:ptCount val="13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WATER-NSQUARED</c:v>
                </c:pt>
                <c:pt idx="11">
                  <c:v>WATER-SPATIAL</c:v>
                </c:pt>
                <c:pt idx="12">
                  <c:v>goemean</c:v>
                </c:pt>
              </c:strCache>
            </c:strRef>
          </c:cat>
          <c:val>
            <c:numRef>
              <c:f>'Dyn_Overhead_Splash3-analysis'!$F$17:$F$29</c:f>
              <c:numCache>
                <c:formatCode>_(* #,##0.00_);_(* \(#,##0.00\);_(* "-"??_);_(@_)</c:formatCode>
                <c:ptCount val="13"/>
                <c:pt idx="0">
                  <c:v>20.846153846153847</c:v>
                </c:pt>
                <c:pt idx="1">
                  <c:v>4.5</c:v>
                </c:pt>
                <c:pt idx="2">
                  <c:v>10.853158178873493</c:v>
                </c:pt>
                <c:pt idx="3">
                  <c:v>3.1363636363636362</c:v>
                </c:pt>
                <c:pt idx="4">
                  <c:v>9.0712380952380958</c:v>
                </c:pt>
                <c:pt idx="5">
                  <c:v>6.6631306597671411</c:v>
                </c:pt>
                <c:pt idx="6">
                  <c:v>1.1551339285714286</c:v>
                </c:pt>
                <c:pt idx="7">
                  <c:v>1.0209883103081827</c:v>
                </c:pt>
                <c:pt idx="8">
                  <c:v>21.516129032258064</c:v>
                </c:pt>
                <c:pt idx="9">
                  <c:v>6.3308746048472075</c:v>
                </c:pt>
                <c:pt idx="10">
                  <c:v>6.1652542372881358</c:v>
                </c:pt>
                <c:pt idx="11">
                  <c:v>9.3148148148148149</c:v>
                </c:pt>
                <c:pt idx="12">
                  <c:v>5.9003939039676796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3AB-1F40-84E0-6D5C081B5B94}"/>
            </c:ext>
          </c:extLst>
        </c:ser>
        <c:ser>
          <c:idx val="5"/>
          <c:order val="5"/>
          <c:tx>
            <c:strRef>
              <c:f>'Dyn_Overhead_Splash3-analysis'!$G$16</c:f>
              <c:strCache>
                <c:ptCount val="1"/>
                <c:pt idx="0">
                  <c:v>DrCCTProf (CCID Update+getCCID)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'Dyn_Overhead_Splash3-analysis'!$A$17:$A$29</c:f>
              <c:strCache>
                <c:ptCount val="13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WATER-NSQUARED</c:v>
                </c:pt>
                <c:pt idx="11">
                  <c:v>WATER-SPATIAL</c:v>
                </c:pt>
                <c:pt idx="12">
                  <c:v>goemean</c:v>
                </c:pt>
              </c:strCache>
            </c:strRef>
          </c:cat>
          <c:val>
            <c:numRef>
              <c:f>'Dyn_Overhead_Splash3-analysis'!$G$17:$G$29</c:f>
              <c:numCache>
                <c:formatCode>_(* #,##0.00_);_(* \(#,##0.00\);_(* "-"??_);_(@_)</c:formatCode>
                <c:ptCount val="13"/>
                <c:pt idx="0">
                  <c:v>17.73076923076923</c:v>
                </c:pt>
                <c:pt idx="1">
                  <c:v>3.9545454545454546</c:v>
                </c:pt>
                <c:pt idx="2">
                  <c:v>9.534640993341732</c:v>
                </c:pt>
                <c:pt idx="3">
                  <c:v>2.7954545454545454</c:v>
                </c:pt>
                <c:pt idx="4">
                  <c:v>6.8994285714285715</c:v>
                </c:pt>
                <c:pt idx="5">
                  <c:v>5.0401034928848638</c:v>
                </c:pt>
                <c:pt idx="6">
                  <c:v>1.1238839285714286</c:v>
                </c:pt>
                <c:pt idx="7">
                  <c:v>0.99123273113708821</c:v>
                </c:pt>
                <c:pt idx="8">
                  <c:v>16.903225806451612</c:v>
                </c:pt>
                <c:pt idx="9">
                  <c:v>5.8177028451001052</c:v>
                </c:pt>
                <c:pt idx="10">
                  <c:v>4.9110169491525424</c:v>
                </c:pt>
                <c:pt idx="11">
                  <c:v>7.5185185185185182</c:v>
                </c:pt>
                <c:pt idx="12">
                  <c:v>5.0309069677068088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3AB-1F40-84E0-6D5C081B5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5708623"/>
        <c:axId val="575805615"/>
      </c:barChart>
      <c:catAx>
        <c:axId val="57570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575805615"/>
        <c:crosses val="autoZero"/>
        <c:auto val="1"/>
        <c:lblAlgn val="ctr"/>
        <c:lblOffset val="100"/>
        <c:noMultiLvlLbl val="0"/>
      </c:catAx>
      <c:valAx>
        <c:axId val="575805615"/>
        <c:scaling>
          <c:orientation val="minMax"/>
          <c:max val="1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r>
                  <a:rPr lang="en-US"/>
                  <a:t>Runtime Overhead</a:t>
                </a:r>
              </a:p>
              <a:p>
                <a:pPr>
                  <a:defRPr/>
                </a:pPr>
                <a:r>
                  <a:rPr lang="en-US"/>
                  <a:t>Relative to Native (times)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575708623"/>
        <c:crosses val="autoZero"/>
        <c:crossBetween val="between"/>
        <c:majorUnit val="2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2157569171041122"/>
          <c:y val="2.7520851560221639E-2"/>
          <c:w val="0.86661595034995631"/>
          <c:h val="0.16721872265966753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w Cen MT" panose="020B0602020104020603" pitchFamily="34" charset="77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3600">
          <a:latin typeface="Tw Cen MT" panose="020B0602020104020603" pitchFamily="34" charset="77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89317555731646"/>
          <c:y val="0.22470287745983708"/>
          <c:w val="0.84549974214608736"/>
          <c:h val="0.381080849671593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'Dyn_Overhead_Splash3-analysis'!$H$33</c:f>
              <c:strCache>
                <c:ptCount val="1"/>
                <c:pt idx="0">
                  <c:v>Empty client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'Dyn_Overhead_Splash3-analysis'!$A$34:$A$46</c:f>
              <c:strCache>
                <c:ptCount val="13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WATER-NSQUARED</c:v>
                </c:pt>
                <c:pt idx="11">
                  <c:v>WATER-SPATIAL</c:v>
                </c:pt>
                <c:pt idx="12">
                  <c:v>geomean</c:v>
                </c:pt>
              </c:strCache>
            </c:strRef>
          </c:cat>
          <c:val>
            <c:numRef>
              <c:f>'Dyn_Overhead_Splash3-analysis'!$H$34:$H$46</c:f>
              <c:numCache>
                <c:formatCode>_(* #,##0.0_);_(* \(#,##0.0\);_(* "-"??_);_(@_)</c:formatCode>
                <c:ptCount val="13"/>
                <c:pt idx="0">
                  <c:v>7.6015625</c:v>
                </c:pt>
                <c:pt idx="1">
                  <c:v>8.31640625</c:v>
                </c:pt>
                <c:pt idx="2">
                  <c:v>7.421875</c:v>
                </c:pt>
                <c:pt idx="3">
                  <c:v>7.9140625</c:v>
                </c:pt>
                <c:pt idx="4">
                  <c:v>7.453125</c:v>
                </c:pt>
                <c:pt idx="5">
                  <c:v>7.45703125</c:v>
                </c:pt>
                <c:pt idx="6">
                  <c:v>8.07421875</c:v>
                </c:pt>
                <c:pt idx="7">
                  <c:v>7.734375</c:v>
                </c:pt>
                <c:pt idx="8">
                  <c:v>7.8515625</c:v>
                </c:pt>
                <c:pt idx="9">
                  <c:v>7.53125</c:v>
                </c:pt>
                <c:pt idx="10">
                  <c:v>7.7578125</c:v>
                </c:pt>
                <c:pt idx="11">
                  <c:v>8.0390625</c:v>
                </c:pt>
                <c:pt idx="12" formatCode="0.0">
                  <c:v>7.7579290223578559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9D-4C4D-889D-468F6484D7A0}"/>
            </c:ext>
          </c:extLst>
        </c:ser>
        <c:ser>
          <c:idx val="1"/>
          <c:order val="1"/>
          <c:tx>
            <c:strRef>
              <c:f>'Dyn_Overhead_Splash3-analysis'!$I$33</c:f>
              <c:strCache>
                <c:ptCount val="1"/>
                <c:pt idx="0">
                  <c:v>DCCE (CCID Update)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B9D-4C4D-889D-468F6484D7A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B9D-4C4D-889D-468F6484D7A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B9D-4C4D-889D-468F6484D7A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B9D-4C4D-889D-468F6484D7A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B9D-4C4D-889D-468F6484D7A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B9D-4C4D-889D-468F6484D7A0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B9D-4C4D-889D-468F6484D7A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B9D-4C4D-889D-468F6484D7A0}"/>
                </c:ext>
              </c:extLst>
            </c:dLbl>
            <c:dLbl>
              <c:idx val="8"/>
              <c:layout>
                <c:manualLayout>
                  <c:x val="-3.1170177422225109E-2"/>
                  <c:y val="0.23491079875682749"/>
                </c:manualLayout>
              </c:layout>
              <c:spPr>
                <a:solidFill>
                  <a:schemeClr val="accent4">
                    <a:lumMod val="60000"/>
                    <a:lumOff val="40000"/>
                  </a:schemeClr>
                </a:solidFill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w Cen MT" panose="020B0602020104020603" pitchFamily="34" charset="77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B9D-4C4D-889D-468F6484D7A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B9D-4C4D-889D-468F6484D7A0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B9D-4C4D-889D-468F6484D7A0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B9D-4C4D-889D-468F6484D7A0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B9D-4C4D-889D-468F6484D7A0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'Dyn_Overhead_Splash3-analysis'!$A$34:$A$46</c:f>
              <c:strCache>
                <c:ptCount val="13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WATER-NSQUARED</c:v>
                </c:pt>
                <c:pt idx="11">
                  <c:v>WATER-SPATIAL</c:v>
                </c:pt>
                <c:pt idx="12">
                  <c:v>geomean</c:v>
                </c:pt>
              </c:strCache>
            </c:strRef>
          </c:cat>
          <c:val>
            <c:numRef>
              <c:f>'Dyn_Overhead_Splash3-analysis'!$I$34:$I$46</c:f>
              <c:numCache>
                <c:formatCode>_(* #,##0.0_);_(* \(#,##0.0\);_(* "-"??_);_(@_)</c:formatCode>
                <c:ptCount val="13"/>
                <c:pt idx="0">
                  <c:v>56.1171875</c:v>
                </c:pt>
                <c:pt idx="1">
                  <c:v>64.94140625</c:v>
                </c:pt>
                <c:pt idx="2">
                  <c:v>53.46484375</c:v>
                </c:pt>
                <c:pt idx="3">
                  <c:v>62.7890625</c:v>
                </c:pt>
                <c:pt idx="4">
                  <c:v>54.55078125</c:v>
                </c:pt>
                <c:pt idx="5">
                  <c:v>54.65234375</c:v>
                </c:pt>
                <c:pt idx="6">
                  <c:v>58.08203125</c:v>
                </c:pt>
                <c:pt idx="7">
                  <c:v>56.39453125</c:v>
                </c:pt>
                <c:pt idx="8">
                  <c:v>303.7109375</c:v>
                </c:pt>
                <c:pt idx="9">
                  <c:v>52.95703125</c:v>
                </c:pt>
                <c:pt idx="10">
                  <c:v>57.65234375</c:v>
                </c:pt>
                <c:pt idx="11">
                  <c:v>58.46875</c:v>
                </c:pt>
                <c:pt idx="12" formatCode="0.0">
                  <c:v>65.707549857590024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B9D-4C4D-889D-468F6484D7A0}"/>
            </c:ext>
          </c:extLst>
        </c:ser>
        <c:ser>
          <c:idx val="2"/>
          <c:order val="2"/>
          <c:tx>
            <c:strRef>
              <c:f>'Dyn_Overhead_Splash3-analysis'!$J$33</c:f>
              <c:strCache>
                <c:ptCount val="1"/>
                <c:pt idx="0">
                  <c:v>DCCE (CCID Update+getCCID)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B9D-4C4D-889D-468F6484D7A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B9D-4C4D-889D-468F6484D7A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B9D-4C4D-889D-468F6484D7A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B9D-4C4D-889D-468F6484D7A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B9D-4C4D-889D-468F6484D7A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B9D-4C4D-889D-468F6484D7A0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B9D-4C4D-889D-468F6484D7A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BB9D-4C4D-889D-468F6484D7A0}"/>
                </c:ext>
              </c:extLst>
            </c:dLbl>
            <c:dLbl>
              <c:idx val="8"/>
              <c:layout>
                <c:manualLayout>
                  <c:x val="3.1561276335741503E-2"/>
                  <c:y val="0.2334150722359356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BB9D-4C4D-889D-468F6484D7A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BB9D-4C4D-889D-468F6484D7A0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BB9D-4C4D-889D-468F6484D7A0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BB9D-4C4D-889D-468F6484D7A0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BB9D-4C4D-889D-468F6484D7A0}"/>
                </c:ext>
              </c:extLst>
            </c:dLbl>
            <c:spPr>
              <a:solidFill>
                <a:schemeClr val="accent4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'Dyn_Overhead_Splash3-analysis'!$A$34:$A$46</c:f>
              <c:strCache>
                <c:ptCount val="13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WATER-NSQUARED</c:v>
                </c:pt>
                <c:pt idx="11">
                  <c:v>WATER-SPATIAL</c:v>
                </c:pt>
                <c:pt idx="12">
                  <c:v>geomean</c:v>
                </c:pt>
              </c:strCache>
            </c:strRef>
          </c:cat>
          <c:val>
            <c:numRef>
              <c:f>'Dyn_Overhead_Splash3-analysis'!$J$34:$J$46</c:f>
              <c:numCache>
                <c:formatCode>_(* #,##0.0_);_(* \(#,##0.0\);_(* "-"??_);_(@_)</c:formatCode>
                <c:ptCount val="13"/>
                <c:pt idx="0">
                  <c:v>56.359375</c:v>
                </c:pt>
                <c:pt idx="1">
                  <c:v>65.10546875</c:v>
                </c:pt>
                <c:pt idx="2">
                  <c:v>53.5234375</c:v>
                </c:pt>
                <c:pt idx="3">
                  <c:v>63.0625</c:v>
                </c:pt>
                <c:pt idx="4">
                  <c:v>54.87890625</c:v>
                </c:pt>
                <c:pt idx="5">
                  <c:v>54.54296875</c:v>
                </c:pt>
                <c:pt idx="6">
                  <c:v>58.0703125</c:v>
                </c:pt>
                <c:pt idx="7">
                  <c:v>56.484375</c:v>
                </c:pt>
                <c:pt idx="8">
                  <c:v>304.41796875</c:v>
                </c:pt>
                <c:pt idx="9">
                  <c:v>53.1328125</c:v>
                </c:pt>
                <c:pt idx="10">
                  <c:v>57.76953125</c:v>
                </c:pt>
                <c:pt idx="11">
                  <c:v>58.69921875</c:v>
                </c:pt>
                <c:pt idx="12" formatCode="0.0">
                  <c:v>65.867950232364592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BB9D-4C4D-889D-468F6484D7A0}"/>
            </c:ext>
          </c:extLst>
        </c:ser>
        <c:ser>
          <c:idx val="3"/>
          <c:order val="3"/>
          <c:tx>
            <c:strRef>
              <c:f>'Dyn_Overhead_Splash3-analysis'!$K$33</c:f>
              <c:strCache>
                <c:ptCount val="1"/>
                <c:pt idx="0">
                  <c:v>DrCCTProf (CCID Update)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'Dyn_Overhead_Splash3-analysis'!$A$34:$A$46</c:f>
              <c:strCache>
                <c:ptCount val="13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WATER-NSQUARED</c:v>
                </c:pt>
                <c:pt idx="11">
                  <c:v>WATER-SPATIAL</c:v>
                </c:pt>
                <c:pt idx="12">
                  <c:v>geomean</c:v>
                </c:pt>
              </c:strCache>
            </c:strRef>
          </c:cat>
          <c:val>
            <c:numRef>
              <c:f>'Dyn_Overhead_Splash3-analysis'!$K$34:$K$46</c:f>
              <c:numCache>
                <c:formatCode>_(* #,##0.0_);_(* \(#,##0.0\);_(* "-"??_);_(@_)</c:formatCode>
                <c:ptCount val="13"/>
                <c:pt idx="0">
                  <c:v>8.34375</c:v>
                </c:pt>
                <c:pt idx="1">
                  <c:v>9.44140625</c:v>
                </c:pt>
                <c:pt idx="2">
                  <c:v>8.23828125</c:v>
                </c:pt>
                <c:pt idx="3">
                  <c:v>8.74609375</c:v>
                </c:pt>
                <c:pt idx="4">
                  <c:v>8.14453125</c:v>
                </c:pt>
                <c:pt idx="5">
                  <c:v>8.171875</c:v>
                </c:pt>
                <c:pt idx="6">
                  <c:v>9.09765625</c:v>
                </c:pt>
                <c:pt idx="7">
                  <c:v>8.8359375</c:v>
                </c:pt>
                <c:pt idx="8">
                  <c:v>9.13671875</c:v>
                </c:pt>
                <c:pt idx="9">
                  <c:v>8.16796875</c:v>
                </c:pt>
                <c:pt idx="10">
                  <c:v>8.4296875</c:v>
                </c:pt>
                <c:pt idx="11">
                  <c:v>8.828125</c:v>
                </c:pt>
                <c:pt idx="12" formatCode="0.0">
                  <c:v>8.6215148237372947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BB9D-4C4D-889D-468F6484D7A0}"/>
            </c:ext>
          </c:extLst>
        </c:ser>
        <c:ser>
          <c:idx val="4"/>
          <c:order val="4"/>
          <c:tx>
            <c:strRef>
              <c:f>'Dyn_Overhead_Splash3-analysis'!$L$33</c:f>
              <c:strCache>
                <c:ptCount val="1"/>
                <c:pt idx="0">
                  <c:v>DrCCTProf (CCID Update+getCCID)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'Dyn_Overhead_Splash3-analysis'!$A$34:$A$46</c:f>
              <c:strCache>
                <c:ptCount val="13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WATER-NSQUARED</c:v>
                </c:pt>
                <c:pt idx="11">
                  <c:v>WATER-SPATIAL</c:v>
                </c:pt>
                <c:pt idx="12">
                  <c:v>geomean</c:v>
                </c:pt>
              </c:strCache>
            </c:strRef>
          </c:cat>
          <c:val>
            <c:numRef>
              <c:f>'Dyn_Overhead_Splash3-analysis'!$L$34:$L$46</c:f>
              <c:numCache>
                <c:formatCode>_(* #,##0.0_);_(* \(#,##0.0\);_(* "-"??_);_(@_)</c:formatCode>
                <c:ptCount val="13"/>
                <c:pt idx="0">
                  <c:v>8.35546875</c:v>
                </c:pt>
                <c:pt idx="1">
                  <c:v>9.45703125</c:v>
                </c:pt>
                <c:pt idx="2">
                  <c:v>8.22265625</c:v>
                </c:pt>
                <c:pt idx="3">
                  <c:v>8.7890625</c:v>
                </c:pt>
                <c:pt idx="4">
                  <c:v>8.19921875</c:v>
                </c:pt>
                <c:pt idx="5">
                  <c:v>8.3046875</c:v>
                </c:pt>
                <c:pt idx="6">
                  <c:v>9.11328125</c:v>
                </c:pt>
                <c:pt idx="7">
                  <c:v>8.8671875</c:v>
                </c:pt>
                <c:pt idx="8">
                  <c:v>9.1875</c:v>
                </c:pt>
                <c:pt idx="9">
                  <c:v>8.265625</c:v>
                </c:pt>
                <c:pt idx="10">
                  <c:v>8.60546875</c:v>
                </c:pt>
                <c:pt idx="11">
                  <c:v>8.82421875</c:v>
                </c:pt>
                <c:pt idx="12" formatCode="0.0">
                  <c:v>8.6732137773689146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BB9D-4C4D-889D-468F6484D7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5708623"/>
        <c:axId val="575805615"/>
      </c:barChart>
      <c:catAx>
        <c:axId val="57570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575805615"/>
        <c:crosses val="autoZero"/>
        <c:auto val="1"/>
        <c:lblAlgn val="ctr"/>
        <c:lblOffset val="100"/>
        <c:noMultiLvlLbl val="0"/>
      </c:catAx>
      <c:valAx>
        <c:axId val="575805615"/>
        <c:scaling>
          <c:orientation val="minMax"/>
          <c:max val="7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r>
                  <a:rPr lang="en-US"/>
                  <a:t>Memory Overhead</a:t>
                </a:r>
              </a:p>
              <a:p>
                <a:pPr>
                  <a:defRPr/>
                </a:pPr>
                <a:r>
                  <a:rPr lang="en-US"/>
                  <a:t>Difference from</a:t>
                </a:r>
                <a:r>
                  <a:rPr lang="en-US" baseline="0"/>
                  <a:t> Native</a:t>
                </a:r>
                <a:r>
                  <a:rPr lang="en-US"/>
                  <a:t> (MB)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575708623"/>
        <c:crosses val="autoZero"/>
        <c:crossBetween val="between"/>
        <c:majorUnit val="10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2157569171041122"/>
          <c:y val="2.7520851560221639E-2"/>
          <c:w val="0.87842429919715992"/>
          <c:h val="0.17947128305187568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w Cen MT" panose="020B0602020104020603" pitchFamily="34" charset="77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3600">
          <a:latin typeface="Tw Cen MT" panose="020B0602020104020603" pitchFamily="34" charset="77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406134102180834E-2"/>
          <c:y val="0.171284441282512"/>
          <c:w val="0.87650059727442731"/>
          <c:h val="0.539092593372352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'barrier-elision'!$B$18</c:f>
              <c:strCache>
                <c:ptCount val="1"/>
                <c:pt idx="0">
                  <c:v>Native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'barrier-elision'!$A$19:$A$32</c:f>
              <c:strCache>
                <c:ptCount val="14"/>
                <c:pt idx="0">
                  <c:v>701.BARNES</c:v>
                </c:pt>
                <c:pt idx="1">
                  <c:v>702.CHOLESKY</c:v>
                </c:pt>
                <c:pt idx="2">
                  <c:v>703.FFT</c:v>
                </c:pt>
                <c:pt idx="3">
                  <c:v>704.FMM</c:v>
                </c:pt>
                <c:pt idx="4">
                  <c:v>705.LU-CB</c:v>
                </c:pt>
                <c:pt idx="5">
                  <c:v>706.LU-NCB</c:v>
                </c:pt>
                <c:pt idx="6">
                  <c:v>707.OCEAN-CP</c:v>
                </c:pt>
                <c:pt idx="7">
                  <c:v>708.OCEAN-NCP</c:v>
                </c:pt>
                <c:pt idx="8">
                  <c:v>709.RADIOSITY</c:v>
                </c:pt>
                <c:pt idx="9">
                  <c:v>710.RADIX</c:v>
                </c:pt>
                <c:pt idx="10">
                  <c:v>711.RAYTRACE</c:v>
                </c:pt>
                <c:pt idx="11">
                  <c:v>713.WATER-NSQUARED</c:v>
                </c:pt>
                <c:pt idx="12">
                  <c:v>714.WATER-SPATIAL</c:v>
                </c:pt>
                <c:pt idx="13">
                  <c:v>goemean</c:v>
                </c:pt>
              </c:strCache>
            </c:strRef>
          </c:cat>
          <c:val>
            <c:numRef>
              <c:f>'barrier-elision'!$B$19:$B$32</c:f>
              <c:numCache>
                <c:formatCode>_(* #,##0.00_);_(* \(#,##0.00\);_(* "-"??_);_(@_)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6F-0D40-931C-5646C6A86955}"/>
            </c:ext>
          </c:extLst>
        </c:ser>
        <c:ser>
          <c:idx val="1"/>
          <c:order val="1"/>
          <c:tx>
            <c:strRef>
              <c:f>'barrier-elision'!$C$18</c:f>
              <c:strCache>
                <c:ptCount val="1"/>
                <c:pt idx="0">
                  <c:v>Empty client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'barrier-elision'!$A$19:$A$32</c:f>
              <c:strCache>
                <c:ptCount val="14"/>
                <c:pt idx="0">
                  <c:v>701.BARNES</c:v>
                </c:pt>
                <c:pt idx="1">
                  <c:v>702.CHOLESKY</c:v>
                </c:pt>
                <c:pt idx="2">
                  <c:v>703.FFT</c:v>
                </c:pt>
                <c:pt idx="3">
                  <c:v>704.FMM</c:v>
                </c:pt>
                <c:pt idx="4">
                  <c:v>705.LU-CB</c:v>
                </c:pt>
                <c:pt idx="5">
                  <c:v>706.LU-NCB</c:v>
                </c:pt>
                <c:pt idx="6">
                  <c:v>707.OCEAN-CP</c:v>
                </c:pt>
                <c:pt idx="7">
                  <c:v>708.OCEAN-NCP</c:v>
                </c:pt>
                <c:pt idx="8">
                  <c:v>709.RADIOSITY</c:v>
                </c:pt>
                <c:pt idx="9">
                  <c:v>710.RADIX</c:v>
                </c:pt>
                <c:pt idx="10">
                  <c:v>711.RAYTRACE</c:v>
                </c:pt>
                <c:pt idx="11">
                  <c:v>713.WATER-NSQUARED</c:v>
                </c:pt>
                <c:pt idx="12">
                  <c:v>714.WATER-SPATIAL</c:v>
                </c:pt>
                <c:pt idx="13">
                  <c:v>goemean</c:v>
                </c:pt>
              </c:strCache>
            </c:strRef>
          </c:cat>
          <c:val>
            <c:numRef>
              <c:f>'barrier-elision'!$C$19:$C$32</c:f>
              <c:numCache>
                <c:formatCode>_(* #,##0.00_);_(* \(#,##0.00\);_(* "-"??_);_(@_)</c:formatCode>
                <c:ptCount val="14"/>
                <c:pt idx="0">
                  <c:v>1.4</c:v>
                </c:pt>
                <c:pt idx="1">
                  <c:v>1.3636363636363635</c:v>
                </c:pt>
                <c:pt idx="2">
                  <c:v>1.5293288708825084</c:v>
                </c:pt>
                <c:pt idx="3">
                  <c:v>1.2195121951219512</c:v>
                </c:pt>
                <c:pt idx="4">
                  <c:v>1.0377295492487479</c:v>
                </c:pt>
                <c:pt idx="5">
                  <c:v>1.0470823941898322</c:v>
                </c:pt>
                <c:pt idx="6">
                  <c:v>1.0883816213052384</c:v>
                </c:pt>
                <c:pt idx="7">
                  <c:v>0.95233142659039693</c:v>
                </c:pt>
                <c:pt idx="8">
                  <c:v>1.3793103448275863</c:v>
                </c:pt>
                <c:pt idx="9">
                  <c:v>1.0706467661691543</c:v>
                </c:pt>
                <c:pt idx="10">
                  <c:v>1.2215416028586012</c:v>
                </c:pt>
                <c:pt idx="11">
                  <c:v>1.1012931034482758</c:v>
                </c:pt>
                <c:pt idx="12">
                  <c:v>1.4615384615384615</c:v>
                </c:pt>
                <c:pt idx="13">
                  <c:v>1.207830443650467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6F-0D40-931C-5646C6A86955}"/>
            </c:ext>
          </c:extLst>
        </c:ser>
        <c:ser>
          <c:idx val="2"/>
          <c:order val="2"/>
          <c:tx>
            <c:strRef>
              <c:f>'barrier-elision'!$D$18</c:f>
              <c:strCache>
                <c:ptCount val="1"/>
                <c:pt idx="0">
                  <c:v>DCCE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'barrier-elision'!$A$19:$A$32</c:f>
              <c:strCache>
                <c:ptCount val="14"/>
                <c:pt idx="0">
                  <c:v>701.BARNES</c:v>
                </c:pt>
                <c:pt idx="1">
                  <c:v>702.CHOLESKY</c:v>
                </c:pt>
                <c:pt idx="2">
                  <c:v>703.FFT</c:v>
                </c:pt>
                <c:pt idx="3">
                  <c:v>704.FMM</c:v>
                </c:pt>
                <c:pt idx="4">
                  <c:v>705.LU-CB</c:v>
                </c:pt>
                <c:pt idx="5">
                  <c:v>706.LU-NCB</c:v>
                </c:pt>
                <c:pt idx="6">
                  <c:v>707.OCEAN-CP</c:v>
                </c:pt>
                <c:pt idx="7">
                  <c:v>708.OCEAN-NCP</c:v>
                </c:pt>
                <c:pt idx="8">
                  <c:v>709.RADIOSITY</c:v>
                </c:pt>
                <c:pt idx="9">
                  <c:v>710.RADIX</c:v>
                </c:pt>
                <c:pt idx="10">
                  <c:v>711.RAYTRACE</c:v>
                </c:pt>
                <c:pt idx="11">
                  <c:v>713.WATER-NSQUARED</c:v>
                </c:pt>
                <c:pt idx="12">
                  <c:v>714.WATER-SPATIAL</c:v>
                </c:pt>
                <c:pt idx="13">
                  <c:v>goemean</c:v>
                </c:pt>
              </c:strCache>
            </c:strRef>
          </c:cat>
          <c:val>
            <c:numRef>
              <c:f>'barrier-elision'!$D$19:$D$32</c:f>
              <c:numCache>
                <c:formatCode>_(* #,##0.00_);_(* \(#,##0.00\);_(* "-"??_);_(@_)</c:formatCode>
                <c:ptCount val="14"/>
                <c:pt idx="0">
                  <c:v>12.55</c:v>
                </c:pt>
                <c:pt idx="1">
                  <c:v>2.8636363636363638</c:v>
                </c:pt>
                <c:pt idx="2">
                  <c:v>5.7646644354412544</c:v>
                </c:pt>
                <c:pt idx="3">
                  <c:v>2.1707317073170733</c:v>
                </c:pt>
                <c:pt idx="4">
                  <c:v>4.9288814691151916</c:v>
                </c:pt>
                <c:pt idx="5">
                  <c:v>4.1277235161532682</c:v>
                </c:pt>
                <c:pt idx="6">
                  <c:v>1.2250512145156569</c:v>
                </c:pt>
                <c:pt idx="7">
                  <c:v>0.95510487086150109</c:v>
                </c:pt>
                <c:pt idx="8">
                  <c:v>12.206896551724139</c:v>
                </c:pt>
                <c:pt idx="9">
                  <c:v>3.9293532338308457</c:v>
                </c:pt>
                <c:pt idx="10">
                  <c:v>10.118938233792752</c:v>
                </c:pt>
                <c:pt idx="11">
                  <c:v>4.3232758620689653</c:v>
                </c:pt>
                <c:pt idx="12">
                  <c:v>6.0384615384615383</c:v>
                </c:pt>
                <c:pt idx="13">
                  <c:v>4.2225007715773319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6F-0D40-931C-5646C6A86955}"/>
            </c:ext>
          </c:extLst>
        </c:ser>
        <c:ser>
          <c:idx val="3"/>
          <c:order val="3"/>
          <c:tx>
            <c:strRef>
              <c:f>'barrier-elision'!$E$18</c:f>
              <c:strCache>
                <c:ptCount val="1"/>
                <c:pt idx="0">
                  <c:v>DrCCTLib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'barrier-elision'!$A$19:$A$32</c:f>
              <c:strCache>
                <c:ptCount val="14"/>
                <c:pt idx="0">
                  <c:v>701.BARNES</c:v>
                </c:pt>
                <c:pt idx="1">
                  <c:v>702.CHOLESKY</c:v>
                </c:pt>
                <c:pt idx="2">
                  <c:v>703.FFT</c:v>
                </c:pt>
                <c:pt idx="3">
                  <c:v>704.FMM</c:v>
                </c:pt>
                <c:pt idx="4">
                  <c:v>705.LU-CB</c:v>
                </c:pt>
                <c:pt idx="5">
                  <c:v>706.LU-NCB</c:v>
                </c:pt>
                <c:pt idx="6">
                  <c:v>707.OCEAN-CP</c:v>
                </c:pt>
                <c:pt idx="7">
                  <c:v>708.OCEAN-NCP</c:v>
                </c:pt>
                <c:pt idx="8">
                  <c:v>709.RADIOSITY</c:v>
                </c:pt>
                <c:pt idx="9">
                  <c:v>710.RADIX</c:v>
                </c:pt>
                <c:pt idx="10">
                  <c:v>711.RAYTRACE</c:v>
                </c:pt>
                <c:pt idx="11">
                  <c:v>713.WATER-NSQUARED</c:v>
                </c:pt>
                <c:pt idx="12">
                  <c:v>714.WATER-SPATIAL</c:v>
                </c:pt>
                <c:pt idx="13">
                  <c:v>goemean</c:v>
                </c:pt>
              </c:strCache>
            </c:strRef>
          </c:cat>
          <c:val>
            <c:numRef>
              <c:f>'barrier-elision'!$E$19:$E$32</c:f>
              <c:numCache>
                <c:formatCode>_(* #,##0.00_);_(* \(#,##0.00\);_(* "-"??_);_(@_)</c:formatCode>
                <c:ptCount val="14"/>
                <c:pt idx="0">
                  <c:v>19.649999999999999</c:v>
                </c:pt>
                <c:pt idx="1">
                  <c:v>4</c:v>
                </c:pt>
                <c:pt idx="2">
                  <c:v>9.3655099524396697</c:v>
                </c:pt>
                <c:pt idx="3">
                  <c:v>2.975609756097561</c:v>
                </c:pt>
                <c:pt idx="4">
                  <c:v>6.1445742904841403</c:v>
                </c:pt>
                <c:pt idx="5">
                  <c:v>4.8690207863761579</c:v>
                </c:pt>
                <c:pt idx="6">
                  <c:v>1.2780216564237636</c:v>
                </c:pt>
                <c:pt idx="7">
                  <c:v>1.0570289478245796</c:v>
                </c:pt>
                <c:pt idx="8">
                  <c:v>18.413793103448278</c:v>
                </c:pt>
                <c:pt idx="9">
                  <c:v>5.5562189054726367</c:v>
                </c:pt>
                <c:pt idx="10">
                  <c:v>14.344053088310362</c:v>
                </c:pt>
                <c:pt idx="11">
                  <c:v>5.0107758620689653</c:v>
                </c:pt>
                <c:pt idx="12">
                  <c:v>7.8461538461538458</c:v>
                </c:pt>
                <c:pt idx="13">
                  <c:v>5.5819772016716263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6F-0D40-931C-5646C6A86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5708623"/>
        <c:axId val="575805615"/>
      </c:barChart>
      <c:catAx>
        <c:axId val="57570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575805615"/>
        <c:crosses val="autoZero"/>
        <c:auto val="1"/>
        <c:lblAlgn val="ctr"/>
        <c:lblOffset val="100"/>
        <c:noMultiLvlLbl val="0"/>
      </c:catAx>
      <c:valAx>
        <c:axId val="575805615"/>
        <c:scaling>
          <c:orientation val="minMax"/>
          <c:max val="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r>
                  <a:rPr lang="en-US"/>
                  <a:t>Runtime Overhead</a:t>
                </a:r>
              </a:p>
              <a:p>
                <a:pPr>
                  <a:defRPr/>
                </a:pPr>
                <a:r>
                  <a:rPr lang="en-US"/>
                  <a:t>Relative to Native (times)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575708623"/>
        <c:crosses val="autoZero"/>
        <c:crossBetween val="between"/>
        <c:majorUnit val="2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9.2942280149850218E-2"/>
          <c:y val="2.7520851560221639E-2"/>
          <c:w val="0.89524938552657085"/>
          <c:h val="0.1193791921843103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w Cen MT" panose="020B0602020104020603" pitchFamily="34" charset="77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 baseline="0">
          <a:latin typeface="Tw Cen MT" panose="020B0602020104020603" pitchFamily="34" charset="77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Overhead of ECC lookup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'barrier-elision'!$B$150</c:f>
              <c:strCache>
                <c:ptCount val="1"/>
                <c:pt idx="0">
                  <c:v>Runtime of DCCE (ms)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'barrier-elision'!$A$151:$A$187</c:f>
              <c:strCache>
                <c:ptCount val="36"/>
                <c:pt idx="0">
                  <c:v>10_10</c:v>
                </c:pt>
                <c:pt idx="1">
                  <c:v>10_100</c:v>
                </c:pt>
                <c:pt idx="2">
                  <c:v>10_200</c:v>
                </c:pt>
                <c:pt idx="3">
                  <c:v>10_400</c:v>
                </c:pt>
                <c:pt idx="4">
                  <c:v>10_800</c:v>
                </c:pt>
                <c:pt idx="5">
                  <c:v>10_1600</c:v>
                </c:pt>
                <c:pt idx="6">
                  <c:v>100_10</c:v>
                </c:pt>
                <c:pt idx="7">
                  <c:v>100_100</c:v>
                </c:pt>
                <c:pt idx="8">
                  <c:v>100_200</c:v>
                </c:pt>
                <c:pt idx="9">
                  <c:v>100_400</c:v>
                </c:pt>
                <c:pt idx="10">
                  <c:v>100_800</c:v>
                </c:pt>
                <c:pt idx="11">
                  <c:v>100_1600</c:v>
                </c:pt>
                <c:pt idx="12">
                  <c:v>200_10</c:v>
                </c:pt>
                <c:pt idx="13">
                  <c:v>200_100</c:v>
                </c:pt>
                <c:pt idx="14">
                  <c:v>200_200</c:v>
                </c:pt>
                <c:pt idx="15">
                  <c:v>200_400</c:v>
                </c:pt>
                <c:pt idx="16">
                  <c:v>200_800</c:v>
                </c:pt>
                <c:pt idx="17">
                  <c:v>200_1600</c:v>
                </c:pt>
                <c:pt idx="18">
                  <c:v>400_10</c:v>
                </c:pt>
                <c:pt idx="19">
                  <c:v>400_100</c:v>
                </c:pt>
                <c:pt idx="20">
                  <c:v>400_200</c:v>
                </c:pt>
                <c:pt idx="21">
                  <c:v>400_400</c:v>
                </c:pt>
                <c:pt idx="22">
                  <c:v>400_800</c:v>
                </c:pt>
                <c:pt idx="23">
                  <c:v>400_1600</c:v>
                </c:pt>
                <c:pt idx="24">
                  <c:v>800_10</c:v>
                </c:pt>
                <c:pt idx="25">
                  <c:v>800_100</c:v>
                </c:pt>
                <c:pt idx="26">
                  <c:v>800_200</c:v>
                </c:pt>
                <c:pt idx="27">
                  <c:v>800_400</c:v>
                </c:pt>
                <c:pt idx="28">
                  <c:v>800_800</c:v>
                </c:pt>
                <c:pt idx="29">
                  <c:v>800_1600</c:v>
                </c:pt>
                <c:pt idx="30">
                  <c:v>1600_10</c:v>
                </c:pt>
                <c:pt idx="31">
                  <c:v>1600_100</c:v>
                </c:pt>
                <c:pt idx="32">
                  <c:v>1600_200</c:v>
                </c:pt>
                <c:pt idx="33">
                  <c:v>1600_400</c:v>
                </c:pt>
                <c:pt idx="34">
                  <c:v>1600_800</c:v>
                </c:pt>
                <c:pt idx="35">
                  <c:v>1600_1600</c:v>
                </c:pt>
              </c:strCache>
            </c:strRef>
          </c:cat>
          <c:val>
            <c:numRef>
              <c:f>'barrier-elision'!$B$151:$B$187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3</c:v>
                </c:pt>
                <c:pt idx="11">
                  <c:v>8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3</c:v>
                </c:pt>
                <c:pt idx="16">
                  <c:v>8</c:v>
                </c:pt>
                <c:pt idx="17">
                  <c:v>17</c:v>
                </c:pt>
                <c:pt idx="18">
                  <c:v>0</c:v>
                </c:pt>
                <c:pt idx="19">
                  <c:v>2</c:v>
                </c:pt>
                <c:pt idx="20">
                  <c:v>3</c:v>
                </c:pt>
                <c:pt idx="21">
                  <c:v>7</c:v>
                </c:pt>
                <c:pt idx="22">
                  <c:v>19</c:v>
                </c:pt>
                <c:pt idx="23">
                  <c:v>33</c:v>
                </c:pt>
                <c:pt idx="24">
                  <c:v>0</c:v>
                </c:pt>
                <c:pt idx="25">
                  <c:v>3</c:v>
                </c:pt>
                <c:pt idx="26">
                  <c:v>8</c:v>
                </c:pt>
                <c:pt idx="27">
                  <c:v>16</c:v>
                </c:pt>
                <c:pt idx="28">
                  <c:v>34</c:v>
                </c:pt>
                <c:pt idx="29">
                  <c:v>67</c:v>
                </c:pt>
                <c:pt idx="30">
                  <c:v>0</c:v>
                </c:pt>
                <c:pt idx="31">
                  <c:v>8</c:v>
                </c:pt>
                <c:pt idx="32">
                  <c:v>20</c:v>
                </c:pt>
                <c:pt idx="33">
                  <c:v>42</c:v>
                </c:pt>
                <c:pt idx="34">
                  <c:v>87</c:v>
                </c:pt>
                <c:pt idx="35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D9-414F-8131-7768E0A29960}"/>
            </c:ext>
          </c:extLst>
        </c:ser>
        <c:ser>
          <c:idx val="1"/>
          <c:order val="1"/>
          <c:tx>
            <c:strRef>
              <c:f>'barrier-elision'!$C$150</c:f>
              <c:strCache>
                <c:ptCount val="1"/>
                <c:pt idx="0">
                  <c:v>Runtime of PCCE (ms)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'barrier-elision'!$A$151:$A$187</c:f>
              <c:strCache>
                <c:ptCount val="36"/>
                <c:pt idx="0">
                  <c:v>10_10</c:v>
                </c:pt>
                <c:pt idx="1">
                  <c:v>10_100</c:v>
                </c:pt>
                <c:pt idx="2">
                  <c:v>10_200</c:v>
                </c:pt>
                <c:pt idx="3">
                  <c:v>10_400</c:v>
                </c:pt>
                <c:pt idx="4">
                  <c:v>10_800</c:v>
                </c:pt>
                <c:pt idx="5">
                  <c:v>10_1600</c:v>
                </c:pt>
                <c:pt idx="6">
                  <c:v>100_10</c:v>
                </c:pt>
                <c:pt idx="7">
                  <c:v>100_100</c:v>
                </c:pt>
                <c:pt idx="8">
                  <c:v>100_200</c:v>
                </c:pt>
                <c:pt idx="9">
                  <c:v>100_400</c:v>
                </c:pt>
                <c:pt idx="10">
                  <c:v>100_800</c:v>
                </c:pt>
                <c:pt idx="11">
                  <c:v>100_1600</c:v>
                </c:pt>
                <c:pt idx="12">
                  <c:v>200_10</c:v>
                </c:pt>
                <c:pt idx="13">
                  <c:v>200_100</c:v>
                </c:pt>
                <c:pt idx="14">
                  <c:v>200_200</c:v>
                </c:pt>
                <c:pt idx="15">
                  <c:v>200_400</c:v>
                </c:pt>
                <c:pt idx="16">
                  <c:v>200_800</c:v>
                </c:pt>
                <c:pt idx="17">
                  <c:v>200_1600</c:v>
                </c:pt>
                <c:pt idx="18">
                  <c:v>400_10</c:v>
                </c:pt>
                <c:pt idx="19">
                  <c:v>400_100</c:v>
                </c:pt>
                <c:pt idx="20">
                  <c:v>400_200</c:v>
                </c:pt>
                <c:pt idx="21">
                  <c:v>400_400</c:v>
                </c:pt>
                <c:pt idx="22">
                  <c:v>400_800</c:v>
                </c:pt>
                <c:pt idx="23">
                  <c:v>400_1600</c:v>
                </c:pt>
                <c:pt idx="24">
                  <c:v>800_10</c:v>
                </c:pt>
                <c:pt idx="25">
                  <c:v>800_100</c:v>
                </c:pt>
                <c:pt idx="26">
                  <c:v>800_200</c:v>
                </c:pt>
                <c:pt idx="27">
                  <c:v>800_400</c:v>
                </c:pt>
                <c:pt idx="28">
                  <c:v>800_800</c:v>
                </c:pt>
                <c:pt idx="29">
                  <c:v>800_1600</c:v>
                </c:pt>
                <c:pt idx="30">
                  <c:v>1600_10</c:v>
                </c:pt>
                <c:pt idx="31">
                  <c:v>1600_100</c:v>
                </c:pt>
                <c:pt idx="32">
                  <c:v>1600_200</c:v>
                </c:pt>
                <c:pt idx="33">
                  <c:v>1600_400</c:v>
                </c:pt>
                <c:pt idx="34">
                  <c:v>1600_800</c:v>
                </c:pt>
                <c:pt idx="35">
                  <c:v>1600_1600</c:v>
                </c:pt>
              </c:strCache>
            </c:strRef>
          </c:cat>
          <c:val>
            <c:numRef>
              <c:f>'barrier-elision'!$C$151:$C$187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19</c:v>
                </c:pt>
                <c:pt idx="19">
                  <c:v>20</c:v>
                </c:pt>
                <c:pt idx="20">
                  <c:v>20</c:v>
                </c:pt>
                <c:pt idx="21">
                  <c:v>19</c:v>
                </c:pt>
                <c:pt idx="22">
                  <c:v>19</c:v>
                </c:pt>
                <c:pt idx="23">
                  <c:v>20</c:v>
                </c:pt>
                <c:pt idx="24">
                  <c:v>85</c:v>
                </c:pt>
                <c:pt idx="25">
                  <c:v>85</c:v>
                </c:pt>
                <c:pt idx="26">
                  <c:v>85</c:v>
                </c:pt>
                <c:pt idx="27">
                  <c:v>85</c:v>
                </c:pt>
                <c:pt idx="28">
                  <c:v>85</c:v>
                </c:pt>
                <c:pt idx="29">
                  <c:v>85</c:v>
                </c:pt>
                <c:pt idx="30">
                  <c:v>350</c:v>
                </c:pt>
                <c:pt idx="31">
                  <c:v>350</c:v>
                </c:pt>
                <c:pt idx="32">
                  <c:v>348</c:v>
                </c:pt>
                <c:pt idx="33">
                  <c:v>350</c:v>
                </c:pt>
                <c:pt idx="34">
                  <c:v>355</c:v>
                </c:pt>
                <c:pt idx="35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D9-414F-8131-7768E0A29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1319087"/>
        <c:axId val="1092451967"/>
      </c:barChart>
      <c:catAx>
        <c:axId val="11313190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numFuncEntry_numCCID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451967"/>
        <c:crosses val="autoZero"/>
        <c:auto val="1"/>
        <c:lblAlgn val="ctr"/>
        <c:lblOffset val="100"/>
        <c:noMultiLvlLbl val="0"/>
      </c:catAx>
      <c:valAx>
        <c:axId val="109245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319087"/>
        <c:crosses val="autoZero"/>
        <c:crossBetween val="between"/>
      </c:valAx>
      <c:spPr>
        <a:noFill/>
        <a:ln>
          <a:solidFill>
            <a:schemeClr val="accent1"/>
          </a:solidFill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390933518709146E-2"/>
          <c:y val="0.1229504580409939"/>
          <c:w val="0.90627120570030617"/>
          <c:h val="0.572936517662918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'barrier-elision'!$B$73</c:f>
              <c:strCache>
                <c:ptCount val="1"/>
                <c:pt idx="0">
                  <c:v>Native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'barrier-elision'!$A$74:$A$88</c:f>
              <c:strCache>
                <c:ptCount val="15"/>
                <c:pt idx="0">
                  <c:v>701.BARNES</c:v>
                </c:pt>
                <c:pt idx="1">
                  <c:v>702.CHOLESKY</c:v>
                </c:pt>
                <c:pt idx="2">
                  <c:v>703.FFT</c:v>
                </c:pt>
                <c:pt idx="3">
                  <c:v>704.FMM</c:v>
                </c:pt>
                <c:pt idx="4">
                  <c:v>705.LU-CB</c:v>
                </c:pt>
                <c:pt idx="5">
                  <c:v>706.LU-NCB</c:v>
                </c:pt>
                <c:pt idx="6">
                  <c:v>707.OCEAN-CP</c:v>
                </c:pt>
                <c:pt idx="7">
                  <c:v>708.OCEAN-NCP</c:v>
                </c:pt>
                <c:pt idx="8">
                  <c:v>709.RADIOSITY</c:v>
                </c:pt>
                <c:pt idx="9">
                  <c:v>710.RADIX</c:v>
                </c:pt>
                <c:pt idx="10">
                  <c:v>711.RAYTRACE</c:v>
                </c:pt>
                <c:pt idx="11">
                  <c:v>713.WATER-NSQUARED</c:v>
                </c:pt>
                <c:pt idx="12">
                  <c:v>714.WATER-SPATIAL</c:v>
                </c:pt>
                <c:pt idx="13">
                  <c:v>802.lud</c:v>
                </c:pt>
                <c:pt idx="14">
                  <c:v>geomean</c:v>
                </c:pt>
              </c:strCache>
            </c:strRef>
          </c:cat>
          <c:val>
            <c:numRef>
              <c:f>'barrier-elision'!$B$74:$B$88</c:f>
              <c:numCache>
                <c:formatCode>_(* #,##0.00_);_(* \(#,##0.00\);_(* "-"??_);_(@_)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FE-544C-A0E2-78A44D36BF49}"/>
            </c:ext>
          </c:extLst>
        </c:ser>
        <c:ser>
          <c:idx val="1"/>
          <c:order val="1"/>
          <c:tx>
            <c:strRef>
              <c:f>'barrier-elision'!$C$73</c:f>
              <c:strCache>
                <c:ptCount val="1"/>
                <c:pt idx="0">
                  <c:v>PCCE-profileECC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'barrier-elision'!$A$74:$A$88</c:f>
              <c:strCache>
                <c:ptCount val="15"/>
                <c:pt idx="0">
                  <c:v>701.BARNES</c:v>
                </c:pt>
                <c:pt idx="1">
                  <c:v>702.CHOLESKY</c:v>
                </c:pt>
                <c:pt idx="2">
                  <c:v>703.FFT</c:v>
                </c:pt>
                <c:pt idx="3">
                  <c:v>704.FMM</c:v>
                </c:pt>
                <c:pt idx="4">
                  <c:v>705.LU-CB</c:v>
                </c:pt>
                <c:pt idx="5">
                  <c:v>706.LU-NCB</c:v>
                </c:pt>
                <c:pt idx="6">
                  <c:v>707.OCEAN-CP</c:v>
                </c:pt>
                <c:pt idx="7">
                  <c:v>708.OCEAN-NCP</c:v>
                </c:pt>
                <c:pt idx="8">
                  <c:v>709.RADIOSITY</c:v>
                </c:pt>
                <c:pt idx="9">
                  <c:v>710.RADIX</c:v>
                </c:pt>
                <c:pt idx="10">
                  <c:v>711.RAYTRACE</c:v>
                </c:pt>
                <c:pt idx="11">
                  <c:v>713.WATER-NSQUARED</c:v>
                </c:pt>
                <c:pt idx="12">
                  <c:v>714.WATER-SPATIAL</c:v>
                </c:pt>
                <c:pt idx="13">
                  <c:v>802.lud</c:v>
                </c:pt>
                <c:pt idx="14">
                  <c:v>geomean</c:v>
                </c:pt>
              </c:strCache>
            </c:strRef>
          </c:cat>
          <c:val>
            <c:numRef>
              <c:f>'barrier-elision'!$C$74:$C$88</c:f>
              <c:numCache>
                <c:formatCode>_(* #,##0.00_);_(* \(#,##0.00\);_(* "-"??_);_(@_)</c:formatCode>
                <c:ptCount val="15"/>
                <c:pt idx="0">
                  <c:v>13.166666666666666</c:v>
                </c:pt>
                <c:pt idx="1">
                  <c:v>1.0689655172413792</c:v>
                </c:pt>
                <c:pt idx="2">
                  <c:v>1.4675942233180697</c:v>
                </c:pt>
                <c:pt idx="3">
                  <c:v>1.6279069767441861</c:v>
                </c:pt>
                <c:pt idx="4">
                  <c:v>1.0887337986041874</c:v>
                </c:pt>
                <c:pt idx="5">
                  <c:v>10.365908522869283</c:v>
                </c:pt>
                <c:pt idx="6">
                  <c:v>1.1151452282157677</c:v>
                </c:pt>
                <c:pt idx="7">
                  <c:v>0.99571550985432733</c:v>
                </c:pt>
                <c:pt idx="8">
                  <c:v>20.4375</c:v>
                </c:pt>
                <c:pt idx="9">
                  <c:v>7.2504780114722758</c:v>
                </c:pt>
                <c:pt idx="10">
                  <c:v>1.1587140439932317</c:v>
                </c:pt>
                <c:pt idx="11">
                  <c:v>8.4382978723404261</c:v>
                </c:pt>
                <c:pt idx="12">
                  <c:v>9.0350877192982448</c:v>
                </c:pt>
                <c:pt idx="13">
                  <c:v>1.8139204545454546</c:v>
                </c:pt>
                <c:pt idx="14">
                  <c:v>3.1624061477852554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FE-544C-A0E2-78A44D36BF49}"/>
            </c:ext>
          </c:extLst>
        </c:ser>
        <c:ser>
          <c:idx val="2"/>
          <c:order val="2"/>
          <c:tx>
            <c:strRef>
              <c:f>'barrier-elision'!$D$73</c:f>
              <c:strCache>
                <c:ptCount val="1"/>
                <c:pt idx="0">
                  <c:v>DCCE-profileECC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'barrier-elision'!$A$74:$A$88</c:f>
              <c:strCache>
                <c:ptCount val="15"/>
                <c:pt idx="0">
                  <c:v>701.BARNES</c:v>
                </c:pt>
                <c:pt idx="1">
                  <c:v>702.CHOLESKY</c:v>
                </c:pt>
                <c:pt idx="2">
                  <c:v>703.FFT</c:v>
                </c:pt>
                <c:pt idx="3">
                  <c:v>704.FMM</c:v>
                </c:pt>
                <c:pt idx="4">
                  <c:v>705.LU-CB</c:v>
                </c:pt>
                <c:pt idx="5">
                  <c:v>706.LU-NCB</c:v>
                </c:pt>
                <c:pt idx="6">
                  <c:v>707.OCEAN-CP</c:v>
                </c:pt>
                <c:pt idx="7">
                  <c:v>708.OCEAN-NCP</c:v>
                </c:pt>
                <c:pt idx="8">
                  <c:v>709.RADIOSITY</c:v>
                </c:pt>
                <c:pt idx="9">
                  <c:v>710.RADIX</c:v>
                </c:pt>
                <c:pt idx="10">
                  <c:v>711.RAYTRACE</c:v>
                </c:pt>
                <c:pt idx="11">
                  <c:v>713.WATER-NSQUARED</c:v>
                </c:pt>
                <c:pt idx="12">
                  <c:v>714.WATER-SPATIAL</c:v>
                </c:pt>
                <c:pt idx="13">
                  <c:v>802.lud</c:v>
                </c:pt>
                <c:pt idx="14">
                  <c:v>geomean</c:v>
                </c:pt>
              </c:strCache>
            </c:strRef>
          </c:cat>
          <c:val>
            <c:numRef>
              <c:f>'barrier-elision'!$D$74:$D$88</c:f>
              <c:numCache>
                <c:formatCode>_(* #,##0.00_);_(* \(#,##0.00\);_(* "-"??_);_(@_)</c:formatCode>
                <c:ptCount val="15"/>
                <c:pt idx="0">
                  <c:v>26.083333333333332</c:v>
                </c:pt>
                <c:pt idx="1">
                  <c:v>1.1724137931034482</c:v>
                </c:pt>
                <c:pt idx="2">
                  <c:v>3.9128214159915462</c:v>
                </c:pt>
                <c:pt idx="3">
                  <c:v>2.1860465116279069</c:v>
                </c:pt>
                <c:pt idx="4">
                  <c:v>13.037886340977069</c:v>
                </c:pt>
                <c:pt idx="5">
                  <c:v>9.4778805298675337</c:v>
                </c:pt>
                <c:pt idx="6">
                  <c:v>0.9294605809128631</c:v>
                </c:pt>
                <c:pt idx="7">
                  <c:v>0.98286203941730932</c:v>
                </c:pt>
                <c:pt idx="8">
                  <c:v>28.6875</c:v>
                </c:pt>
                <c:pt idx="9">
                  <c:v>9.2208413001912053</c:v>
                </c:pt>
                <c:pt idx="10">
                  <c:v>1.4446700507614214</c:v>
                </c:pt>
                <c:pt idx="11">
                  <c:v>10.957446808510639</c:v>
                </c:pt>
                <c:pt idx="12">
                  <c:v>11.842105263157896</c:v>
                </c:pt>
                <c:pt idx="13">
                  <c:v>1.8252840909090908</c:v>
                </c:pt>
                <c:pt idx="14">
                  <c:v>4.7135983861768533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FE-544C-A0E2-78A44D36BF49}"/>
            </c:ext>
          </c:extLst>
        </c:ser>
        <c:ser>
          <c:idx val="3"/>
          <c:order val="3"/>
          <c:tx>
            <c:strRef>
              <c:f>'barrier-elision'!$E$73</c:f>
              <c:strCache>
                <c:ptCount val="1"/>
                <c:pt idx="0">
                  <c:v>PCCE-barrierElider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'barrier-elision'!$A$74:$A$88</c:f>
              <c:strCache>
                <c:ptCount val="15"/>
                <c:pt idx="0">
                  <c:v>701.BARNES</c:v>
                </c:pt>
                <c:pt idx="1">
                  <c:v>702.CHOLESKY</c:v>
                </c:pt>
                <c:pt idx="2">
                  <c:v>703.FFT</c:v>
                </c:pt>
                <c:pt idx="3">
                  <c:v>704.FMM</c:v>
                </c:pt>
                <c:pt idx="4">
                  <c:v>705.LU-CB</c:v>
                </c:pt>
                <c:pt idx="5">
                  <c:v>706.LU-NCB</c:v>
                </c:pt>
                <c:pt idx="6">
                  <c:v>707.OCEAN-CP</c:v>
                </c:pt>
                <c:pt idx="7">
                  <c:v>708.OCEAN-NCP</c:v>
                </c:pt>
                <c:pt idx="8">
                  <c:v>709.RADIOSITY</c:v>
                </c:pt>
                <c:pt idx="9">
                  <c:v>710.RADIX</c:v>
                </c:pt>
                <c:pt idx="10">
                  <c:v>711.RAYTRACE</c:v>
                </c:pt>
                <c:pt idx="11">
                  <c:v>713.WATER-NSQUARED</c:v>
                </c:pt>
                <c:pt idx="12">
                  <c:v>714.WATER-SPATIAL</c:v>
                </c:pt>
                <c:pt idx="13">
                  <c:v>802.lud</c:v>
                </c:pt>
                <c:pt idx="14">
                  <c:v>geomean</c:v>
                </c:pt>
              </c:strCache>
            </c:strRef>
          </c:cat>
          <c:val>
            <c:numRef>
              <c:f>'barrier-elision'!$E$74:$E$88</c:f>
              <c:numCache>
                <c:formatCode>_(* #,##0.00_);_(* \(#,##0.00\);_(* "-"??_);_(@_)</c:formatCode>
                <c:ptCount val="15"/>
                <c:pt idx="0">
                  <c:v>11.458333333333334</c:v>
                </c:pt>
                <c:pt idx="1">
                  <c:v>1.1724137931034482</c:v>
                </c:pt>
                <c:pt idx="2">
                  <c:v>1.5063402606551604</c:v>
                </c:pt>
                <c:pt idx="3">
                  <c:v>1.6744186046511629</c:v>
                </c:pt>
                <c:pt idx="4">
                  <c:v>1.2136922565636423</c:v>
                </c:pt>
                <c:pt idx="5">
                  <c:v>10.62534366408398</c:v>
                </c:pt>
                <c:pt idx="6">
                  <c:v>0.98884854771784236</c:v>
                </c:pt>
                <c:pt idx="7">
                  <c:v>1.0013710368466153</c:v>
                </c:pt>
                <c:pt idx="8">
                  <c:v>19.78125</c:v>
                </c:pt>
                <c:pt idx="9">
                  <c:v>7.1061185468451242</c:v>
                </c:pt>
                <c:pt idx="10">
                  <c:v>1.1571912013536378</c:v>
                </c:pt>
                <c:pt idx="11">
                  <c:v>7.9787234042553195</c:v>
                </c:pt>
                <c:pt idx="12">
                  <c:v>9.7543859649122808</c:v>
                </c:pt>
                <c:pt idx="13">
                  <c:v>1.8110795454545454</c:v>
                </c:pt>
                <c:pt idx="14">
                  <c:v>3.160472407428796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FE-544C-A0E2-78A44D36BF49}"/>
            </c:ext>
          </c:extLst>
        </c:ser>
        <c:ser>
          <c:idx val="4"/>
          <c:order val="4"/>
          <c:tx>
            <c:strRef>
              <c:f>'barrier-elision'!$F$73</c:f>
              <c:strCache>
                <c:ptCount val="1"/>
                <c:pt idx="0">
                  <c:v>DCCE-barrierElider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'barrier-elision'!$A$74:$A$88</c:f>
              <c:strCache>
                <c:ptCount val="15"/>
                <c:pt idx="0">
                  <c:v>701.BARNES</c:v>
                </c:pt>
                <c:pt idx="1">
                  <c:v>702.CHOLESKY</c:v>
                </c:pt>
                <c:pt idx="2">
                  <c:v>703.FFT</c:v>
                </c:pt>
                <c:pt idx="3">
                  <c:v>704.FMM</c:v>
                </c:pt>
                <c:pt idx="4">
                  <c:v>705.LU-CB</c:v>
                </c:pt>
                <c:pt idx="5">
                  <c:v>706.LU-NCB</c:v>
                </c:pt>
                <c:pt idx="6">
                  <c:v>707.OCEAN-CP</c:v>
                </c:pt>
                <c:pt idx="7">
                  <c:v>708.OCEAN-NCP</c:v>
                </c:pt>
                <c:pt idx="8">
                  <c:v>709.RADIOSITY</c:v>
                </c:pt>
                <c:pt idx="9">
                  <c:v>710.RADIX</c:v>
                </c:pt>
                <c:pt idx="10">
                  <c:v>711.RAYTRACE</c:v>
                </c:pt>
                <c:pt idx="11">
                  <c:v>713.WATER-NSQUARED</c:v>
                </c:pt>
                <c:pt idx="12">
                  <c:v>714.WATER-SPATIAL</c:v>
                </c:pt>
                <c:pt idx="13">
                  <c:v>802.lud</c:v>
                </c:pt>
                <c:pt idx="14">
                  <c:v>geomean</c:v>
                </c:pt>
              </c:strCache>
            </c:strRef>
          </c:cat>
          <c:val>
            <c:numRef>
              <c:f>'barrier-elision'!$F$74:$F$88</c:f>
              <c:numCache>
                <c:formatCode>_(* #,##0.00_);_(* \(#,##0.00\);_(* "-"??_);_(@_)</c:formatCode>
                <c:ptCount val="15"/>
                <c:pt idx="0">
                  <c:v>25.333333333333332</c:v>
                </c:pt>
                <c:pt idx="1">
                  <c:v>1.1724137931034482</c:v>
                </c:pt>
                <c:pt idx="2">
                  <c:v>4.2046495244804509</c:v>
                </c:pt>
                <c:pt idx="3">
                  <c:v>2.2325581395348837</c:v>
                </c:pt>
                <c:pt idx="4">
                  <c:v>12.678298438019276</c:v>
                </c:pt>
                <c:pt idx="5">
                  <c:v>9.5538615346163454</c:v>
                </c:pt>
                <c:pt idx="6">
                  <c:v>1.1281120331950207</c:v>
                </c:pt>
                <c:pt idx="7">
                  <c:v>0.93847472150814049</c:v>
                </c:pt>
                <c:pt idx="8">
                  <c:v>27.4375</c:v>
                </c:pt>
                <c:pt idx="9">
                  <c:v>8.6434034416826009</c:v>
                </c:pt>
                <c:pt idx="10">
                  <c:v>1.350253807106599</c:v>
                </c:pt>
                <c:pt idx="11">
                  <c:v>10.357446808510637</c:v>
                </c:pt>
                <c:pt idx="12">
                  <c:v>11.912280701754385</c:v>
                </c:pt>
                <c:pt idx="13">
                  <c:v>1.8252840909090908</c:v>
                </c:pt>
                <c:pt idx="14">
                  <c:v>4.7015256914316828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FE-544C-A0E2-78A44D36BF49}"/>
            </c:ext>
          </c:extLst>
        </c:ser>
        <c:ser>
          <c:idx val="5"/>
          <c:order val="5"/>
          <c:tx>
            <c:strRef>
              <c:f>'barrier-elision'!$G$73</c:f>
              <c:strCache>
                <c:ptCount val="1"/>
                <c:pt idx="0">
                  <c:v>PCCE-all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'barrier-elision'!$A$74:$A$88</c:f>
              <c:strCache>
                <c:ptCount val="15"/>
                <c:pt idx="0">
                  <c:v>701.BARNES</c:v>
                </c:pt>
                <c:pt idx="1">
                  <c:v>702.CHOLESKY</c:v>
                </c:pt>
                <c:pt idx="2">
                  <c:v>703.FFT</c:v>
                </c:pt>
                <c:pt idx="3">
                  <c:v>704.FMM</c:v>
                </c:pt>
                <c:pt idx="4">
                  <c:v>705.LU-CB</c:v>
                </c:pt>
                <c:pt idx="5">
                  <c:v>706.LU-NCB</c:v>
                </c:pt>
                <c:pt idx="6">
                  <c:v>707.OCEAN-CP</c:v>
                </c:pt>
                <c:pt idx="7">
                  <c:v>708.OCEAN-NCP</c:v>
                </c:pt>
                <c:pt idx="8">
                  <c:v>709.RADIOSITY</c:v>
                </c:pt>
                <c:pt idx="9">
                  <c:v>710.RADIX</c:v>
                </c:pt>
                <c:pt idx="10">
                  <c:v>711.RAYTRACE</c:v>
                </c:pt>
                <c:pt idx="11">
                  <c:v>713.WATER-NSQUARED</c:v>
                </c:pt>
                <c:pt idx="12">
                  <c:v>714.WATER-SPATIAL</c:v>
                </c:pt>
                <c:pt idx="13">
                  <c:v>802.lud</c:v>
                </c:pt>
                <c:pt idx="14">
                  <c:v>geomean</c:v>
                </c:pt>
              </c:strCache>
            </c:strRef>
          </c:cat>
          <c:val>
            <c:numRef>
              <c:f>'barrier-elision'!$G$74:$G$88</c:f>
              <c:numCache>
                <c:formatCode>_(* #,##0.00_);_(* \(#,##0.00\);_(* "-"??_);_(@_)</c:formatCode>
                <c:ptCount val="15"/>
                <c:pt idx="0">
                  <c:v>19.5</c:v>
                </c:pt>
                <c:pt idx="1">
                  <c:v>1.3793103448275863</c:v>
                </c:pt>
                <c:pt idx="2">
                  <c:v>2.7168016907361747</c:v>
                </c:pt>
                <c:pt idx="3">
                  <c:v>1.9534883720930232</c:v>
                </c:pt>
                <c:pt idx="4">
                  <c:v>5.9135925556663347</c:v>
                </c:pt>
                <c:pt idx="5">
                  <c:v>13.934266433391652</c:v>
                </c:pt>
                <c:pt idx="6">
                  <c:v>1.1532676348547717</c:v>
                </c:pt>
                <c:pt idx="7">
                  <c:v>1.0131962296486718</c:v>
                </c:pt>
                <c:pt idx="8">
                  <c:v>34.09375</c:v>
                </c:pt>
                <c:pt idx="9">
                  <c:v>10.65774378585086</c:v>
                </c:pt>
                <c:pt idx="10">
                  <c:v>15.039255499153976</c:v>
                </c:pt>
                <c:pt idx="11">
                  <c:v>12.085106382978724</c:v>
                </c:pt>
                <c:pt idx="12">
                  <c:v>12.929824561403509</c:v>
                </c:pt>
                <c:pt idx="14">
                  <c:v>5.9508573820413941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9FE-544C-A0E2-78A44D36BF49}"/>
            </c:ext>
          </c:extLst>
        </c:ser>
        <c:ser>
          <c:idx val="6"/>
          <c:order val="6"/>
          <c:tx>
            <c:strRef>
              <c:f>'barrier-elision'!$H$73</c:f>
              <c:strCache>
                <c:ptCount val="1"/>
                <c:pt idx="0">
                  <c:v>DCCE-all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'barrier-elision'!$A$74:$A$88</c:f>
              <c:strCache>
                <c:ptCount val="15"/>
                <c:pt idx="0">
                  <c:v>701.BARNES</c:v>
                </c:pt>
                <c:pt idx="1">
                  <c:v>702.CHOLESKY</c:v>
                </c:pt>
                <c:pt idx="2">
                  <c:v>703.FFT</c:v>
                </c:pt>
                <c:pt idx="3">
                  <c:v>704.FMM</c:v>
                </c:pt>
                <c:pt idx="4">
                  <c:v>705.LU-CB</c:v>
                </c:pt>
                <c:pt idx="5">
                  <c:v>706.LU-NCB</c:v>
                </c:pt>
                <c:pt idx="6">
                  <c:v>707.OCEAN-CP</c:v>
                </c:pt>
                <c:pt idx="7">
                  <c:v>708.OCEAN-NCP</c:v>
                </c:pt>
                <c:pt idx="8">
                  <c:v>709.RADIOSITY</c:v>
                </c:pt>
                <c:pt idx="9">
                  <c:v>710.RADIX</c:v>
                </c:pt>
                <c:pt idx="10">
                  <c:v>711.RAYTRACE</c:v>
                </c:pt>
                <c:pt idx="11">
                  <c:v>713.WATER-NSQUARED</c:v>
                </c:pt>
                <c:pt idx="12">
                  <c:v>714.WATER-SPATIAL</c:v>
                </c:pt>
                <c:pt idx="13">
                  <c:v>802.lud</c:v>
                </c:pt>
                <c:pt idx="14">
                  <c:v>geomean</c:v>
                </c:pt>
              </c:strCache>
            </c:strRef>
          </c:cat>
          <c:val>
            <c:numRef>
              <c:f>'barrier-elision'!$H$74:$H$88</c:f>
              <c:numCache>
                <c:formatCode>_(* #,##0.00_);_(* \(#,##0.00\);_(* "-"??_);_(@_)</c:formatCode>
                <c:ptCount val="15"/>
                <c:pt idx="0">
                  <c:v>36.208333333333336</c:v>
                </c:pt>
                <c:pt idx="1">
                  <c:v>1.2758620689655173</c:v>
                </c:pt>
                <c:pt idx="2">
                  <c:v>4.1641423036280383</c:v>
                </c:pt>
                <c:pt idx="3">
                  <c:v>2.4651162790697674</c:v>
                </c:pt>
                <c:pt idx="4">
                  <c:v>17.732801595214358</c:v>
                </c:pt>
                <c:pt idx="5">
                  <c:v>14.49312671832042</c:v>
                </c:pt>
                <c:pt idx="6">
                  <c:v>0.94605809128630702</c:v>
                </c:pt>
                <c:pt idx="7">
                  <c:v>1.0068551842330762</c:v>
                </c:pt>
                <c:pt idx="8">
                  <c:v>39.25</c:v>
                </c:pt>
                <c:pt idx="9">
                  <c:v>11.604206500956023</c:v>
                </c:pt>
                <c:pt idx="10">
                  <c:v>16.082910321489003</c:v>
                </c:pt>
                <c:pt idx="11">
                  <c:v>14.223404255319149</c:v>
                </c:pt>
                <c:pt idx="12">
                  <c:v>14.719298245614034</c:v>
                </c:pt>
                <c:pt idx="14">
                  <c:v>7.3354006353938264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9FE-544C-A0E2-78A44D36B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9957455"/>
        <c:axId val="272317711"/>
      </c:barChart>
      <c:catAx>
        <c:axId val="11499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272317711"/>
        <c:crosses val="autoZero"/>
        <c:auto val="1"/>
        <c:lblAlgn val="ctr"/>
        <c:lblOffset val="100"/>
        <c:noMultiLvlLbl val="0"/>
      </c:catAx>
      <c:valAx>
        <c:axId val="272317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r>
                  <a:rPr lang="en-US"/>
                  <a:t>Runtime Overhead</a:t>
                </a:r>
              </a:p>
              <a:p>
                <a:pPr>
                  <a:defRPr/>
                </a:pPr>
                <a:r>
                  <a:rPr lang="en-US"/>
                  <a:t>Relative to Native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1149957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8.3404743125275724E-2"/>
          <c:y val="1.1673151750972763E-2"/>
          <c:w val="0.83319051374944852"/>
          <c:h val="0.103889212292043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w Cen MT" panose="020B0602020104020603" pitchFamily="34" charset="77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aseline="0">
          <a:latin typeface="Tw Cen MT" panose="020B0602020104020603" pitchFamily="34" charset="77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r>
              <a:rPr lang="en-US"/>
              <a:t>Runtime after</a:t>
            </a:r>
            <a:r>
              <a:rPr lang="en-US" baseline="0"/>
              <a:t> rtlib optimization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w Cen MT" panose="020B0602020104020603" pitchFamily="34" charset="77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'barrier-elision'!$B$214</c:f>
              <c:strCache>
                <c:ptCount val="1"/>
                <c:pt idx="0">
                  <c:v>Native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'barrier-elision'!$A$215:$A$228</c:f>
              <c:strCache>
                <c:ptCount val="14"/>
                <c:pt idx="0">
                  <c:v>701.BARNES</c:v>
                </c:pt>
                <c:pt idx="1">
                  <c:v>702.CHOLESKY</c:v>
                </c:pt>
                <c:pt idx="2">
                  <c:v>703.FFT</c:v>
                </c:pt>
                <c:pt idx="3">
                  <c:v>704.FMM</c:v>
                </c:pt>
                <c:pt idx="4">
                  <c:v>705.LU-CB</c:v>
                </c:pt>
                <c:pt idx="5">
                  <c:v>706.LU-NCB</c:v>
                </c:pt>
                <c:pt idx="6">
                  <c:v>707.OCEAN-CP</c:v>
                </c:pt>
                <c:pt idx="7">
                  <c:v>708.OCEAN-NCP</c:v>
                </c:pt>
                <c:pt idx="8">
                  <c:v>709.RADIOSITY</c:v>
                </c:pt>
                <c:pt idx="9">
                  <c:v>710.RADIX</c:v>
                </c:pt>
                <c:pt idx="10">
                  <c:v>711.RAYTRACE</c:v>
                </c:pt>
                <c:pt idx="11">
                  <c:v>713.WATER-NSQUARED</c:v>
                </c:pt>
                <c:pt idx="12">
                  <c:v>714.WATER-SPATIAL</c:v>
                </c:pt>
                <c:pt idx="13">
                  <c:v>802.lud</c:v>
                </c:pt>
              </c:strCache>
            </c:strRef>
          </c:cat>
          <c:val>
            <c:numRef>
              <c:f>'barrier-elision'!$B$215:$B$228</c:f>
              <c:numCache>
                <c:formatCode>_(* #,##0.00_);_(* \(#,##0.00\);_(* "-"??_);_(@_)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02-4A4E-A869-AC06262D1B67}"/>
            </c:ext>
          </c:extLst>
        </c:ser>
        <c:ser>
          <c:idx val="1"/>
          <c:order val="1"/>
          <c:tx>
            <c:strRef>
              <c:f>'barrier-elision'!$C$214</c:f>
              <c:strCache>
                <c:ptCount val="1"/>
                <c:pt idx="0">
                  <c:v>PCCE-onlyccid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'barrier-elision'!$A$215:$A$228</c:f>
              <c:strCache>
                <c:ptCount val="14"/>
                <c:pt idx="0">
                  <c:v>701.BARNES</c:v>
                </c:pt>
                <c:pt idx="1">
                  <c:v>702.CHOLESKY</c:v>
                </c:pt>
                <c:pt idx="2">
                  <c:v>703.FFT</c:v>
                </c:pt>
                <c:pt idx="3">
                  <c:v>704.FMM</c:v>
                </c:pt>
                <c:pt idx="4">
                  <c:v>705.LU-CB</c:v>
                </c:pt>
                <c:pt idx="5">
                  <c:v>706.LU-NCB</c:v>
                </c:pt>
                <c:pt idx="6">
                  <c:v>707.OCEAN-CP</c:v>
                </c:pt>
                <c:pt idx="7">
                  <c:v>708.OCEAN-NCP</c:v>
                </c:pt>
                <c:pt idx="8">
                  <c:v>709.RADIOSITY</c:v>
                </c:pt>
                <c:pt idx="9">
                  <c:v>710.RADIX</c:v>
                </c:pt>
                <c:pt idx="10">
                  <c:v>711.RAYTRACE</c:v>
                </c:pt>
                <c:pt idx="11">
                  <c:v>713.WATER-NSQUARED</c:v>
                </c:pt>
                <c:pt idx="12">
                  <c:v>714.WATER-SPATIAL</c:v>
                </c:pt>
                <c:pt idx="13">
                  <c:v>802.lud</c:v>
                </c:pt>
              </c:strCache>
            </c:strRef>
          </c:cat>
          <c:val>
            <c:numRef>
              <c:f>'barrier-elision'!$C$215:$C$228</c:f>
              <c:numCache>
                <c:formatCode>_(* #,##0.00_);_(* \(#,##0.00\);_(* "-"??_);_(@_)</c:formatCode>
                <c:ptCount val="14"/>
                <c:pt idx="0">
                  <c:v>1.0952380952380953</c:v>
                </c:pt>
                <c:pt idx="1">
                  <c:v>0.88888888888888884</c:v>
                </c:pt>
                <c:pt idx="2">
                  <c:v>1.0737139826763302</c:v>
                </c:pt>
                <c:pt idx="3">
                  <c:v>1</c:v>
                </c:pt>
                <c:pt idx="4">
                  <c:v>0.98901098901098905</c:v>
                </c:pt>
                <c:pt idx="5">
                  <c:v>1.0947973986993498</c:v>
                </c:pt>
                <c:pt idx="6">
                  <c:v>0.95748116254036597</c:v>
                </c:pt>
                <c:pt idx="7">
                  <c:v>1.0139695210449928</c:v>
                </c:pt>
                <c:pt idx="8">
                  <c:v>1.1212121212121211</c:v>
                </c:pt>
                <c:pt idx="9">
                  <c:v>1.1352459016393444</c:v>
                </c:pt>
                <c:pt idx="10">
                  <c:v>1.0126774847870184</c:v>
                </c:pt>
                <c:pt idx="11">
                  <c:v>1.1115879828326181</c:v>
                </c:pt>
                <c:pt idx="12">
                  <c:v>1.1372549019607843</c:v>
                </c:pt>
                <c:pt idx="13">
                  <c:v>1.7560627674750358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02-4A4E-A869-AC06262D1B67}"/>
            </c:ext>
          </c:extLst>
        </c:ser>
        <c:ser>
          <c:idx val="2"/>
          <c:order val="2"/>
          <c:tx>
            <c:strRef>
              <c:f>'barrier-elision'!$D$214</c:f>
              <c:strCache>
                <c:ptCount val="1"/>
                <c:pt idx="0">
                  <c:v>DCCE-onlyccid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'barrier-elision'!$A$215:$A$228</c:f>
              <c:strCache>
                <c:ptCount val="14"/>
                <c:pt idx="0">
                  <c:v>701.BARNES</c:v>
                </c:pt>
                <c:pt idx="1">
                  <c:v>702.CHOLESKY</c:v>
                </c:pt>
                <c:pt idx="2">
                  <c:v>703.FFT</c:v>
                </c:pt>
                <c:pt idx="3">
                  <c:v>704.FMM</c:v>
                </c:pt>
                <c:pt idx="4">
                  <c:v>705.LU-CB</c:v>
                </c:pt>
                <c:pt idx="5">
                  <c:v>706.LU-NCB</c:v>
                </c:pt>
                <c:pt idx="6">
                  <c:v>707.OCEAN-CP</c:v>
                </c:pt>
                <c:pt idx="7">
                  <c:v>708.OCEAN-NCP</c:v>
                </c:pt>
                <c:pt idx="8">
                  <c:v>709.RADIOSITY</c:v>
                </c:pt>
                <c:pt idx="9">
                  <c:v>710.RADIX</c:v>
                </c:pt>
                <c:pt idx="10">
                  <c:v>711.RAYTRACE</c:v>
                </c:pt>
                <c:pt idx="11">
                  <c:v>713.WATER-NSQUARED</c:v>
                </c:pt>
                <c:pt idx="12">
                  <c:v>714.WATER-SPATIAL</c:v>
                </c:pt>
                <c:pt idx="13">
                  <c:v>802.lud</c:v>
                </c:pt>
              </c:strCache>
            </c:strRef>
          </c:cat>
          <c:val>
            <c:numRef>
              <c:f>'barrier-elision'!$D$215:$D$228</c:f>
              <c:numCache>
                <c:formatCode>_(* #,##0.00_);_(* \(#,##0.00\);_(* "-"??_);_(@_)</c:formatCode>
                <c:ptCount val="14"/>
                <c:pt idx="0">
                  <c:v>1.2857142857142858</c:v>
                </c:pt>
                <c:pt idx="1">
                  <c:v>0.88888888888888884</c:v>
                </c:pt>
                <c:pt idx="2">
                  <c:v>1.1095987272405869</c:v>
                </c:pt>
                <c:pt idx="3">
                  <c:v>1</c:v>
                </c:pt>
                <c:pt idx="4">
                  <c:v>1.1055611055611057</c:v>
                </c:pt>
                <c:pt idx="5">
                  <c:v>1.0787893946973486</c:v>
                </c:pt>
                <c:pt idx="6">
                  <c:v>0.88482238966630788</c:v>
                </c:pt>
                <c:pt idx="7">
                  <c:v>0.93595791001451378</c:v>
                </c:pt>
                <c:pt idx="8">
                  <c:v>1.2121212121212122</c:v>
                </c:pt>
                <c:pt idx="9">
                  <c:v>1.0932377049180328</c:v>
                </c:pt>
                <c:pt idx="10">
                  <c:v>1.0589925625422583</c:v>
                </c:pt>
                <c:pt idx="11">
                  <c:v>1.1416309012875536</c:v>
                </c:pt>
                <c:pt idx="12">
                  <c:v>1.1372549019607843</c:v>
                </c:pt>
                <c:pt idx="13">
                  <c:v>1.8359486447931526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02-4A4E-A869-AC06262D1B67}"/>
            </c:ext>
          </c:extLst>
        </c:ser>
        <c:ser>
          <c:idx val="3"/>
          <c:order val="3"/>
          <c:tx>
            <c:strRef>
              <c:f>'barrier-elision'!$E$214</c:f>
              <c:strCache>
                <c:ptCount val="1"/>
                <c:pt idx="0">
                  <c:v>PCCE-barrierElider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'barrier-elision'!$A$215:$A$228</c:f>
              <c:strCache>
                <c:ptCount val="14"/>
                <c:pt idx="0">
                  <c:v>701.BARNES</c:v>
                </c:pt>
                <c:pt idx="1">
                  <c:v>702.CHOLESKY</c:v>
                </c:pt>
                <c:pt idx="2">
                  <c:v>703.FFT</c:v>
                </c:pt>
                <c:pt idx="3">
                  <c:v>704.FMM</c:v>
                </c:pt>
                <c:pt idx="4">
                  <c:v>705.LU-CB</c:v>
                </c:pt>
                <c:pt idx="5">
                  <c:v>706.LU-NCB</c:v>
                </c:pt>
                <c:pt idx="6">
                  <c:v>707.OCEAN-CP</c:v>
                </c:pt>
                <c:pt idx="7">
                  <c:v>708.OCEAN-NCP</c:v>
                </c:pt>
                <c:pt idx="8">
                  <c:v>709.RADIOSITY</c:v>
                </c:pt>
                <c:pt idx="9">
                  <c:v>710.RADIX</c:v>
                </c:pt>
                <c:pt idx="10">
                  <c:v>711.RAYTRACE</c:v>
                </c:pt>
                <c:pt idx="11">
                  <c:v>713.WATER-NSQUARED</c:v>
                </c:pt>
                <c:pt idx="12">
                  <c:v>714.WATER-SPATIAL</c:v>
                </c:pt>
                <c:pt idx="13">
                  <c:v>802.lud</c:v>
                </c:pt>
              </c:strCache>
            </c:strRef>
          </c:cat>
          <c:val>
            <c:numRef>
              <c:f>'barrier-elision'!$E$215:$E$228</c:f>
              <c:numCache>
                <c:formatCode>_(* #,##0.00_);_(* \(#,##0.00\);_(* "-"??_);_(@_)</c:formatCode>
                <c:ptCount val="14"/>
                <c:pt idx="0">
                  <c:v>1.1428571428571428</c:v>
                </c:pt>
                <c:pt idx="1">
                  <c:v>0.85185185185185186</c:v>
                </c:pt>
                <c:pt idx="2">
                  <c:v>1.0346473395792823</c:v>
                </c:pt>
                <c:pt idx="3">
                  <c:v>1</c:v>
                </c:pt>
                <c:pt idx="4">
                  <c:v>0.98501498501498497</c:v>
                </c:pt>
                <c:pt idx="5">
                  <c:v>1.0607803901950976</c:v>
                </c:pt>
                <c:pt idx="6">
                  <c:v>0.98573735199138857</c:v>
                </c:pt>
                <c:pt idx="7">
                  <c:v>0.94756894049346885</c:v>
                </c:pt>
                <c:pt idx="8">
                  <c:v>1.1818181818181819</c:v>
                </c:pt>
                <c:pt idx="9">
                  <c:v>1.0491803278688525</c:v>
                </c:pt>
                <c:pt idx="10">
                  <c:v>1.0458079783637593</c:v>
                </c:pt>
                <c:pt idx="11">
                  <c:v>1.1609442060085837</c:v>
                </c:pt>
                <c:pt idx="12">
                  <c:v>1.1176470588235294</c:v>
                </c:pt>
                <c:pt idx="13">
                  <c:v>1.8530670470756063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02-4A4E-A869-AC06262D1B67}"/>
            </c:ext>
          </c:extLst>
        </c:ser>
        <c:ser>
          <c:idx val="4"/>
          <c:order val="4"/>
          <c:tx>
            <c:strRef>
              <c:f>'barrier-elision'!$F$214</c:f>
              <c:strCache>
                <c:ptCount val="1"/>
                <c:pt idx="0">
                  <c:v>DCCE-barrierElider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'barrier-elision'!$A$215:$A$228</c:f>
              <c:strCache>
                <c:ptCount val="14"/>
                <c:pt idx="0">
                  <c:v>701.BARNES</c:v>
                </c:pt>
                <c:pt idx="1">
                  <c:v>702.CHOLESKY</c:v>
                </c:pt>
                <c:pt idx="2">
                  <c:v>703.FFT</c:v>
                </c:pt>
                <c:pt idx="3">
                  <c:v>704.FMM</c:v>
                </c:pt>
                <c:pt idx="4">
                  <c:v>705.LU-CB</c:v>
                </c:pt>
                <c:pt idx="5">
                  <c:v>706.LU-NCB</c:v>
                </c:pt>
                <c:pt idx="6">
                  <c:v>707.OCEAN-CP</c:v>
                </c:pt>
                <c:pt idx="7">
                  <c:v>708.OCEAN-NCP</c:v>
                </c:pt>
                <c:pt idx="8">
                  <c:v>709.RADIOSITY</c:v>
                </c:pt>
                <c:pt idx="9">
                  <c:v>710.RADIX</c:v>
                </c:pt>
                <c:pt idx="10">
                  <c:v>711.RAYTRACE</c:v>
                </c:pt>
                <c:pt idx="11">
                  <c:v>713.WATER-NSQUARED</c:v>
                </c:pt>
                <c:pt idx="12">
                  <c:v>714.WATER-SPATIAL</c:v>
                </c:pt>
                <c:pt idx="13">
                  <c:v>802.lud</c:v>
                </c:pt>
              </c:strCache>
            </c:strRef>
          </c:cat>
          <c:val>
            <c:numRef>
              <c:f>'barrier-elision'!$F$215:$F$228</c:f>
              <c:numCache>
                <c:formatCode>_(* #,##0.00_);_(* \(#,##0.00\);_(* "-"??_);_(@_)</c:formatCode>
                <c:ptCount val="14"/>
                <c:pt idx="0">
                  <c:v>1.2857142857142858</c:v>
                </c:pt>
                <c:pt idx="1">
                  <c:v>0.96296296296296291</c:v>
                </c:pt>
                <c:pt idx="2">
                  <c:v>1.1030581580342937</c:v>
                </c:pt>
                <c:pt idx="3">
                  <c:v>1</c:v>
                </c:pt>
                <c:pt idx="4">
                  <c:v>1.0942390942390943</c:v>
                </c:pt>
                <c:pt idx="5">
                  <c:v>1.0960480240120061</c:v>
                </c:pt>
                <c:pt idx="6">
                  <c:v>1.0352529601722282</c:v>
                </c:pt>
                <c:pt idx="7">
                  <c:v>1.0212264150943395</c:v>
                </c:pt>
                <c:pt idx="8">
                  <c:v>1.2424242424242424</c:v>
                </c:pt>
                <c:pt idx="9">
                  <c:v>1.1157786885245902</c:v>
                </c:pt>
                <c:pt idx="10">
                  <c:v>1.1577079107505071</c:v>
                </c:pt>
                <c:pt idx="11">
                  <c:v>1.1781115879828326</c:v>
                </c:pt>
                <c:pt idx="12">
                  <c:v>1.1372549019607843</c:v>
                </c:pt>
                <c:pt idx="13">
                  <c:v>1.7931526390870185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02-4A4E-A869-AC06262D1B67}"/>
            </c:ext>
          </c:extLst>
        </c:ser>
        <c:ser>
          <c:idx val="5"/>
          <c:order val="5"/>
          <c:tx>
            <c:strRef>
              <c:f>'barrier-elision'!$G$214</c:f>
              <c:strCache>
                <c:ptCount val="1"/>
                <c:pt idx="0">
                  <c:v>PCCE-all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'barrier-elision'!$A$215:$A$228</c:f>
              <c:strCache>
                <c:ptCount val="14"/>
                <c:pt idx="0">
                  <c:v>701.BARNES</c:v>
                </c:pt>
                <c:pt idx="1">
                  <c:v>702.CHOLESKY</c:v>
                </c:pt>
                <c:pt idx="2">
                  <c:v>703.FFT</c:v>
                </c:pt>
                <c:pt idx="3">
                  <c:v>704.FMM</c:v>
                </c:pt>
                <c:pt idx="4">
                  <c:v>705.LU-CB</c:v>
                </c:pt>
                <c:pt idx="5">
                  <c:v>706.LU-NCB</c:v>
                </c:pt>
                <c:pt idx="6">
                  <c:v>707.OCEAN-CP</c:v>
                </c:pt>
                <c:pt idx="7">
                  <c:v>708.OCEAN-NCP</c:v>
                </c:pt>
                <c:pt idx="8">
                  <c:v>709.RADIOSITY</c:v>
                </c:pt>
                <c:pt idx="9">
                  <c:v>710.RADIX</c:v>
                </c:pt>
                <c:pt idx="10">
                  <c:v>711.RAYTRACE</c:v>
                </c:pt>
                <c:pt idx="11">
                  <c:v>713.WATER-NSQUARED</c:v>
                </c:pt>
                <c:pt idx="12">
                  <c:v>714.WATER-SPATIAL</c:v>
                </c:pt>
                <c:pt idx="13">
                  <c:v>802.lud</c:v>
                </c:pt>
              </c:strCache>
            </c:strRef>
          </c:cat>
          <c:val>
            <c:numRef>
              <c:f>'barrier-elision'!$G$215:$G$228</c:f>
              <c:numCache>
                <c:formatCode>_(* #,##0.00_);_(* \(#,##0.00\);_(* "-"??_);_(@_)</c:formatCode>
                <c:ptCount val="14"/>
                <c:pt idx="0">
                  <c:v>1.2380952380952381</c:v>
                </c:pt>
                <c:pt idx="1">
                  <c:v>0.85185185185185186</c:v>
                </c:pt>
                <c:pt idx="2">
                  <c:v>1.0528548700724765</c:v>
                </c:pt>
                <c:pt idx="3">
                  <c:v>1</c:v>
                </c:pt>
                <c:pt idx="4">
                  <c:v>1.0666000666000666</c:v>
                </c:pt>
                <c:pt idx="5">
                  <c:v>1.1920960480240119</c:v>
                </c:pt>
                <c:pt idx="6">
                  <c:v>1.0134553283100107</c:v>
                </c:pt>
                <c:pt idx="7">
                  <c:v>1.0223149492017416</c:v>
                </c:pt>
                <c:pt idx="8">
                  <c:v>1.3636363636363635</c:v>
                </c:pt>
                <c:pt idx="9">
                  <c:v>1.1854508196721312</c:v>
                </c:pt>
                <c:pt idx="10">
                  <c:v>1.1435091277890466</c:v>
                </c:pt>
                <c:pt idx="11">
                  <c:v>1.1630901287553648</c:v>
                </c:pt>
                <c:pt idx="12">
                  <c:v>1.1764705882352942</c:v>
                </c:pt>
                <c:pt idx="13">
                  <c:v>1.7218259629101285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C02-4A4E-A869-AC06262D1B67}"/>
            </c:ext>
          </c:extLst>
        </c:ser>
        <c:ser>
          <c:idx val="6"/>
          <c:order val="6"/>
          <c:tx>
            <c:strRef>
              <c:f>'barrier-elision'!$H$214</c:f>
              <c:strCache>
                <c:ptCount val="1"/>
                <c:pt idx="0">
                  <c:v>DCCE-all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'barrier-elision'!$A$215:$A$228</c:f>
              <c:strCache>
                <c:ptCount val="14"/>
                <c:pt idx="0">
                  <c:v>701.BARNES</c:v>
                </c:pt>
                <c:pt idx="1">
                  <c:v>702.CHOLESKY</c:v>
                </c:pt>
                <c:pt idx="2">
                  <c:v>703.FFT</c:v>
                </c:pt>
                <c:pt idx="3">
                  <c:v>704.FMM</c:v>
                </c:pt>
                <c:pt idx="4">
                  <c:v>705.LU-CB</c:v>
                </c:pt>
                <c:pt idx="5">
                  <c:v>706.LU-NCB</c:v>
                </c:pt>
                <c:pt idx="6">
                  <c:v>707.OCEAN-CP</c:v>
                </c:pt>
                <c:pt idx="7">
                  <c:v>708.OCEAN-NCP</c:v>
                </c:pt>
                <c:pt idx="8">
                  <c:v>709.RADIOSITY</c:v>
                </c:pt>
                <c:pt idx="9">
                  <c:v>710.RADIX</c:v>
                </c:pt>
                <c:pt idx="10">
                  <c:v>711.RAYTRACE</c:v>
                </c:pt>
                <c:pt idx="11">
                  <c:v>713.WATER-NSQUARED</c:v>
                </c:pt>
                <c:pt idx="12">
                  <c:v>714.WATER-SPATIAL</c:v>
                </c:pt>
                <c:pt idx="13">
                  <c:v>802.lud</c:v>
                </c:pt>
              </c:strCache>
            </c:strRef>
          </c:cat>
          <c:val>
            <c:numRef>
              <c:f>'barrier-elision'!$H$215:$H$228</c:f>
              <c:numCache>
                <c:formatCode>_(* #,##0.00_);_(* \(#,##0.00\);_(* "-"??_);_(@_)</c:formatCode>
                <c:ptCount val="14"/>
                <c:pt idx="0">
                  <c:v>1.4761904761904763</c:v>
                </c:pt>
                <c:pt idx="1">
                  <c:v>0.85185185185185186</c:v>
                </c:pt>
                <c:pt idx="2">
                  <c:v>1.1143715750397738</c:v>
                </c:pt>
                <c:pt idx="3">
                  <c:v>1.0238095238095237</c:v>
                </c:pt>
                <c:pt idx="4">
                  <c:v>1.1645021645021645</c:v>
                </c:pt>
                <c:pt idx="5">
                  <c:v>1.1435717858929464</c:v>
                </c:pt>
                <c:pt idx="6">
                  <c:v>0.84607104413347689</c:v>
                </c:pt>
                <c:pt idx="7">
                  <c:v>1.0226777939042091</c:v>
                </c:pt>
                <c:pt idx="8">
                  <c:v>1.5151515151515151</c:v>
                </c:pt>
                <c:pt idx="9">
                  <c:v>1.1547131147540983</c:v>
                </c:pt>
                <c:pt idx="10">
                  <c:v>1.2778904665314401</c:v>
                </c:pt>
                <c:pt idx="11">
                  <c:v>1.1995708154506437</c:v>
                </c:pt>
                <c:pt idx="12">
                  <c:v>1.1764705882352942</c:v>
                </c:pt>
                <c:pt idx="13">
                  <c:v>1.7945791726105564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02-4A4E-A869-AC06262D1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7486095"/>
        <c:axId val="1427488367"/>
      </c:barChart>
      <c:catAx>
        <c:axId val="1427486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1427488367"/>
        <c:crosses val="autoZero"/>
        <c:auto val="1"/>
        <c:lblAlgn val="ctr"/>
        <c:lblOffset val="100"/>
        <c:noMultiLvlLbl val="0"/>
      </c:catAx>
      <c:valAx>
        <c:axId val="142748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r>
                  <a:rPr lang="en-US"/>
                  <a:t>Runtime relative</a:t>
                </a:r>
                <a:r>
                  <a:rPr lang="en-US" baseline="0"/>
                  <a:t> to Native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_);_(* \(#,##0.0\);_(* &quot;-&quot;?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142748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w Cen MT" panose="020B0602020104020603" pitchFamily="34" charset="77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Tw Cen MT" panose="020B0602020104020603" pitchFamily="34" charset="77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Runtime after</a:t>
            </a:r>
            <a:r>
              <a:rPr lang="en-US" baseline="0"/>
              <a:t> rtlib optimization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'barrier-elision'!$B$268</c:f>
              <c:strCache>
                <c:ptCount val="1"/>
                <c:pt idx="0">
                  <c:v>Native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'barrier-elision'!$A$269:$A$278</c:f>
              <c:strCache>
                <c:ptCount val="10"/>
                <c:pt idx="0">
                  <c:v>namd_r</c:v>
                </c:pt>
                <c:pt idx="1">
                  <c:v>parest_r</c:v>
                </c:pt>
                <c:pt idx="2">
                  <c:v>mcf_s</c:v>
                </c:pt>
                <c:pt idx="3">
                  <c:v>lbm_s</c:v>
                </c:pt>
                <c:pt idx="4">
                  <c:v>omnetpp_s</c:v>
                </c:pt>
                <c:pt idx="5">
                  <c:v>xalancbmk_s</c:v>
                </c:pt>
                <c:pt idx="6">
                  <c:v>x264_s</c:v>
                </c:pt>
                <c:pt idx="7">
                  <c:v>leela_s</c:v>
                </c:pt>
                <c:pt idx="8">
                  <c:v>xz_s</c:v>
                </c:pt>
                <c:pt idx="9">
                  <c:v>geomen</c:v>
                </c:pt>
              </c:strCache>
            </c:strRef>
          </c:cat>
          <c:val>
            <c:numRef>
              <c:f>'barrier-elision'!$B$269:$B$278</c:f>
              <c:numCache>
                <c:formatCode>_(* #,##0.00_);_(* \(#,##0.00\);_(* "-"??_);_(@_)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07-E24D-9010-743067FB9BC7}"/>
            </c:ext>
          </c:extLst>
        </c:ser>
        <c:ser>
          <c:idx val="1"/>
          <c:order val="1"/>
          <c:tx>
            <c:strRef>
              <c:f>'barrier-elision'!$C$268</c:f>
              <c:strCache>
                <c:ptCount val="1"/>
                <c:pt idx="0">
                  <c:v>PCCE-onlyccid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'barrier-elision'!$A$269:$A$278</c:f>
              <c:strCache>
                <c:ptCount val="10"/>
                <c:pt idx="0">
                  <c:v>namd_r</c:v>
                </c:pt>
                <c:pt idx="1">
                  <c:v>parest_r</c:v>
                </c:pt>
                <c:pt idx="2">
                  <c:v>mcf_s</c:v>
                </c:pt>
                <c:pt idx="3">
                  <c:v>lbm_s</c:v>
                </c:pt>
                <c:pt idx="4">
                  <c:v>omnetpp_s</c:v>
                </c:pt>
                <c:pt idx="5">
                  <c:v>xalancbmk_s</c:v>
                </c:pt>
                <c:pt idx="6">
                  <c:v>x264_s</c:v>
                </c:pt>
                <c:pt idx="7">
                  <c:v>leela_s</c:v>
                </c:pt>
                <c:pt idx="8">
                  <c:v>xz_s</c:v>
                </c:pt>
                <c:pt idx="9">
                  <c:v>geomen</c:v>
                </c:pt>
              </c:strCache>
            </c:strRef>
          </c:cat>
          <c:val>
            <c:numRef>
              <c:f>'barrier-elision'!$C$269:$C$278</c:f>
              <c:numCache>
                <c:formatCode>_(* #,##0.00_);_(* \(#,##0.00\);_(* "-"??_);_(@_)</c:formatCode>
                <c:ptCount val="10"/>
                <c:pt idx="0">
                  <c:v>1.7638043896804005</c:v>
                </c:pt>
                <c:pt idx="1">
                  <c:v>2.738630081913664</c:v>
                </c:pt>
                <c:pt idx="2">
                  <c:v>1.9756813290996373</c:v>
                </c:pt>
                <c:pt idx="3">
                  <c:v>1.0620496328271449</c:v>
                </c:pt>
                <c:pt idx="4">
                  <c:v>1.3959525543647904</c:v>
                </c:pt>
                <c:pt idx="5">
                  <c:v>1.8219215432330187</c:v>
                </c:pt>
                <c:pt idx="6">
                  <c:v>1.9227729885057472</c:v>
                </c:pt>
                <c:pt idx="7">
                  <c:v>1.8090149550823709</c:v>
                </c:pt>
                <c:pt idx="8">
                  <c:v>2.0184676337146144</c:v>
                </c:pt>
                <c:pt idx="9">
                  <c:v>1.7817576962365587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07-E24D-9010-743067FB9BC7}"/>
            </c:ext>
          </c:extLst>
        </c:ser>
        <c:ser>
          <c:idx val="2"/>
          <c:order val="2"/>
          <c:tx>
            <c:strRef>
              <c:f>'barrier-elision'!$D$268</c:f>
              <c:strCache>
                <c:ptCount val="1"/>
                <c:pt idx="0">
                  <c:v>DCCE-onlyccid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'barrier-elision'!$A$269:$A$278</c:f>
              <c:strCache>
                <c:ptCount val="10"/>
                <c:pt idx="0">
                  <c:v>namd_r</c:v>
                </c:pt>
                <c:pt idx="1">
                  <c:v>parest_r</c:v>
                </c:pt>
                <c:pt idx="2">
                  <c:v>mcf_s</c:v>
                </c:pt>
                <c:pt idx="3">
                  <c:v>lbm_s</c:v>
                </c:pt>
                <c:pt idx="4">
                  <c:v>omnetpp_s</c:v>
                </c:pt>
                <c:pt idx="5">
                  <c:v>xalancbmk_s</c:v>
                </c:pt>
                <c:pt idx="6">
                  <c:v>x264_s</c:v>
                </c:pt>
                <c:pt idx="7">
                  <c:v>leela_s</c:v>
                </c:pt>
                <c:pt idx="8">
                  <c:v>xz_s</c:v>
                </c:pt>
                <c:pt idx="9">
                  <c:v>geomen</c:v>
                </c:pt>
              </c:strCache>
            </c:strRef>
          </c:cat>
          <c:val>
            <c:numRef>
              <c:f>'barrier-elision'!$D$269:$D$278</c:f>
              <c:numCache>
                <c:formatCode>_(* #,##0.00_);_(* \(#,##0.00\);_(* "-"??_);_(@_)</c:formatCode>
                <c:ptCount val="10"/>
                <c:pt idx="0">
                  <c:v>1.7537158259530228</c:v>
                </c:pt>
                <c:pt idx="1">
                  <c:v>2.7260415096235993</c:v>
                </c:pt>
                <c:pt idx="2">
                  <c:v>1.9648613263908745</c:v>
                </c:pt>
                <c:pt idx="3">
                  <c:v>1.0613617211550037</c:v>
                </c:pt>
                <c:pt idx="4">
                  <c:v>1.3423681198626574</c:v>
                </c:pt>
                <c:pt idx="5">
                  <c:v>1.7979278143212569</c:v>
                </c:pt>
                <c:pt idx="6">
                  <c:v>1.9365122126436782</c:v>
                </c:pt>
                <c:pt idx="7">
                  <c:v>1.8354940939210602</c:v>
                </c:pt>
                <c:pt idx="8">
                  <c:v>2.0181481244807973</c:v>
                </c:pt>
                <c:pt idx="9">
                  <c:v>1.7724006753992942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07-E24D-9010-743067FB9BC7}"/>
            </c:ext>
          </c:extLst>
        </c:ser>
        <c:ser>
          <c:idx val="3"/>
          <c:order val="3"/>
          <c:tx>
            <c:strRef>
              <c:f>'barrier-elision'!$E$268</c:f>
              <c:strCache>
                <c:ptCount val="1"/>
                <c:pt idx="0">
                  <c:v>PCCE-all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'barrier-elision'!$A$269:$A$278</c:f>
              <c:strCache>
                <c:ptCount val="10"/>
                <c:pt idx="0">
                  <c:v>namd_r</c:v>
                </c:pt>
                <c:pt idx="1">
                  <c:v>parest_r</c:v>
                </c:pt>
                <c:pt idx="2">
                  <c:v>mcf_s</c:v>
                </c:pt>
                <c:pt idx="3">
                  <c:v>lbm_s</c:v>
                </c:pt>
                <c:pt idx="4">
                  <c:v>omnetpp_s</c:v>
                </c:pt>
                <c:pt idx="5">
                  <c:v>xalancbmk_s</c:v>
                </c:pt>
                <c:pt idx="6">
                  <c:v>x264_s</c:v>
                </c:pt>
                <c:pt idx="7">
                  <c:v>leela_s</c:v>
                </c:pt>
                <c:pt idx="8">
                  <c:v>xz_s</c:v>
                </c:pt>
                <c:pt idx="9">
                  <c:v>geomen</c:v>
                </c:pt>
              </c:strCache>
            </c:strRef>
          </c:cat>
          <c:val>
            <c:numRef>
              <c:f>'barrier-elision'!$E$269:$E$278</c:f>
              <c:numCache>
                <c:formatCode>_(* #,##0.00_);_(* \(#,##0.00\);_(* "-"??_);_(@_)</c:formatCode>
                <c:ptCount val="10"/>
                <c:pt idx="0">
                  <c:v>1.8129380053908355</c:v>
                </c:pt>
                <c:pt idx="1">
                  <c:v>2.7666465651540277</c:v>
                </c:pt>
                <c:pt idx="2">
                  <c:v>2.1335570570796527</c:v>
                </c:pt>
                <c:pt idx="3">
                  <c:v>1.0623677919755103</c:v>
                </c:pt>
                <c:pt idx="4">
                  <c:v>1.5790760586827592</c:v>
                </c:pt>
                <c:pt idx="5">
                  <c:v>1.922736103063972</c:v>
                </c:pt>
                <c:pt idx="6">
                  <c:v>2.052801724137931</c:v>
                </c:pt>
                <c:pt idx="7">
                  <c:v>1.8957858620779968</c:v>
                </c:pt>
                <c:pt idx="8">
                  <c:v>2.0456898204358107</c:v>
                </c:pt>
                <c:pt idx="9">
                  <c:v>1.8663866580002677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07-E24D-9010-743067FB9BC7}"/>
            </c:ext>
          </c:extLst>
        </c:ser>
        <c:ser>
          <c:idx val="4"/>
          <c:order val="4"/>
          <c:tx>
            <c:strRef>
              <c:f>'barrier-elision'!$F$268</c:f>
              <c:strCache>
                <c:ptCount val="1"/>
                <c:pt idx="0">
                  <c:v>DCCE-all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'barrier-elision'!$A$269:$A$278</c:f>
              <c:strCache>
                <c:ptCount val="10"/>
                <c:pt idx="0">
                  <c:v>namd_r</c:v>
                </c:pt>
                <c:pt idx="1">
                  <c:v>parest_r</c:v>
                </c:pt>
                <c:pt idx="2">
                  <c:v>mcf_s</c:v>
                </c:pt>
                <c:pt idx="3">
                  <c:v>lbm_s</c:v>
                </c:pt>
                <c:pt idx="4">
                  <c:v>omnetpp_s</c:v>
                </c:pt>
                <c:pt idx="5">
                  <c:v>xalancbmk_s</c:v>
                </c:pt>
                <c:pt idx="6">
                  <c:v>x264_s</c:v>
                </c:pt>
                <c:pt idx="7">
                  <c:v>leela_s</c:v>
                </c:pt>
                <c:pt idx="8">
                  <c:v>xz_s</c:v>
                </c:pt>
                <c:pt idx="9">
                  <c:v>geomen</c:v>
                </c:pt>
              </c:strCache>
            </c:strRef>
          </c:cat>
          <c:val>
            <c:numRef>
              <c:f>'barrier-elision'!$F$269:$F$278</c:f>
              <c:numCache>
                <c:formatCode>_(* #,##0.00_);_(* \(#,##0.00\);_(* "-"??_);_(@_)</c:formatCode>
                <c:ptCount val="10"/>
                <c:pt idx="0">
                  <c:v>1.7733153638814017</c:v>
                </c:pt>
                <c:pt idx="1">
                  <c:v>2.7350118096386753</c:v>
                </c:pt>
                <c:pt idx="2">
                  <c:v>2.1487411777098915</c:v>
                </c:pt>
                <c:pt idx="3">
                  <c:v>1.0597193320377662</c:v>
                </c:pt>
                <c:pt idx="4">
                  <c:v>1.5289251898865883</c:v>
                </c:pt>
                <c:pt idx="5">
                  <c:v>1.910125762584779</c:v>
                </c:pt>
                <c:pt idx="6">
                  <c:v>2.0421156609195403</c:v>
                </c:pt>
                <c:pt idx="7">
                  <c:v>1.9487441397553757</c:v>
                </c:pt>
                <c:pt idx="8">
                  <c:v>2.038117451594351</c:v>
                </c:pt>
                <c:pt idx="9">
                  <c:v>1.8562046517131745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07-E24D-9010-743067FB9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6815984"/>
        <c:axId val="1431095951"/>
      </c:barChart>
      <c:catAx>
        <c:axId val="187681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095951"/>
        <c:crosses val="autoZero"/>
        <c:auto val="1"/>
        <c:lblAlgn val="ctr"/>
        <c:lblOffset val="100"/>
        <c:noMultiLvlLbl val="0"/>
      </c:catAx>
      <c:valAx>
        <c:axId val="143109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Runtime relative to Native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_);_(* \(#,##0.0\);_(* &quot;-&quot;?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815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1859976</xdr:colOff>
      <xdr:row>0</xdr:row>
      <xdr:rowOff>50800</xdr:rowOff>
    </xdr:from>
    <xdr:to>
      <xdr:col>9</xdr:col>
      <xdr:colOff>1771076</xdr:colOff>
      <xdr:row>36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8899D-EFB8-8E4A-995C-DB77286D8F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1731433</xdr:colOff>
      <xdr:row>0</xdr:row>
      <xdr:rowOff>79375</xdr:rowOff>
    </xdr:from>
    <xdr:to>
      <xdr:col>19</xdr:col>
      <xdr:colOff>423333</xdr:colOff>
      <xdr:row>37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6BADE6-0732-C440-8F98-257F40AD20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700164</xdr:colOff>
      <xdr:row>6</xdr:row>
      <xdr:rowOff>49589</xdr:rowOff>
    </xdr:from>
    <xdr:to>
      <xdr:col>18</xdr:col>
      <xdr:colOff>789064</xdr:colOff>
      <xdr:row>43</xdr:row>
      <xdr:rowOff>55939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1292F8-67D8-FC4C-824B-269FEEBC1C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182940</xdr:colOff>
      <xdr:row>41</xdr:row>
      <xdr:rowOff>99482</xdr:rowOff>
    </xdr:from>
    <xdr:to>
      <xdr:col>21</xdr:col>
      <xdr:colOff>775002</xdr:colOff>
      <xdr:row>76</xdr:row>
      <xdr:rowOff>187173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F97879-95E8-5044-8317-25244218E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646791</xdr:colOff>
      <xdr:row>4</xdr:row>
      <xdr:rowOff>42332</xdr:rowOff>
    </xdr:from>
    <xdr:to>
      <xdr:col>19</xdr:col>
      <xdr:colOff>708476</xdr:colOff>
      <xdr:row>39</xdr:row>
      <xdr:rowOff>16932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7DA99E-0F1C-AB4E-92B6-D789A21860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1708453</xdr:colOff>
      <xdr:row>42</xdr:row>
      <xdr:rowOff>181426</xdr:rowOff>
    </xdr:from>
    <xdr:to>
      <xdr:col>23</xdr:col>
      <xdr:colOff>539752</xdr:colOff>
      <xdr:row>78</xdr:row>
      <xdr:rowOff>181426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D859AF-F730-324A-ACC6-5E0B5AF5FC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48076</xdr:colOff>
      <xdr:row>0</xdr:row>
      <xdr:rowOff>78619</xdr:rowOff>
    </xdr:from>
    <xdr:to>
      <xdr:col>26</xdr:col>
      <xdr:colOff>490761</xdr:colOff>
      <xdr:row>35</xdr:row>
      <xdr:rowOff>53219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D989EA-74B3-2241-B799-518AD541B1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565454</xdr:colOff>
      <xdr:row>46</xdr:row>
      <xdr:rowOff>18140</xdr:rowOff>
    </xdr:from>
    <xdr:to>
      <xdr:col>15</xdr:col>
      <xdr:colOff>721181</xdr:colOff>
      <xdr:row>82</xdr:row>
      <xdr:rowOff>18140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29CB1B-EF80-FA47-90F5-3611032F43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1092200</xdr:colOff>
      <xdr:row>0</xdr:row>
      <xdr:rowOff>114300</xdr:rowOff>
    </xdr:from>
    <xdr:to>
      <xdr:col>16</xdr:col>
      <xdr:colOff>622300</xdr:colOff>
      <xdr:row>31</xdr:row>
      <xdr:rowOff>203200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2B353D-09C4-7B49-988B-40B0B5C50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342900</xdr:colOff>
      <xdr:row>142</xdr:row>
      <xdr:rowOff>38100</xdr:rowOff>
    </xdr:from>
    <xdr:to>
      <xdr:col>17</xdr:col>
      <xdr:colOff>241300</xdr:colOff>
      <xdr:row>171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DACDF5-0DBF-CB61-B8E2-355C784AA6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114300</xdr:colOff>
      <xdr:row>47</xdr:row>
      <xdr:rowOff>0</xdr:rowOff>
    </xdr:from>
    <xdr:to>
      <xdr:col>19</xdr:col>
      <xdr:colOff>584200</xdr:colOff>
      <xdr:row>75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244EBD-D17B-7847-C925-BCE81AAAAA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1346200</xdr:colOff>
      <xdr:row>220</xdr:row>
      <xdr:rowOff>101600</xdr:rowOff>
    </xdr:from>
    <xdr:to>
      <xdr:col>19</xdr:col>
      <xdr:colOff>444500</xdr:colOff>
      <xdr:row>246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01BC656-47C2-079F-ED3B-3A41BD5FFB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387350</xdr:colOff>
      <xdr:row>255</xdr:row>
      <xdr:rowOff>63500</xdr:rowOff>
    </xdr:from>
    <xdr:to>
      <xdr:col>18</xdr:col>
      <xdr:colOff>965200</xdr:colOff>
      <xdr:row>280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1CF7182-E953-C0D2-4821-94CB00A6EC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884F1-82A7-984A-B124-F6A2F6399F0A}">
  <dimension ref="A1:I88"/>
  <sheetViews>
    <sheetView topLeftCell="A31" zoomScale="90" zoomScaleNormal="90" workbookViewId="0">
      <selection activeCell="A58" sqref="A45:A58"/>
    </sheetView>
  </sheetViews>
  <sheetFormatPr baseColWidth="10" defaultColWidth="21" defaultRowHeight="16" x14ac:dyDescent="0.2"/>
  <cols>
    <col min="1" max="1" width="25.83203125" bestFit="1" customWidth="1"/>
    <col min="5" max="5" width="21.6640625" bestFit="1" customWidth="1"/>
    <col min="6" max="6" width="29.83203125" bestFit="1" customWidth="1"/>
    <col min="8" max="8" width="33.1640625" bestFit="1" customWidth="1"/>
  </cols>
  <sheetData>
    <row r="1" spans="1:9" ht="18" x14ac:dyDescent="0.2">
      <c r="A1" s="9" t="s">
        <v>39</v>
      </c>
      <c r="B1" s="9" t="s">
        <v>23</v>
      </c>
      <c r="C1" s="9" t="s">
        <v>151</v>
      </c>
      <c r="D1" s="9" t="s">
        <v>40</v>
      </c>
      <c r="E1" s="9" t="s">
        <v>41</v>
      </c>
      <c r="F1" s="9" t="s">
        <v>42</v>
      </c>
      <c r="G1" s="9" t="s">
        <v>62</v>
      </c>
      <c r="H1" s="12" t="s">
        <v>63</v>
      </c>
      <c r="I1" s="12" t="s">
        <v>150</v>
      </c>
    </row>
    <row r="2" spans="1:9" ht="18" x14ac:dyDescent="0.2">
      <c r="A2" s="61" t="s">
        <v>26</v>
      </c>
      <c r="B2" s="9" t="s">
        <v>25</v>
      </c>
      <c r="C2" s="9" t="s">
        <v>61</v>
      </c>
      <c r="D2" s="9" t="s">
        <v>64</v>
      </c>
      <c r="E2" s="61" t="s">
        <v>67</v>
      </c>
      <c r="F2" s="15"/>
      <c r="G2" s="17"/>
      <c r="H2" s="14"/>
      <c r="I2" s="14"/>
    </row>
    <row r="3" spans="1:9" ht="18" x14ac:dyDescent="0.2">
      <c r="A3" s="60" t="s">
        <v>27</v>
      </c>
      <c r="B3" s="10" t="s">
        <v>25</v>
      </c>
      <c r="C3" s="9" t="s">
        <v>61</v>
      </c>
      <c r="D3" s="59" t="s">
        <v>65</v>
      </c>
      <c r="E3" s="15"/>
      <c r="F3" s="15"/>
      <c r="G3" s="17"/>
      <c r="H3" s="14"/>
      <c r="I3" s="14"/>
    </row>
    <row r="4" spans="1:9" ht="18" x14ac:dyDescent="0.2">
      <c r="A4" s="10" t="s">
        <v>28</v>
      </c>
      <c r="B4" s="10" t="s">
        <v>25</v>
      </c>
      <c r="C4" s="9" t="s">
        <v>61</v>
      </c>
      <c r="D4" s="9" t="s">
        <v>64</v>
      </c>
      <c r="E4" s="9" t="s">
        <v>64</v>
      </c>
      <c r="F4" s="9" t="s">
        <v>64</v>
      </c>
      <c r="G4" s="9" t="s">
        <v>64</v>
      </c>
      <c r="H4" s="12"/>
      <c r="I4" s="12" t="s">
        <v>61</v>
      </c>
    </row>
    <row r="5" spans="1:9" ht="18" x14ac:dyDescent="0.2">
      <c r="A5" s="54" t="s">
        <v>29</v>
      </c>
      <c r="B5" s="10" t="s">
        <v>24</v>
      </c>
      <c r="C5" s="9" t="s">
        <v>61</v>
      </c>
      <c r="D5" s="9" t="s">
        <v>64</v>
      </c>
      <c r="E5" s="9" t="s">
        <v>64</v>
      </c>
      <c r="F5" s="13"/>
      <c r="G5" s="16"/>
      <c r="H5" s="14"/>
      <c r="I5" s="14"/>
    </row>
    <row r="6" spans="1:9" ht="18" x14ac:dyDescent="0.2">
      <c r="A6" s="10" t="s">
        <v>30</v>
      </c>
      <c r="B6" s="10" t="s">
        <v>24</v>
      </c>
      <c r="C6" s="9" t="s">
        <v>61</v>
      </c>
      <c r="D6" s="9" t="s">
        <v>64</v>
      </c>
      <c r="E6" s="9" t="s">
        <v>64</v>
      </c>
      <c r="F6" s="9" t="s">
        <v>64</v>
      </c>
      <c r="G6" s="9" t="s">
        <v>64</v>
      </c>
      <c r="H6" s="12"/>
      <c r="I6" s="12" t="s">
        <v>61</v>
      </c>
    </row>
    <row r="7" spans="1:9" ht="18" x14ac:dyDescent="0.2">
      <c r="A7" s="10" t="s">
        <v>32</v>
      </c>
      <c r="B7" s="10" t="s">
        <v>25</v>
      </c>
      <c r="C7" s="9" t="s">
        <v>61</v>
      </c>
      <c r="D7" s="9" t="s">
        <v>64</v>
      </c>
      <c r="E7" s="9" t="s">
        <v>64</v>
      </c>
      <c r="F7" s="9" t="s">
        <v>64</v>
      </c>
      <c r="G7" s="9" t="s">
        <v>64</v>
      </c>
      <c r="H7" s="12"/>
      <c r="I7" s="12" t="s">
        <v>61</v>
      </c>
    </row>
    <row r="8" spans="1:9" ht="18" x14ac:dyDescent="0.2">
      <c r="A8" s="10" t="s">
        <v>33</v>
      </c>
      <c r="B8" s="10" t="s">
        <v>24</v>
      </c>
      <c r="C8" s="9" t="s">
        <v>61</v>
      </c>
      <c r="D8" s="9" t="s">
        <v>64</v>
      </c>
      <c r="E8" s="9" t="s">
        <v>64</v>
      </c>
      <c r="F8" s="9" t="s">
        <v>64</v>
      </c>
      <c r="G8" s="9" t="s">
        <v>64</v>
      </c>
      <c r="H8" s="12"/>
      <c r="I8" s="12" t="s">
        <v>61</v>
      </c>
    </row>
    <row r="9" spans="1:9" ht="18" x14ac:dyDescent="0.2">
      <c r="A9" s="10" t="s">
        <v>34</v>
      </c>
      <c r="B9" s="10" t="s">
        <v>24</v>
      </c>
      <c r="C9" s="9" t="s">
        <v>61</v>
      </c>
      <c r="D9" s="9" t="s">
        <v>64</v>
      </c>
      <c r="E9" s="9" t="s">
        <v>64</v>
      </c>
      <c r="F9" s="9" t="s">
        <v>64</v>
      </c>
      <c r="G9" s="9" t="s">
        <v>64</v>
      </c>
      <c r="H9" s="12"/>
      <c r="I9" s="12" t="s">
        <v>61</v>
      </c>
    </row>
    <row r="10" spans="1:9" ht="18" x14ac:dyDescent="0.2">
      <c r="A10" s="10" t="s">
        <v>43</v>
      </c>
      <c r="B10" s="10" t="s">
        <v>44</v>
      </c>
      <c r="C10" s="9" t="s">
        <v>153</v>
      </c>
      <c r="D10" s="9" t="s">
        <v>153</v>
      </c>
      <c r="E10" s="9" t="s">
        <v>153</v>
      </c>
      <c r="F10" s="9" t="s">
        <v>153</v>
      </c>
      <c r="G10" s="9" t="s">
        <v>153</v>
      </c>
      <c r="H10" s="9" t="s">
        <v>153</v>
      </c>
      <c r="I10" s="12" t="s">
        <v>152</v>
      </c>
    </row>
    <row r="11" spans="1:9" ht="18" x14ac:dyDescent="0.2">
      <c r="A11" s="10" t="s">
        <v>36</v>
      </c>
      <c r="B11" s="10" t="s">
        <v>25</v>
      </c>
      <c r="C11" s="9" t="s">
        <v>61</v>
      </c>
      <c r="D11" s="9" t="s">
        <v>64</v>
      </c>
      <c r="E11" s="9" t="s">
        <v>64</v>
      </c>
      <c r="F11" s="9" t="s">
        <v>64</v>
      </c>
      <c r="G11" s="9" t="s">
        <v>64</v>
      </c>
      <c r="H11" s="12"/>
      <c r="I11" s="12" t="s">
        <v>61</v>
      </c>
    </row>
    <row r="12" spans="1:9" ht="18" x14ac:dyDescent="0.2">
      <c r="A12" s="10" t="s">
        <v>45</v>
      </c>
      <c r="B12" s="10" t="s">
        <v>44</v>
      </c>
      <c r="C12" s="9" t="s">
        <v>153</v>
      </c>
      <c r="D12" s="9" t="s">
        <v>153</v>
      </c>
      <c r="E12" s="9" t="s">
        <v>153</v>
      </c>
      <c r="F12" s="9" t="s">
        <v>153</v>
      </c>
      <c r="G12" s="9" t="s">
        <v>153</v>
      </c>
      <c r="H12" s="9" t="s">
        <v>153</v>
      </c>
      <c r="I12" s="12" t="s">
        <v>152</v>
      </c>
    </row>
    <row r="13" spans="1:9" ht="18" x14ac:dyDescent="0.2">
      <c r="A13" s="10" t="s">
        <v>46</v>
      </c>
      <c r="B13" s="10" t="s">
        <v>47</v>
      </c>
      <c r="C13" s="9" t="s">
        <v>153</v>
      </c>
      <c r="D13" s="9" t="s">
        <v>153</v>
      </c>
      <c r="E13" s="9" t="s">
        <v>153</v>
      </c>
      <c r="F13" s="9" t="s">
        <v>153</v>
      </c>
      <c r="G13" s="9" t="s">
        <v>153</v>
      </c>
      <c r="H13" s="9" t="s">
        <v>153</v>
      </c>
      <c r="I13" s="12" t="s">
        <v>152</v>
      </c>
    </row>
    <row r="14" spans="1:9" ht="18" x14ac:dyDescent="0.2">
      <c r="A14" s="10" t="s">
        <v>6</v>
      </c>
      <c r="B14" s="10" t="s">
        <v>24</v>
      </c>
      <c r="C14" s="9" t="s">
        <v>61</v>
      </c>
      <c r="D14" s="9" t="s">
        <v>64</v>
      </c>
      <c r="E14" s="9" t="s">
        <v>64</v>
      </c>
      <c r="F14" s="9" t="s">
        <v>64</v>
      </c>
      <c r="G14" s="9" t="s">
        <v>64</v>
      </c>
      <c r="H14" s="12"/>
      <c r="I14" s="12" t="s">
        <v>61</v>
      </c>
    </row>
    <row r="15" spans="1:9" ht="18" x14ac:dyDescent="0.2">
      <c r="A15" s="10" t="s">
        <v>7</v>
      </c>
      <c r="B15" s="10" t="s">
        <v>24</v>
      </c>
      <c r="C15" s="9" t="s">
        <v>61</v>
      </c>
      <c r="D15" s="9" t="s">
        <v>64</v>
      </c>
      <c r="E15" s="9" t="s">
        <v>64</v>
      </c>
      <c r="F15" s="9" t="s">
        <v>64</v>
      </c>
      <c r="G15" s="9" t="s">
        <v>64</v>
      </c>
      <c r="H15" s="12"/>
      <c r="I15" s="12" t="s">
        <v>61</v>
      </c>
    </row>
    <row r="16" spans="1:9" ht="18" x14ac:dyDescent="0.2">
      <c r="A16" s="62" t="s">
        <v>8</v>
      </c>
      <c r="B16" s="10" t="s">
        <v>48</v>
      </c>
      <c r="C16" s="9" t="s">
        <v>61</v>
      </c>
      <c r="D16" s="9" t="s">
        <v>64</v>
      </c>
      <c r="E16" s="61" t="s">
        <v>67</v>
      </c>
      <c r="F16" s="13"/>
      <c r="G16" s="16"/>
      <c r="H16" s="14"/>
      <c r="I16" s="14"/>
    </row>
    <row r="17" spans="1:9" ht="18" x14ac:dyDescent="0.2">
      <c r="A17" s="10" t="s">
        <v>31</v>
      </c>
      <c r="B17" s="10" t="s">
        <v>25</v>
      </c>
      <c r="C17" s="9" t="s">
        <v>61</v>
      </c>
      <c r="D17" s="9" t="s">
        <v>64</v>
      </c>
      <c r="E17" s="9" t="s">
        <v>64</v>
      </c>
      <c r="F17" s="9" t="s">
        <v>64</v>
      </c>
      <c r="G17" s="9" t="s">
        <v>64</v>
      </c>
      <c r="H17" s="12"/>
      <c r="I17" s="12" t="s">
        <v>61</v>
      </c>
    </row>
    <row r="18" spans="1:9" ht="18" x14ac:dyDescent="0.2">
      <c r="A18" s="10" t="s">
        <v>49</v>
      </c>
      <c r="B18" s="10" t="s">
        <v>50</v>
      </c>
      <c r="C18" s="9" t="s">
        <v>153</v>
      </c>
      <c r="D18" s="9" t="s">
        <v>153</v>
      </c>
      <c r="E18" s="9" t="s">
        <v>153</v>
      </c>
      <c r="F18" s="9" t="s">
        <v>153</v>
      </c>
      <c r="G18" s="9" t="s">
        <v>153</v>
      </c>
      <c r="H18" s="9" t="s">
        <v>153</v>
      </c>
      <c r="I18" s="12" t="s">
        <v>152</v>
      </c>
    </row>
    <row r="19" spans="1:9" ht="18" x14ac:dyDescent="0.2">
      <c r="A19" s="60" t="s">
        <v>38</v>
      </c>
      <c r="B19" s="10" t="s">
        <v>48</v>
      </c>
      <c r="C19" s="9" t="s">
        <v>61</v>
      </c>
      <c r="D19" s="59" t="s">
        <v>65</v>
      </c>
      <c r="E19" s="15"/>
      <c r="F19" s="15"/>
      <c r="G19" s="17"/>
      <c r="H19" s="14"/>
      <c r="I19" s="14"/>
    </row>
    <row r="20" spans="1:9" ht="18" x14ac:dyDescent="0.2">
      <c r="A20" s="10" t="s">
        <v>51</v>
      </c>
      <c r="B20" s="10" t="s">
        <v>50</v>
      </c>
      <c r="C20" s="9" t="s">
        <v>153</v>
      </c>
      <c r="D20" s="9" t="s">
        <v>153</v>
      </c>
      <c r="E20" s="9" t="s">
        <v>153</v>
      </c>
      <c r="F20" s="9" t="s">
        <v>153</v>
      </c>
      <c r="G20" s="9" t="s">
        <v>153</v>
      </c>
      <c r="H20" s="9" t="s">
        <v>153</v>
      </c>
      <c r="I20" s="12" t="s">
        <v>152</v>
      </c>
    </row>
    <row r="21" spans="1:9" ht="18" x14ac:dyDescent="0.2">
      <c r="A21" s="55" t="s">
        <v>35</v>
      </c>
      <c r="B21" s="10" t="s">
        <v>25</v>
      </c>
      <c r="C21" s="9" t="s">
        <v>61</v>
      </c>
      <c r="D21" s="9" t="s">
        <v>64</v>
      </c>
      <c r="E21" s="61" t="s">
        <v>67</v>
      </c>
      <c r="F21" s="15"/>
      <c r="G21" s="17"/>
      <c r="H21" s="14"/>
      <c r="I21" s="14"/>
    </row>
    <row r="22" spans="1:9" ht="18" x14ac:dyDescent="0.2">
      <c r="A22" s="56" t="s">
        <v>37</v>
      </c>
      <c r="B22" s="10" t="s">
        <v>25</v>
      </c>
      <c r="C22" s="9" t="s">
        <v>61</v>
      </c>
      <c r="D22" s="9" t="s">
        <v>64</v>
      </c>
      <c r="E22" s="9" t="s">
        <v>64</v>
      </c>
      <c r="F22" s="9" t="s">
        <v>64</v>
      </c>
      <c r="G22" s="9" t="s">
        <v>64</v>
      </c>
      <c r="H22" s="14" t="s">
        <v>68</v>
      </c>
      <c r="I22" s="14"/>
    </row>
    <row r="23" spans="1:9" ht="18" x14ac:dyDescent="0.2">
      <c r="A23" s="10" t="s">
        <v>52</v>
      </c>
      <c r="B23" s="10" t="s">
        <v>44</v>
      </c>
      <c r="C23" s="9" t="s">
        <v>153</v>
      </c>
      <c r="D23" s="9" t="s">
        <v>153</v>
      </c>
      <c r="E23" s="9" t="s">
        <v>153</v>
      </c>
      <c r="F23" s="9" t="s">
        <v>153</v>
      </c>
      <c r="G23" s="9" t="s">
        <v>153</v>
      </c>
      <c r="H23" s="9" t="s">
        <v>153</v>
      </c>
      <c r="I23" s="12" t="s">
        <v>152</v>
      </c>
    </row>
    <row r="24" spans="1:9" ht="18" x14ac:dyDescent="0.2">
      <c r="A24" s="10" t="s">
        <v>53</v>
      </c>
      <c r="B24" s="10" t="s">
        <v>44</v>
      </c>
      <c r="C24" s="9" t="s">
        <v>153</v>
      </c>
      <c r="D24" s="9" t="s">
        <v>153</v>
      </c>
      <c r="E24" s="9" t="s">
        <v>153</v>
      </c>
      <c r="F24" s="9" t="s">
        <v>153</v>
      </c>
      <c r="G24" s="9" t="s">
        <v>153</v>
      </c>
      <c r="H24" s="9" t="s">
        <v>153</v>
      </c>
      <c r="I24" s="12" t="s">
        <v>152</v>
      </c>
    </row>
    <row r="25" spans="1:9" ht="18" x14ac:dyDescent="0.2">
      <c r="A25" s="62" t="s">
        <v>9</v>
      </c>
      <c r="B25" s="10" t="s">
        <v>25</v>
      </c>
      <c r="C25" s="9" t="s">
        <v>61</v>
      </c>
      <c r="D25" s="9" t="s">
        <v>64</v>
      </c>
      <c r="E25" s="61" t="s">
        <v>67</v>
      </c>
      <c r="F25" s="15"/>
      <c r="G25" s="17"/>
      <c r="H25" s="14"/>
      <c r="I25" s="14"/>
    </row>
    <row r="26" spans="1:9" ht="18" x14ac:dyDescent="0.2">
      <c r="A26" s="60" t="s">
        <v>10</v>
      </c>
      <c r="B26" s="10" t="s">
        <v>25</v>
      </c>
      <c r="C26" s="9" t="s">
        <v>61</v>
      </c>
      <c r="D26" s="59" t="s">
        <v>65</v>
      </c>
      <c r="E26" s="15"/>
      <c r="F26" s="15"/>
      <c r="G26" s="17"/>
      <c r="H26" s="14"/>
      <c r="I26" s="14"/>
    </row>
    <row r="27" spans="1:9" ht="18" x14ac:dyDescent="0.2">
      <c r="A27" s="10" t="s">
        <v>11</v>
      </c>
      <c r="B27" s="10" t="s">
        <v>25</v>
      </c>
      <c r="C27" s="9" t="s">
        <v>61</v>
      </c>
      <c r="D27" s="9" t="s">
        <v>64</v>
      </c>
      <c r="E27" s="9" t="s">
        <v>64</v>
      </c>
      <c r="F27" s="9" t="s">
        <v>64</v>
      </c>
      <c r="G27" s="9" t="s">
        <v>64</v>
      </c>
      <c r="H27" s="12"/>
      <c r="I27" s="12" t="s">
        <v>61</v>
      </c>
    </row>
    <row r="28" spans="1:9" ht="18" x14ac:dyDescent="0.2">
      <c r="A28" s="54" t="s">
        <v>14</v>
      </c>
      <c r="B28" s="10" t="s">
        <v>24</v>
      </c>
      <c r="C28" s="9" t="s">
        <v>61</v>
      </c>
      <c r="D28" s="9" t="s">
        <v>64</v>
      </c>
      <c r="E28" s="9" t="s">
        <v>64</v>
      </c>
      <c r="F28" s="13"/>
      <c r="G28" s="16"/>
      <c r="H28" s="14"/>
      <c r="I28" s="14"/>
    </row>
    <row r="29" spans="1:9" ht="18" x14ac:dyDescent="0.2">
      <c r="A29" s="10" t="s">
        <v>15</v>
      </c>
      <c r="B29" s="10" t="s">
        <v>24</v>
      </c>
      <c r="C29" s="9" t="s">
        <v>61</v>
      </c>
      <c r="D29" s="9" t="s">
        <v>64</v>
      </c>
      <c r="E29" s="9" t="s">
        <v>64</v>
      </c>
      <c r="F29" s="9" t="s">
        <v>64</v>
      </c>
      <c r="G29" s="9" t="s">
        <v>64</v>
      </c>
      <c r="H29" s="12"/>
      <c r="I29" s="12" t="s">
        <v>61</v>
      </c>
    </row>
    <row r="30" spans="1:9" ht="18" x14ac:dyDescent="0.2">
      <c r="A30" s="10" t="s">
        <v>16</v>
      </c>
      <c r="B30" s="10" t="s">
        <v>25</v>
      </c>
      <c r="C30" s="9" t="s">
        <v>61</v>
      </c>
      <c r="D30" s="9" t="s">
        <v>64</v>
      </c>
      <c r="E30" s="9" t="s">
        <v>64</v>
      </c>
      <c r="F30" s="9" t="s">
        <v>64</v>
      </c>
      <c r="G30" s="9" t="s">
        <v>64</v>
      </c>
      <c r="H30" s="12"/>
      <c r="I30" s="12" t="s">
        <v>61</v>
      </c>
    </row>
    <row r="31" spans="1:9" ht="18" x14ac:dyDescent="0.2">
      <c r="A31" s="10" t="s">
        <v>17</v>
      </c>
      <c r="B31" s="10" t="s">
        <v>24</v>
      </c>
      <c r="C31" s="9" t="s">
        <v>61</v>
      </c>
      <c r="D31" s="9" t="s">
        <v>64</v>
      </c>
      <c r="E31" s="9" t="s">
        <v>64</v>
      </c>
      <c r="F31" s="9" t="s">
        <v>64</v>
      </c>
      <c r="G31" s="9" t="s">
        <v>64</v>
      </c>
      <c r="H31" s="12"/>
      <c r="I31" s="12" t="s">
        <v>61</v>
      </c>
    </row>
    <row r="32" spans="1:9" ht="18" x14ac:dyDescent="0.2">
      <c r="A32" s="10" t="s">
        <v>19</v>
      </c>
      <c r="B32" s="10" t="s">
        <v>24</v>
      </c>
      <c r="C32" s="9" t="s">
        <v>61</v>
      </c>
      <c r="D32" s="9" t="s">
        <v>64</v>
      </c>
      <c r="E32" s="9" t="s">
        <v>64</v>
      </c>
      <c r="F32" s="9" t="s">
        <v>64</v>
      </c>
      <c r="G32" s="9" t="s">
        <v>64</v>
      </c>
      <c r="H32" s="12"/>
      <c r="I32" s="12" t="s">
        <v>61</v>
      </c>
    </row>
    <row r="33" spans="1:9" ht="18" x14ac:dyDescent="0.2">
      <c r="A33" s="10" t="s">
        <v>54</v>
      </c>
      <c r="B33" s="10" t="s">
        <v>44</v>
      </c>
      <c r="C33" s="9" t="s">
        <v>153</v>
      </c>
      <c r="D33" s="9" t="s">
        <v>153</v>
      </c>
      <c r="E33" s="9" t="s">
        <v>153</v>
      </c>
      <c r="F33" s="9" t="s">
        <v>153</v>
      </c>
      <c r="G33" s="9" t="s">
        <v>153</v>
      </c>
      <c r="H33" s="9" t="s">
        <v>153</v>
      </c>
      <c r="I33" s="12" t="s">
        <v>152</v>
      </c>
    </row>
    <row r="34" spans="1:9" ht="18" x14ac:dyDescent="0.2">
      <c r="A34" s="11" t="s">
        <v>21</v>
      </c>
      <c r="B34" s="11" t="s">
        <v>25</v>
      </c>
      <c r="C34" s="9" t="s">
        <v>61</v>
      </c>
      <c r="D34" s="9" t="s">
        <v>64</v>
      </c>
      <c r="E34" s="9" t="s">
        <v>64</v>
      </c>
      <c r="F34" s="9" t="s">
        <v>64</v>
      </c>
      <c r="G34" s="9" t="s">
        <v>64</v>
      </c>
      <c r="H34" s="12"/>
      <c r="I34" s="12" t="s">
        <v>61</v>
      </c>
    </row>
    <row r="35" spans="1:9" ht="18" x14ac:dyDescent="0.2">
      <c r="A35" s="12" t="s">
        <v>55</v>
      </c>
      <c r="B35" s="12" t="s">
        <v>44</v>
      </c>
      <c r="C35" s="9" t="s">
        <v>153</v>
      </c>
      <c r="D35" s="9" t="s">
        <v>153</v>
      </c>
      <c r="E35" s="9" t="s">
        <v>153</v>
      </c>
      <c r="F35" s="9" t="s">
        <v>153</v>
      </c>
      <c r="G35" s="9" t="s">
        <v>153</v>
      </c>
      <c r="H35" s="9" t="s">
        <v>153</v>
      </c>
      <c r="I35" s="12" t="s">
        <v>152</v>
      </c>
    </row>
    <row r="36" spans="1:9" ht="18" x14ac:dyDescent="0.2">
      <c r="A36" s="12" t="s">
        <v>12</v>
      </c>
      <c r="B36" s="12" t="s">
        <v>47</v>
      </c>
      <c r="C36" s="9" t="s">
        <v>153</v>
      </c>
      <c r="D36" s="9" t="s">
        <v>153</v>
      </c>
      <c r="E36" s="9" t="s">
        <v>153</v>
      </c>
      <c r="F36" s="9" t="s">
        <v>153</v>
      </c>
      <c r="G36" s="9" t="s">
        <v>153</v>
      </c>
      <c r="H36" s="9" t="s">
        <v>153</v>
      </c>
      <c r="I36" s="12" t="s">
        <v>152</v>
      </c>
    </row>
    <row r="37" spans="1:9" ht="18" x14ac:dyDescent="0.2">
      <c r="A37" s="12" t="s">
        <v>13</v>
      </c>
      <c r="B37" s="12" t="s">
        <v>25</v>
      </c>
      <c r="C37" s="9" t="s">
        <v>61</v>
      </c>
      <c r="D37" s="9" t="s">
        <v>64</v>
      </c>
      <c r="E37" s="9" t="s">
        <v>64</v>
      </c>
      <c r="F37" s="9" t="s">
        <v>64</v>
      </c>
      <c r="G37" s="9" t="s">
        <v>64</v>
      </c>
      <c r="H37" s="12"/>
      <c r="I37" s="12" t="s">
        <v>61</v>
      </c>
    </row>
    <row r="38" spans="1:9" ht="18" x14ac:dyDescent="0.2">
      <c r="A38" s="12" t="s">
        <v>56</v>
      </c>
      <c r="B38" s="12" t="s">
        <v>50</v>
      </c>
      <c r="C38" s="9" t="s">
        <v>153</v>
      </c>
      <c r="D38" s="9" t="s">
        <v>153</v>
      </c>
      <c r="E38" s="9" t="s">
        <v>153</v>
      </c>
      <c r="F38" s="9" t="s">
        <v>153</v>
      </c>
      <c r="G38" s="9" t="s">
        <v>153</v>
      </c>
      <c r="H38" s="9" t="s">
        <v>153</v>
      </c>
      <c r="I38" s="12" t="s">
        <v>152</v>
      </c>
    </row>
    <row r="39" spans="1:9" ht="18" x14ac:dyDescent="0.2">
      <c r="A39" s="12" t="s">
        <v>57</v>
      </c>
      <c r="B39" s="12" t="s">
        <v>50</v>
      </c>
      <c r="C39" s="9" t="s">
        <v>153</v>
      </c>
      <c r="D39" s="9" t="s">
        <v>153</v>
      </c>
      <c r="E39" s="9" t="s">
        <v>153</v>
      </c>
      <c r="F39" s="9" t="s">
        <v>153</v>
      </c>
      <c r="G39" s="9" t="s">
        <v>153</v>
      </c>
      <c r="H39" s="9" t="s">
        <v>153</v>
      </c>
      <c r="I39" s="12" t="s">
        <v>152</v>
      </c>
    </row>
    <row r="40" spans="1:9" ht="18" x14ac:dyDescent="0.2">
      <c r="A40" s="12" t="s">
        <v>58</v>
      </c>
      <c r="B40" s="12" t="s">
        <v>50</v>
      </c>
      <c r="C40" s="9" t="s">
        <v>153</v>
      </c>
      <c r="D40" s="9" t="s">
        <v>153</v>
      </c>
      <c r="E40" s="9" t="s">
        <v>153</v>
      </c>
      <c r="F40" s="9" t="s">
        <v>153</v>
      </c>
      <c r="G40" s="9" t="s">
        <v>153</v>
      </c>
      <c r="H40" s="9" t="s">
        <v>153</v>
      </c>
      <c r="I40" s="12" t="s">
        <v>152</v>
      </c>
    </row>
    <row r="41" spans="1:9" ht="18" x14ac:dyDescent="0.2">
      <c r="A41" s="63" t="s">
        <v>18</v>
      </c>
      <c r="B41" s="12" t="s">
        <v>25</v>
      </c>
      <c r="C41" s="9" t="s">
        <v>61</v>
      </c>
      <c r="D41" s="9" t="s">
        <v>64</v>
      </c>
      <c r="E41" s="61" t="s">
        <v>67</v>
      </c>
      <c r="F41" s="15"/>
      <c r="G41" s="17"/>
      <c r="H41" s="14"/>
      <c r="I41" s="14"/>
    </row>
    <row r="42" spans="1:9" ht="18" x14ac:dyDescent="0.2">
      <c r="A42" s="57" t="s">
        <v>20</v>
      </c>
      <c r="B42" s="12" t="s">
        <v>25</v>
      </c>
      <c r="C42" s="9" t="s">
        <v>61</v>
      </c>
      <c r="D42" s="9" t="s">
        <v>64</v>
      </c>
      <c r="E42" s="9" t="s">
        <v>64</v>
      </c>
      <c r="F42" s="9" t="s">
        <v>64</v>
      </c>
      <c r="G42" s="9" t="s">
        <v>64</v>
      </c>
      <c r="H42" s="14" t="s">
        <v>68</v>
      </c>
      <c r="I42" s="14"/>
    </row>
    <row r="43" spans="1:9" ht="18" x14ac:dyDescent="0.2">
      <c r="A43" s="12" t="s">
        <v>59</v>
      </c>
      <c r="B43" s="12" t="s">
        <v>44</v>
      </c>
      <c r="C43" s="9" t="s">
        <v>153</v>
      </c>
      <c r="D43" s="9" t="s">
        <v>153</v>
      </c>
      <c r="E43" s="9" t="s">
        <v>153</v>
      </c>
      <c r="F43" s="9" t="s">
        <v>153</v>
      </c>
      <c r="G43" s="9" t="s">
        <v>153</v>
      </c>
      <c r="H43" s="9" t="s">
        <v>153</v>
      </c>
      <c r="I43" s="12" t="s">
        <v>152</v>
      </c>
    </row>
    <row r="44" spans="1:9" ht="18" x14ac:dyDescent="0.2">
      <c r="A44" s="12" t="s">
        <v>60</v>
      </c>
      <c r="B44" s="12" t="s">
        <v>44</v>
      </c>
      <c r="C44" s="9" t="s">
        <v>153</v>
      </c>
      <c r="D44" s="9" t="s">
        <v>153</v>
      </c>
      <c r="E44" s="9" t="s">
        <v>153</v>
      </c>
      <c r="F44" s="9" t="s">
        <v>153</v>
      </c>
      <c r="G44" s="9" t="s">
        <v>153</v>
      </c>
      <c r="H44" s="9" t="s">
        <v>153</v>
      </c>
      <c r="I44" s="12" t="s">
        <v>152</v>
      </c>
    </row>
    <row r="45" spans="1:9" ht="18" x14ac:dyDescent="0.2">
      <c r="A45" s="12" t="s">
        <v>69</v>
      </c>
      <c r="B45" s="12"/>
      <c r="C45" s="9" t="s">
        <v>61</v>
      </c>
      <c r="D45" s="12"/>
      <c r="E45" s="12"/>
      <c r="F45" s="12"/>
      <c r="G45" s="12"/>
      <c r="H45" s="12"/>
      <c r="I45" s="12" t="s">
        <v>61</v>
      </c>
    </row>
    <row r="46" spans="1:9" ht="18" x14ac:dyDescent="0.2">
      <c r="A46" s="12" t="s">
        <v>70</v>
      </c>
      <c r="B46" s="12"/>
      <c r="C46" s="9" t="s">
        <v>61</v>
      </c>
      <c r="D46" s="12"/>
      <c r="E46" s="12"/>
      <c r="F46" s="12"/>
      <c r="G46" s="12"/>
      <c r="H46" s="12"/>
      <c r="I46" s="12" t="s">
        <v>61</v>
      </c>
    </row>
    <row r="47" spans="1:9" ht="18" x14ac:dyDescent="0.2">
      <c r="A47" s="12" t="s">
        <v>71</v>
      </c>
      <c r="B47" s="12"/>
      <c r="C47" s="9" t="s">
        <v>61</v>
      </c>
      <c r="D47" s="12"/>
      <c r="E47" s="12"/>
      <c r="F47" s="12"/>
      <c r="G47" s="12"/>
      <c r="H47" s="12"/>
      <c r="I47" s="12" t="s">
        <v>61</v>
      </c>
    </row>
    <row r="48" spans="1:9" ht="18" x14ac:dyDescent="0.2">
      <c r="A48" s="12" t="s">
        <v>72</v>
      </c>
      <c r="B48" s="12"/>
      <c r="C48" s="9" t="s">
        <v>61</v>
      </c>
      <c r="D48" s="12"/>
      <c r="E48" s="12"/>
      <c r="F48" s="12"/>
      <c r="G48" s="12"/>
      <c r="H48" s="12"/>
      <c r="I48" s="12" t="s">
        <v>61</v>
      </c>
    </row>
    <row r="49" spans="1:9" ht="18" x14ac:dyDescent="0.2">
      <c r="A49" s="12" t="s">
        <v>73</v>
      </c>
      <c r="B49" s="12"/>
      <c r="C49" s="9" t="s">
        <v>61</v>
      </c>
      <c r="D49" s="12"/>
      <c r="E49" s="12"/>
      <c r="F49" s="12"/>
      <c r="G49" s="12"/>
      <c r="H49" s="12"/>
      <c r="I49" s="12" t="s">
        <v>61</v>
      </c>
    </row>
    <row r="50" spans="1:9" ht="18" x14ac:dyDescent="0.2">
      <c r="A50" s="12" t="s">
        <v>74</v>
      </c>
      <c r="B50" s="12"/>
      <c r="C50" s="9" t="s">
        <v>61</v>
      </c>
      <c r="D50" s="12"/>
      <c r="E50" s="12"/>
      <c r="F50" s="12"/>
      <c r="G50" s="12"/>
      <c r="H50" s="12"/>
      <c r="I50" s="12" t="s">
        <v>61</v>
      </c>
    </row>
    <row r="51" spans="1:9" ht="18" x14ac:dyDescent="0.2">
      <c r="A51" s="12" t="s">
        <v>75</v>
      </c>
      <c r="B51" s="12"/>
      <c r="C51" s="9" t="s">
        <v>61</v>
      </c>
      <c r="D51" s="12"/>
      <c r="E51" s="12"/>
      <c r="F51" s="12"/>
      <c r="G51" s="12"/>
      <c r="H51" s="12"/>
      <c r="I51" s="12" t="s">
        <v>61</v>
      </c>
    </row>
    <row r="52" spans="1:9" ht="18" x14ac:dyDescent="0.2">
      <c r="A52" s="12" t="s">
        <v>76</v>
      </c>
      <c r="B52" s="12"/>
      <c r="C52" s="9" t="s">
        <v>61</v>
      </c>
      <c r="D52" s="12"/>
      <c r="E52" s="12"/>
      <c r="F52" s="12"/>
      <c r="G52" s="12"/>
      <c r="H52" s="12"/>
      <c r="I52" s="12" t="s">
        <v>61</v>
      </c>
    </row>
    <row r="53" spans="1:9" ht="18" x14ac:dyDescent="0.2">
      <c r="A53" s="12" t="s">
        <v>77</v>
      </c>
      <c r="B53" s="12"/>
      <c r="C53" s="9" t="s">
        <v>61</v>
      </c>
      <c r="D53" s="12"/>
      <c r="E53" s="12"/>
      <c r="F53" s="12"/>
      <c r="G53" s="12"/>
      <c r="H53" s="12"/>
      <c r="I53" s="12" t="s">
        <v>61</v>
      </c>
    </row>
    <row r="54" spans="1:9" ht="18" x14ac:dyDescent="0.2">
      <c r="A54" s="12" t="s">
        <v>78</v>
      </c>
      <c r="B54" s="12"/>
      <c r="C54" s="9" t="s">
        <v>61</v>
      </c>
      <c r="D54" s="12"/>
      <c r="E54" s="12"/>
      <c r="F54" s="12"/>
      <c r="G54" s="12"/>
      <c r="H54" s="12"/>
      <c r="I54" s="12" t="s">
        <v>61</v>
      </c>
    </row>
    <row r="55" spans="1:9" ht="18" x14ac:dyDescent="0.2">
      <c r="A55" s="58" t="s">
        <v>154</v>
      </c>
      <c r="B55" s="12"/>
      <c r="C55" s="9" t="s">
        <v>61</v>
      </c>
      <c r="D55" s="12" t="s">
        <v>64</v>
      </c>
      <c r="E55" s="12" t="s">
        <v>64</v>
      </c>
      <c r="F55" s="12"/>
      <c r="G55" s="12"/>
      <c r="H55" s="12"/>
      <c r="I55" s="12"/>
    </row>
    <row r="56" spans="1:9" ht="18" x14ac:dyDescent="0.2">
      <c r="A56" s="12" t="s">
        <v>155</v>
      </c>
      <c r="B56" s="12"/>
      <c r="C56" s="9" t="s">
        <v>61</v>
      </c>
      <c r="D56" s="12"/>
      <c r="E56" s="12"/>
      <c r="F56" s="12"/>
      <c r="G56" s="12"/>
      <c r="H56" s="12"/>
      <c r="I56" s="12"/>
    </row>
    <row r="57" spans="1:9" ht="18" x14ac:dyDescent="0.2">
      <c r="A57" s="12" t="s">
        <v>79</v>
      </c>
      <c r="B57" s="12"/>
      <c r="C57" s="9" t="s">
        <v>61</v>
      </c>
      <c r="D57" s="12"/>
      <c r="E57" s="12"/>
      <c r="F57" s="12"/>
      <c r="G57" s="12"/>
      <c r="H57" s="12"/>
      <c r="I57" s="12" t="s">
        <v>61</v>
      </c>
    </row>
    <row r="58" spans="1:9" ht="18" x14ac:dyDescent="0.2">
      <c r="A58" s="12" t="s">
        <v>80</v>
      </c>
      <c r="B58" s="12"/>
      <c r="C58" s="9" t="s">
        <v>61</v>
      </c>
      <c r="D58" s="12"/>
      <c r="E58" s="12"/>
      <c r="F58" s="12"/>
      <c r="G58" s="12"/>
      <c r="H58" s="12"/>
      <c r="I58" s="12" t="s">
        <v>61</v>
      </c>
    </row>
    <row r="75" spans="1:4" ht="18" x14ac:dyDescent="0.2">
      <c r="A75" s="12" t="s">
        <v>28</v>
      </c>
      <c r="B75" s="12"/>
      <c r="D75" t="s">
        <v>69</v>
      </c>
    </row>
    <row r="76" spans="1:4" ht="18" x14ac:dyDescent="0.2">
      <c r="A76" s="12" t="s">
        <v>6</v>
      </c>
      <c r="B76" s="12"/>
      <c r="D76" t="s">
        <v>70</v>
      </c>
    </row>
    <row r="77" spans="1:4" ht="18" x14ac:dyDescent="0.2">
      <c r="A77" s="12" t="s">
        <v>7</v>
      </c>
      <c r="B77" s="12"/>
      <c r="D77" t="s">
        <v>71</v>
      </c>
    </row>
    <row r="78" spans="1:4" ht="18" x14ac:dyDescent="0.2">
      <c r="A78" s="12" t="s">
        <v>31</v>
      </c>
      <c r="B78" s="12"/>
      <c r="D78" t="s">
        <v>72</v>
      </c>
    </row>
    <row r="79" spans="1:4" ht="18" x14ac:dyDescent="0.2">
      <c r="A79" s="12" t="s">
        <v>30</v>
      </c>
      <c r="B79" s="12"/>
      <c r="D79" t="s">
        <v>73</v>
      </c>
    </row>
    <row r="80" spans="1:4" ht="18" x14ac:dyDescent="0.2">
      <c r="A80" s="12" t="s">
        <v>32</v>
      </c>
      <c r="B80" s="12"/>
      <c r="D80" t="s">
        <v>74</v>
      </c>
    </row>
    <row r="81" spans="1:4" ht="18" x14ac:dyDescent="0.2">
      <c r="A81" s="12" t="s">
        <v>34</v>
      </c>
      <c r="B81" s="12"/>
      <c r="D81" t="s">
        <v>75</v>
      </c>
    </row>
    <row r="82" spans="1:4" ht="18" x14ac:dyDescent="0.2">
      <c r="A82" s="12" t="s">
        <v>36</v>
      </c>
      <c r="B82" s="12"/>
      <c r="D82" t="s">
        <v>76</v>
      </c>
    </row>
    <row r="83" spans="1:4" ht="18" x14ac:dyDescent="0.2">
      <c r="A83" s="12" t="s">
        <v>11</v>
      </c>
      <c r="B83" s="12"/>
      <c r="D83" t="s">
        <v>77</v>
      </c>
    </row>
    <row r="84" spans="1:4" ht="18" x14ac:dyDescent="0.2">
      <c r="A84" s="12" t="s">
        <v>13</v>
      </c>
      <c r="B84" s="12"/>
      <c r="D84" t="s">
        <v>78</v>
      </c>
    </row>
    <row r="85" spans="1:4" ht="18" x14ac:dyDescent="0.2">
      <c r="A85" s="12" t="s">
        <v>15</v>
      </c>
      <c r="B85" s="12"/>
      <c r="D85" t="s">
        <v>154</v>
      </c>
    </row>
    <row r="86" spans="1:4" ht="18" x14ac:dyDescent="0.2">
      <c r="A86" s="12" t="s">
        <v>16</v>
      </c>
      <c r="B86" s="12"/>
      <c r="D86" t="s">
        <v>155</v>
      </c>
    </row>
    <row r="87" spans="1:4" ht="18" x14ac:dyDescent="0.2">
      <c r="A87" s="12" t="s">
        <v>19</v>
      </c>
      <c r="B87" s="12"/>
      <c r="D87" t="s">
        <v>79</v>
      </c>
    </row>
    <row r="88" spans="1:4" ht="18" x14ac:dyDescent="0.2">
      <c r="A88" s="12" t="s">
        <v>21</v>
      </c>
      <c r="B88" s="12"/>
      <c r="D88" t="s">
        <v>80</v>
      </c>
    </row>
  </sheetData>
  <autoFilter ref="A1:I58" xr:uid="{D6D884F1-82A7-984A-B124-F6A2F6399F0A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F8609-3905-414C-9DEE-F349E5DBD3B1}">
  <dimension ref="B1:Q117"/>
  <sheetViews>
    <sheetView topLeftCell="A60" zoomScale="113" zoomScaleNormal="90" workbookViewId="0">
      <pane xSplit="3440" ySplit="1360" topLeftCell="A51" activePane="bottomRight"/>
      <selection activeCell="H65" sqref="H65"/>
      <selection pane="topRight" activeCell="E61" sqref="E61"/>
      <selection pane="bottomLeft" activeCell="B115" sqref="B115"/>
      <selection pane="bottomRight" activeCell="H65" sqref="H65"/>
    </sheetView>
  </sheetViews>
  <sheetFormatPr baseColWidth="10" defaultRowHeight="16" x14ac:dyDescent="0.2"/>
  <cols>
    <col min="1" max="1" width="3.6640625" bestFit="1" customWidth="1"/>
    <col min="2" max="2" width="17.83203125" bestFit="1" customWidth="1"/>
    <col min="3" max="3" width="19.1640625" customWidth="1"/>
    <col min="4" max="5" width="18" bestFit="1" customWidth="1"/>
    <col min="6" max="6" width="24.83203125" bestFit="1" customWidth="1"/>
    <col min="7" max="7" width="18.1640625" bestFit="1" customWidth="1"/>
    <col min="8" max="8" width="22.1640625" bestFit="1" customWidth="1"/>
    <col min="9" max="9" width="18.5" bestFit="1" customWidth="1"/>
    <col min="10" max="10" width="18.83203125" bestFit="1" customWidth="1"/>
    <col min="11" max="12" width="15.83203125" bestFit="1" customWidth="1"/>
    <col min="13" max="13" width="9" bestFit="1" customWidth="1"/>
    <col min="14" max="14" width="20.6640625" bestFit="1" customWidth="1"/>
    <col min="15" max="15" width="19.83203125" bestFit="1" customWidth="1"/>
    <col min="16" max="16" width="20" bestFit="1" customWidth="1"/>
    <col min="17" max="17" width="12.1640625" bestFit="1" customWidth="1"/>
  </cols>
  <sheetData>
    <row r="1" spans="2:17" ht="18" x14ac:dyDescent="0.2">
      <c r="E1" s="2"/>
    </row>
    <row r="2" spans="2:17" ht="18" x14ac:dyDescent="0.2">
      <c r="B2" s="8"/>
      <c r="C2" s="76" t="s">
        <v>81</v>
      </c>
      <c r="D2" s="74" t="s">
        <v>82</v>
      </c>
      <c r="E2" s="75"/>
    </row>
    <row r="3" spans="2:17" ht="18" x14ac:dyDescent="0.2">
      <c r="B3" s="8"/>
      <c r="C3" s="76"/>
      <c r="D3" s="6" t="s">
        <v>83</v>
      </c>
      <c r="E3" s="6" t="s">
        <v>84</v>
      </c>
    </row>
    <row r="4" spans="2:17" ht="18" x14ac:dyDescent="0.2">
      <c r="B4" s="2" t="s">
        <v>69</v>
      </c>
      <c r="C4" s="2">
        <v>6</v>
      </c>
      <c r="D4" s="2">
        <v>136</v>
      </c>
      <c r="E4" s="2">
        <v>272</v>
      </c>
      <c r="P4">
        <v>4208</v>
      </c>
    </row>
    <row r="5" spans="2:17" ht="18" x14ac:dyDescent="0.2">
      <c r="B5" s="2" t="s">
        <v>70</v>
      </c>
      <c r="C5" s="2">
        <v>4</v>
      </c>
      <c r="D5" s="2">
        <v>32</v>
      </c>
      <c r="E5" s="2">
        <v>64</v>
      </c>
      <c r="P5">
        <v>48</v>
      </c>
      <c r="Q5">
        <v>4256</v>
      </c>
    </row>
    <row r="6" spans="2:17" ht="18" x14ac:dyDescent="0.2">
      <c r="B6" s="2" t="s">
        <v>71</v>
      </c>
      <c r="C6" s="2">
        <v>7</v>
      </c>
      <c r="D6" s="2">
        <v>56</v>
      </c>
      <c r="E6" s="2">
        <v>112</v>
      </c>
      <c r="P6">
        <v>8560</v>
      </c>
      <c r="Q6">
        <v>8608</v>
      </c>
    </row>
    <row r="7" spans="2:17" ht="18" x14ac:dyDescent="0.2">
      <c r="B7" s="2" t="s">
        <v>72</v>
      </c>
      <c r="C7" s="2">
        <v>13</v>
      </c>
      <c r="D7" s="2">
        <v>272</v>
      </c>
      <c r="E7" s="2">
        <v>544</v>
      </c>
      <c r="P7">
        <v>48</v>
      </c>
      <c r="Q7">
        <v>2848</v>
      </c>
    </row>
    <row r="8" spans="2:17" ht="18" x14ac:dyDescent="0.2">
      <c r="B8" s="2" t="s">
        <v>73</v>
      </c>
      <c r="C8" s="2">
        <v>5</v>
      </c>
      <c r="D8" s="2">
        <v>536</v>
      </c>
      <c r="E8" s="2">
        <v>1072</v>
      </c>
      <c r="P8">
        <v>2800</v>
      </c>
      <c r="Q8">
        <v>14512</v>
      </c>
    </row>
    <row r="9" spans="2:17" ht="18" x14ac:dyDescent="0.2">
      <c r="B9" s="2" t="s">
        <v>74</v>
      </c>
      <c r="C9" s="2">
        <v>5</v>
      </c>
      <c r="D9" s="2">
        <v>536</v>
      </c>
      <c r="E9" s="2">
        <v>1072</v>
      </c>
      <c r="P9">
        <v>48</v>
      </c>
      <c r="Q9">
        <v>2480</v>
      </c>
    </row>
    <row r="10" spans="2:17" ht="18" x14ac:dyDescent="0.2">
      <c r="B10" s="2" t="s">
        <v>75</v>
      </c>
      <c r="C10" s="2">
        <v>20</v>
      </c>
      <c r="D10" s="2">
        <v>7200</v>
      </c>
      <c r="E10" s="2">
        <v>14400</v>
      </c>
      <c r="P10">
        <v>7792</v>
      </c>
      <c r="Q10">
        <v>2288</v>
      </c>
    </row>
    <row r="11" spans="2:17" ht="18" x14ac:dyDescent="0.2">
      <c r="B11" s="2" t="s">
        <v>76</v>
      </c>
      <c r="C11" s="2">
        <v>19</v>
      </c>
      <c r="D11" s="2">
        <v>6960</v>
      </c>
      <c r="E11" s="2">
        <v>13920</v>
      </c>
      <c r="P11">
        <v>6720</v>
      </c>
      <c r="Q11">
        <v>4864</v>
      </c>
    </row>
    <row r="12" spans="2:17" ht="18" x14ac:dyDescent="0.2">
      <c r="B12" s="2" t="s">
        <v>77</v>
      </c>
      <c r="C12" s="2">
        <v>5</v>
      </c>
      <c r="D12" s="2">
        <v>80</v>
      </c>
      <c r="E12" s="2">
        <v>160</v>
      </c>
      <c r="P12">
        <v>2432</v>
      </c>
      <c r="Q12">
        <v>3712</v>
      </c>
    </row>
    <row r="13" spans="2:17" ht="18" x14ac:dyDescent="0.2">
      <c r="B13" s="2" t="s">
        <v>78</v>
      </c>
      <c r="C13" s="2">
        <v>7</v>
      </c>
      <c r="D13" s="2">
        <v>120</v>
      </c>
      <c r="E13" s="2">
        <v>240</v>
      </c>
      <c r="P13">
        <v>48</v>
      </c>
      <c r="Q13">
        <v>19144</v>
      </c>
    </row>
    <row r="14" spans="2:17" ht="18" x14ac:dyDescent="0.2">
      <c r="B14" s="2" t="s">
        <v>79</v>
      </c>
      <c r="C14" s="2">
        <v>9</v>
      </c>
      <c r="D14" s="2">
        <v>160</v>
      </c>
      <c r="E14" s="2">
        <v>320</v>
      </c>
      <c r="P14">
        <v>2240</v>
      </c>
      <c r="Q14">
        <v>2352</v>
      </c>
    </row>
    <row r="15" spans="2:17" ht="18" x14ac:dyDescent="0.2">
      <c r="B15" s="2" t="s">
        <v>80</v>
      </c>
      <c r="C15" s="2">
        <v>9</v>
      </c>
      <c r="D15" s="2">
        <v>160</v>
      </c>
      <c r="E15" s="2">
        <v>320</v>
      </c>
      <c r="P15">
        <v>48</v>
      </c>
      <c r="Q15">
        <v>3344</v>
      </c>
    </row>
    <row r="16" spans="2:17" x14ac:dyDescent="0.2">
      <c r="P16">
        <v>4816</v>
      </c>
      <c r="Q16">
        <v>3552</v>
      </c>
    </row>
    <row r="21" spans="2:12" ht="38" x14ac:dyDescent="0.2">
      <c r="C21" s="19" t="s">
        <v>22</v>
      </c>
      <c r="D21" s="19" t="s">
        <v>130</v>
      </c>
      <c r="E21" s="19" t="s">
        <v>129</v>
      </c>
      <c r="F21" s="19" t="s">
        <v>131</v>
      </c>
      <c r="G21" s="19" t="s">
        <v>89</v>
      </c>
      <c r="H21" s="19" t="s">
        <v>90</v>
      </c>
      <c r="I21" s="30" t="s">
        <v>127</v>
      </c>
      <c r="J21" s="19" t="s">
        <v>125</v>
      </c>
      <c r="K21" s="19" t="s">
        <v>126</v>
      </c>
    </row>
    <row r="22" spans="2:12" ht="18" x14ac:dyDescent="0.2">
      <c r="B22" s="12" t="s">
        <v>115</v>
      </c>
      <c r="C22" s="3">
        <v>25</v>
      </c>
      <c r="D22" s="3">
        <v>137</v>
      </c>
      <c r="E22" s="3">
        <v>113</v>
      </c>
      <c r="F22" s="20">
        <f xml:space="preserve"> (E22/D22)</f>
        <v>0.82481751824817517</v>
      </c>
      <c r="G22" s="3">
        <v>48</v>
      </c>
      <c r="H22" s="3">
        <v>188</v>
      </c>
      <c r="I22" s="26">
        <v>2.6</v>
      </c>
      <c r="J22" s="3">
        <v>20604088422</v>
      </c>
      <c r="K22" s="3">
        <v>29</v>
      </c>
      <c r="L22" t="b">
        <f t="shared" ref="L22:L50" si="0">IF(F22&gt;0.75, TRUE)</f>
        <v>1</v>
      </c>
    </row>
    <row r="23" spans="2:12" ht="18" x14ac:dyDescent="0.2">
      <c r="B23" s="12" t="s">
        <v>116</v>
      </c>
      <c r="C23" s="3">
        <v>102</v>
      </c>
      <c r="D23" s="3">
        <v>2067</v>
      </c>
      <c r="E23" s="3">
        <v>1962</v>
      </c>
      <c r="F23" s="20">
        <f t="shared" ref="F23:F50" si="1" xml:space="preserve"> (E23/D23)</f>
        <v>0.94920174165457183</v>
      </c>
      <c r="G23" s="3">
        <v>66</v>
      </c>
      <c r="H23" s="3">
        <v>16077</v>
      </c>
      <c r="I23" s="26">
        <v>36</v>
      </c>
      <c r="J23" s="3">
        <v>662301863</v>
      </c>
      <c r="K23" s="3">
        <v>19</v>
      </c>
      <c r="L23" t="b">
        <f t="shared" si="0"/>
        <v>1</v>
      </c>
    </row>
    <row r="24" spans="2:12" ht="18" x14ac:dyDescent="0.2">
      <c r="B24" s="12" t="s">
        <v>117</v>
      </c>
      <c r="C24" s="3">
        <v>2226</v>
      </c>
      <c r="D24" s="3">
        <v>56033</v>
      </c>
      <c r="E24" s="3">
        <v>51337</v>
      </c>
      <c r="F24" s="20">
        <f t="shared" si="1"/>
        <v>0.91619224385629894</v>
      </c>
      <c r="G24" s="3">
        <v>6729</v>
      </c>
      <c r="H24" s="3">
        <v>65117646</v>
      </c>
      <c r="I24" s="26">
        <v>179</v>
      </c>
      <c r="J24" s="3">
        <v>4555757974</v>
      </c>
      <c r="K24" s="3">
        <v>29333</v>
      </c>
      <c r="L24" t="b">
        <f t="shared" si="0"/>
        <v>1</v>
      </c>
    </row>
    <row r="25" spans="2:12" ht="18" x14ac:dyDescent="0.2">
      <c r="B25" s="12" t="s">
        <v>118</v>
      </c>
      <c r="C25" s="3">
        <v>19</v>
      </c>
      <c r="D25" s="3">
        <v>56</v>
      </c>
      <c r="E25" s="3">
        <v>38</v>
      </c>
      <c r="F25" s="20">
        <f t="shared" si="1"/>
        <v>0.6785714285714286</v>
      </c>
      <c r="G25" s="3">
        <v>0</v>
      </c>
      <c r="H25" s="3">
        <v>70</v>
      </c>
      <c r="I25" s="26">
        <v>1.1000000000000001</v>
      </c>
      <c r="J25" s="3">
        <v>2651595</v>
      </c>
      <c r="K25" s="3">
        <v>12</v>
      </c>
      <c r="L25" t="b">
        <f t="shared" si="0"/>
        <v>0</v>
      </c>
    </row>
    <row r="26" spans="2:12" ht="18" x14ac:dyDescent="0.2">
      <c r="B26" s="58" t="s">
        <v>156</v>
      </c>
      <c r="C26" s="3">
        <v>4007</v>
      </c>
      <c r="D26" s="3">
        <v>170354</v>
      </c>
      <c r="E26" s="3">
        <v>24674</v>
      </c>
      <c r="F26" s="20">
        <f t="shared" si="1"/>
        <v>0.14483956936731746</v>
      </c>
      <c r="G26" s="3">
        <v>2977</v>
      </c>
      <c r="H26" s="3">
        <v>96429161011</v>
      </c>
      <c r="I26" s="26"/>
      <c r="J26" s="3"/>
      <c r="K26" s="3"/>
      <c r="L26" t="b">
        <f t="shared" si="0"/>
        <v>0</v>
      </c>
    </row>
    <row r="27" spans="2:12" ht="18" x14ac:dyDescent="0.2">
      <c r="B27" s="12" t="s">
        <v>119</v>
      </c>
      <c r="C27" s="64" t="s">
        <v>159</v>
      </c>
      <c r="D27" s="3">
        <v>33617</v>
      </c>
      <c r="E27" s="3">
        <v>18885</v>
      </c>
      <c r="F27" s="20">
        <f t="shared" si="1"/>
        <v>0.56176934289198921</v>
      </c>
      <c r="G27" s="3">
        <v>60</v>
      </c>
      <c r="H27" s="3">
        <v>10316506067</v>
      </c>
      <c r="I27" s="26">
        <v>70</v>
      </c>
      <c r="J27" s="3">
        <v>9984356426</v>
      </c>
      <c r="K27" s="3">
        <v>77</v>
      </c>
      <c r="L27" t="b">
        <f t="shared" si="0"/>
        <v>0</v>
      </c>
    </row>
    <row r="28" spans="2:12" ht="18" x14ac:dyDescent="0.2">
      <c r="B28" s="12" t="s">
        <v>120</v>
      </c>
      <c r="C28" s="3">
        <v>398</v>
      </c>
      <c r="D28" s="3">
        <v>21323</v>
      </c>
      <c r="E28" s="3">
        <v>20926</v>
      </c>
      <c r="F28" s="20">
        <f t="shared" si="1"/>
        <v>0.98138160671575292</v>
      </c>
      <c r="G28" s="3">
        <v>17911</v>
      </c>
      <c r="H28" s="3">
        <v>18929528</v>
      </c>
      <c r="I28" s="26">
        <v>310</v>
      </c>
      <c r="J28" s="3">
        <v>3265253366</v>
      </c>
      <c r="K28" s="3">
        <v>12</v>
      </c>
      <c r="L28" t="b">
        <f t="shared" si="0"/>
        <v>1</v>
      </c>
    </row>
    <row r="29" spans="2:12" ht="18" x14ac:dyDescent="0.2">
      <c r="B29" s="12" t="s">
        <v>121</v>
      </c>
      <c r="C29" s="3">
        <v>115</v>
      </c>
      <c r="D29" s="3">
        <v>802</v>
      </c>
      <c r="E29" s="3">
        <v>680</v>
      </c>
      <c r="F29" s="20">
        <f t="shared" si="1"/>
        <v>0.84788029925187036</v>
      </c>
      <c r="G29" s="3">
        <v>0</v>
      </c>
      <c r="H29" s="3">
        <v>4925</v>
      </c>
      <c r="I29" s="26">
        <v>11</v>
      </c>
      <c r="J29" s="3">
        <v>11536625846</v>
      </c>
      <c r="K29" s="3">
        <v>134</v>
      </c>
      <c r="L29" t="b">
        <f t="shared" si="0"/>
        <v>1</v>
      </c>
    </row>
    <row r="30" spans="2:12" ht="18" x14ac:dyDescent="0.2">
      <c r="B30" s="12" t="s">
        <v>122</v>
      </c>
      <c r="C30" s="3">
        <v>139</v>
      </c>
      <c r="D30" s="3">
        <v>1982</v>
      </c>
      <c r="E30" s="3">
        <v>1664</v>
      </c>
      <c r="F30" s="20">
        <f t="shared" si="1"/>
        <v>0.83955600403632691</v>
      </c>
      <c r="G30" s="3">
        <v>1651</v>
      </c>
      <c r="H30" s="3">
        <v>516678285489</v>
      </c>
      <c r="I30" s="26">
        <v>31</v>
      </c>
      <c r="J30" s="3"/>
      <c r="K30" s="3">
        <v>15</v>
      </c>
      <c r="L30" t="b">
        <f t="shared" si="0"/>
        <v>1</v>
      </c>
    </row>
    <row r="31" spans="2:12" ht="18" x14ac:dyDescent="0.2">
      <c r="B31" s="12" t="s">
        <v>0</v>
      </c>
      <c r="C31" s="3">
        <v>25</v>
      </c>
      <c r="D31" s="3">
        <v>137</v>
      </c>
      <c r="E31" s="3">
        <v>113</v>
      </c>
      <c r="F31" s="20">
        <f t="shared" si="1"/>
        <v>0.82481751824817517</v>
      </c>
      <c r="G31" s="3">
        <v>48</v>
      </c>
      <c r="H31" s="3">
        <v>188</v>
      </c>
      <c r="I31" s="26">
        <v>2.6</v>
      </c>
      <c r="J31" s="3"/>
      <c r="K31" s="3">
        <v>34</v>
      </c>
      <c r="L31" t="b">
        <f t="shared" si="0"/>
        <v>1</v>
      </c>
    </row>
    <row r="32" spans="2:12" ht="18" x14ac:dyDescent="0.2">
      <c r="B32" s="12" t="s">
        <v>1</v>
      </c>
      <c r="C32" s="3">
        <v>25</v>
      </c>
      <c r="D32" s="3">
        <v>72</v>
      </c>
      <c r="E32" s="3">
        <v>44</v>
      </c>
      <c r="F32" s="20">
        <f t="shared" si="1"/>
        <v>0.61111111111111116</v>
      </c>
      <c r="G32" s="3">
        <v>0</v>
      </c>
      <c r="H32" s="3">
        <v>74</v>
      </c>
      <c r="I32" s="26">
        <v>1.2</v>
      </c>
      <c r="J32" s="3"/>
      <c r="K32" s="3">
        <v>39</v>
      </c>
      <c r="L32" t="b">
        <f t="shared" si="0"/>
        <v>0</v>
      </c>
    </row>
    <row r="33" spans="2:12" ht="18" x14ac:dyDescent="0.2">
      <c r="B33" s="58" t="s">
        <v>157</v>
      </c>
      <c r="C33" s="3">
        <v>4007</v>
      </c>
      <c r="D33" s="3">
        <v>170354</v>
      </c>
      <c r="E33" s="3">
        <v>24399</v>
      </c>
      <c r="F33" s="20">
        <f t="shared" si="1"/>
        <v>0.14322528382074973</v>
      </c>
      <c r="G33" s="3">
        <v>2977</v>
      </c>
      <c r="H33" s="3">
        <v>4484946004759</v>
      </c>
      <c r="I33" s="26"/>
      <c r="J33" s="3"/>
      <c r="K33" s="3"/>
    </row>
    <row r="34" spans="2:12" ht="18" x14ac:dyDescent="0.2">
      <c r="B34" s="12" t="s">
        <v>2</v>
      </c>
      <c r="C34" s="3">
        <v>5444</v>
      </c>
      <c r="D34" s="3">
        <v>33617</v>
      </c>
      <c r="E34" s="3">
        <v>19288</v>
      </c>
      <c r="F34" s="20">
        <f t="shared" si="1"/>
        <v>0.57375732516286404</v>
      </c>
      <c r="G34" s="3">
        <v>60</v>
      </c>
      <c r="H34" s="3">
        <v>69077904007</v>
      </c>
      <c r="I34" s="26">
        <v>70</v>
      </c>
      <c r="J34" s="3"/>
      <c r="K34" s="3">
        <v>76</v>
      </c>
      <c r="L34" t="b">
        <f t="shared" si="0"/>
        <v>0</v>
      </c>
    </row>
    <row r="35" spans="2:12" ht="18" x14ac:dyDescent="0.2">
      <c r="B35" s="12" t="s">
        <v>3</v>
      </c>
      <c r="C35" s="3">
        <v>398</v>
      </c>
      <c r="D35" s="3">
        <v>21323</v>
      </c>
      <c r="E35" s="3">
        <v>20926</v>
      </c>
      <c r="F35" s="20">
        <f t="shared" si="1"/>
        <v>0.98138160671575292</v>
      </c>
      <c r="G35" s="3">
        <v>17911</v>
      </c>
      <c r="H35" s="3">
        <v>18929528</v>
      </c>
      <c r="I35" s="26">
        <v>310</v>
      </c>
      <c r="J35" s="3"/>
      <c r="K35" s="3">
        <v>12</v>
      </c>
      <c r="L35" t="b">
        <f t="shared" si="0"/>
        <v>1</v>
      </c>
    </row>
    <row r="36" spans="2:12" ht="18" x14ac:dyDescent="0.2">
      <c r="B36" s="12" t="s">
        <v>4</v>
      </c>
      <c r="C36" s="3">
        <v>115</v>
      </c>
      <c r="D36" s="3">
        <v>802</v>
      </c>
      <c r="E36" s="3">
        <v>680</v>
      </c>
      <c r="F36" s="20">
        <f t="shared" si="1"/>
        <v>0.84788029925187036</v>
      </c>
      <c r="G36" s="3">
        <v>0</v>
      </c>
      <c r="H36" s="3">
        <v>4925</v>
      </c>
      <c r="I36" s="26">
        <v>11</v>
      </c>
      <c r="J36" s="3"/>
      <c r="K36" s="3">
        <v>134</v>
      </c>
      <c r="L36" t="b">
        <f t="shared" si="0"/>
        <v>1</v>
      </c>
    </row>
    <row r="37" spans="2:12" ht="18" x14ac:dyDescent="0.2">
      <c r="B37" s="12" t="s">
        <v>5</v>
      </c>
      <c r="C37" s="3">
        <v>151</v>
      </c>
      <c r="D37" s="3">
        <v>2042</v>
      </c>
      <c r="E37" s="3">
        <v>1672</v>
      </c>
      <c r="F37" s="20">
        <f t="shared" si="1"/>
        <v>0.81880509304603333</v>
      </c>
      <c r="G37" s="3">
        <v>1561</v>
      </c>
      <c r="H37" s="3">
        <v>304699440136</v>
      </c>
      <c r="I37" s="26">
        <v>31</v>
      </c>
      <c r="J37" s="3"/>
      <c r="K37" s="3">
        <v>42</v>
      </c>
      <c r="L37" t="b">
        <f t="shared" si="0"/>
        <v>1</v>
      </c>
    </row>
    <row r="38" spans="2:12" ht="18" x14ac:dyDescent="0.2">
      <c r="B38" s="2" t="s">
        <v>91</v>
      </c>
      <c r="C38" s="3">
        <v>73</v>
      </c>
      <c r="D38" s="3">
        <v>270</v>
      </c>
      <c r="E38" s="3">
        <v>198</v>
      </c>
      <c r="F38" s="20">
        <f t="shared" si="1"/>
        <v>0.73333333333333328</v>
      </c>
      <c r="G38" s="3">
        <v>0</v>
      </c>
      <c r="H38" s="3">
        <v>495</v>
      </c>
      <c r="I38" s="26">
        <v>5.4</v>
      </c>
      <c r="J38" s="3">
        <v>32342202</v>
      </c>
      <c r="K38" s="3">
        <v>17</v>
      </c>
      <c r="L38" t="b">
        <f t="shared" si="0"/>
        <v>0</v>
      </c>
    </row>
    <row r="39" spans="2:12" ht="18" x14ac:dyDescent="0.2">
      <c r="B39" s="2" t="s">
        <v>92</v>
      </c>
      <c r="C39" s="3">
        <v>155</v>
      </c>
      <c r="D39" s="3">
        <v>544</v>
      </c>
      <c r="E39" s="3">
        <v>390</v>
      </c>
      <c r="F39" s="20">
        <f t="shared" si="1"/>
        <v>0.71691176470588236</v>
      </c>
      <c r="G39" s="3">
        <v>0</v>
      </c>
      <c r="H39" s="3">
        <v>4835</v>
      </c>
      <c r="I39" s="26">
        <v>11</v>
      </c>
      <c r="J39" s="3">
        <v>2036518</v>
      </c>
      <c r="K39" s="3">
        <v>1783</v>
      </c>
      <c r="L39" t="b">
        <f t="shared" si="0"/>
        <v>0</v>
      </c>
    </row>
    <row r="40" spans="2:12" ht="18" x14ac:dyDescent="0.2">
      <c r="B40" s="2" t="s">
        <v>93</v>
      </c>
      <c r="C40" s="3">
        <v>39</v>
      </c>
      <c r="D40" s="3">
        <v>201</v>
      </c>
      <c r="E40" s="3">
        <v>163</v>
      </c>
      <c r="F40" s="20">
        <f t="shared" si="1"/>
        <v>0.81094527363184077</v>
      </c>
      <c r="G40" s="3">
        <v>0</v>
      </c>
      <c r="H40" s="3">
        <v>421</v>
      </c>
      <c r="I40" s="26">
        <v>4.2</v>
      </c>
      <c r="J40" s="3">
        <v>2684481412</v>
      </c>
      <c r="K40" s="3">
        <v>13</v>
      </c>
      <c r="L40" t="b">
        <f t="shared" si="0"/>
        <v>1</v>
      </c>
    </row>
    <row r="41" spans="2:12" ht="18" x14ac:dyDescent="0.2">
      <c r="B41" s="2" t="s">
        <v>94</v>
      </c>
      <c r="C41" s="3">
        <v>115</v>
      </c>
      <c r="D41" s="3">
        <v>562</v>
      </c>
      <c r="E41" s="3">
        <v>446</v>
      </c>
      <c r="F41" s="20">
        <f t="shared" si="1"/>
        <v>0.79359430604982206</v>
      </c>
      <c r="G41" s="3">
        <v>38</v>
      </c>
      <c r="H41" s="3">
        <v>14513</v>
      </c>
      <c r="I41" s="26">
        <v>12</v>
      </c>
      <c r="J41" s="3">
        <v>4142726</v>
      </c>
      <c r="K41" s="3">
        <v>18</v>
      </c>
      <c r="L41" t="b">
        <f t="shared" si="0"/>
        <v>1</v>
      </c>
    </row>
    <row r="42" spans="2:12" ht="18" x14ac:dyDescent="0.2">
      <c r="B42" s="2" t="s">
        <v>95</v>
      </c>
      <c r="C42" s="3">
        <v>39</v>
      </c>
      <c r="D42" s="3">
        <v>170</v>
      </c>
      <c r="E42" s="3">
        <v>132</v>
      </c>
      <c r="F42" s="20">
        <f t="shared" si="1"/>
        <v>0.77647058823529413</v>
      </c>
      <c r="G42" s="3">
        <v>0</v>
      </c>
      <c r="H42" s="3">
        <v>241</v>
      </c>
      <c r="I42" s="26">
        <v>3.7</v>
      </c>
      <c r="J42" s="3">
        <v>1503084843</v>
      </c>
      <c r="K42" s="3">
        <v>13</v>
      </c>
      <c r="L42" t="b">
        <f t="shared" si="0"/>
        <v>1</v>
      </c>
    </row>
    <row r="43" spans="2:12" ht="18" x14ac:dyDescent="0.2">
      <c r="B43" s="2" t="s">
        <v>96</v>
      </c>
      <c r="C43" s="3">
        <v>36</v>
      </c>
      <c r="D43" s="3">
        <v>158</v>
      </c>
      <c r="E43" s="3">
        <v>123</v>
      </c>
      <c r="F43" s="20">
        <f t="shared" si="1"/>
        <v>0.77848101265822789</v>
      </c>
      <c r="G43" s="3">
        <v>0</v>
      </c>
      <c r="H43" s="3">
        <v>228</v>
      </c>
      <c r="I43" s="26">
        <v>3.4</v>
      </c>
      <c r="J43" s="3">
        <v>1502953667</v>
      </c>
      <c r="K43" s="3">
        <v>13</v>
      </c>
      <c r="L43" t="b">
        <f t="shared" si="0"/>
        <v>1</v>
      </c>
    </row>
    <row r="44" spans="2:12" ht="18" x14ac:dyDescent="0.2">
      <c r="B44" s="2" t="s">
        <v>97</v>
      </c>
      <c r="C44" s="3">
        <v>43</v>
      </c>
      <c r="D44" s="3">
        <v>379</v>
      </c>
      <c r="E44" s="3">
        <v>337</v>
      </c>
      <c r="F44" s="20">
        <f t="shared" si="1"/>
        <v>0.8891820580474934</v>
      </c>
      <c r="G44" s="3">
        <v>0</v>
      </c>
      <c r="H44" s="3">
        <v>732</v>
      </c>
      <c r="I44" s="26">
        <v>8.1</v>
      </c>
      <c r="J44" s="3">
        <v>16827390</v>
      </c>
      <c r="K44" s="3">
        <v>13</v>
      </c>
      <c r="L44" t="b">
        <f t="shared" si="0"/>
        <v>1</v>
      </c>
    </row>
    <row r="45" spans="2:12" ht="18" x14ac:dyDescent="0.2">
      <c r="B45" s="2" t="s">
        <v>98</v>
      </c>
      <c r="C45" s="3">
        <v>35</v>
      </c>
      <c r="D45" s="3">
        <v>303</v>
      </c>
      <c r="E45" s="3">
        <v>269</v>
      </c>
      <c r="F45" s="20">
        <f t="shared" si="1"/>
        <v>0.88778877887788776</v>
      </c>
      <c r="G45" s="3">
        <v>0</v>
      </c>
      <c r="H45" s="3">
        <v>603</v>
      </c>
      <c r="I45" s="26">
        <v>6.5</v>
      </c>
      <c r="J45" s="3">
        <v>56543</v>
      </c>
      <c r="K45" s="3">
        <v>13</v>
      </c>
      <c r="L45" t="b">
        <f t="shared" si="0"/>
        <v>1</v>
      </c>
    </row>
    <row r="46" spans="2:12" ht="18" x14ac:dyDescent="0.2">
      <c r="B46" s="2" t="s">
        <v>99</v>
      </c>
      <c r="C46" s="3">
        <v>205</v>
      </c>
      <c r="D46" s="3">
        <v>845</v>
      </c>
      <c r="E46" s="3">
        <v>534</v>
      </c>
      <c r="F46" s="20">
        <f t="shared" si="1"/>
        <v>0.63195266272189354</v>
      </c>
      <c r="G46" s="3">
        <v>16</v>
      </c>
      <c r="H46" s="3">
        <v>315116</v>
      </c>
      <c r="I46" s="26">
        <v>13</v>
      </c>
      <c r="J46" s="3">
        <v>43807206</v>
      </c>
      <c r="K46" s="3">
        <v>69</v>
      </c>
      <c r="L46" t="b">
        <f t="shared" si="0"/>
        <v>0</v>
      </c>
    </row>
    <row r="47" spans="2:12" ht="18" x14ac:dyDescent="0.2">
      <c r="B47" s="2" t="s">
        <v>100</v>
      </c>
      <c r="C47" s="3">
        <v>30</v>
      </c>
      <c r="D47" s="3">
        <v>170</v>
      </c>
      <c r="E47" s="3">
        <v>141</v>
      </c>
      <c r="F47" s="20">
        <f t="shared" si="1"/>
        <v>0.8294117647058824</v>
      </c>
      <c r="G47" s="3">
        <v>0</v>
      </c>
      <c r="H47" s="3">
        <v>239</v>
      </c>
      <c r="I47" s="26">
        <v>3.7</v>
      </c>
      <c r="J47" s="3">
        <v>368206583</v>
      </c>
      <c r="K47" s="3">
        <v>13</v>
      </c>
      <c r="L47" t="b">
        <f t="shared" si="0"/>
        <v>1</v>
      </c>
    </row>
    <row r="48" spans="2:12" ht="18" x14ac:dyDescent="0.2">
      <c r="B48" s="4" t="s">
        <v>158</v>
      </c>
      <c r="C48" s="3">
        <v>143</v>
      </c>
      <c r="D48" s="3">
        <v>659</v>
      </c>
      <c r="E48" s="3">
        <v>515</v>
      </c>
      <c r="F48" s="20">
        <f t="shared" si="1"/>
        <v>0.78148710166919577</v>
      </c>
      <c r="G48" s="3">
        <v>90</v>
      </c>
      <c r="H48" s="3">
        <v>2450</v>
      </c>
      <c r="I48" s="26"/>
      <c r="J48" s="3"/>
      <c r="K48" s="3"/>
      <c r="L48" t="b">
        <f t="shared" si="0"/>
        <v>1</v>
      </c>
    </row>
    <row r="49" spans="2:12" ht="18" x14ac:dyDescent="0.2">
      <c r="B49" s="2" t="s">
        <v>101</v>
      </c>
      <c r="C49" s="3">
        <v>42</v>
      </c>
      <c r="D49" s="3">
        <v>239</v>
      </c>
      <c r="E49" s="3">
        <v>198</v>
      </c>
      <c r="F49" s="20">
        <f t="shared" si="1"/>
        <v>0.82845188284518834</v>
      </c>
      <c r="G49" s="3">
        <v>0</v>
      </c>
      <c r="H49" s="3">
        <v>434</v>
      </c>
      <c r="I49" s="26">
        <v>4.8</v>
      </c>
      <c r="J49" s="3">
        <v>161904699</v>
      </c>
      <c r="K49" s="3">
        <v>13</v>
      </c>
      <c r="L49" t="b">
        <f t="shared" si="0"/>
        <v>1</v>
      </c>
    </row>
    <row r="50" spans="2:12" ht="18" x14ac:dyDescent="0.2">
      <c r="B50" s="2" t="s">
        <v>102</v>
      </c>
      <c r="C50" s="3">
        <v>42</v>
      </c>
      <c r="D50" s="3">
        <v>252</v>
      </c>
      <c r="E50" s="3">
        <v>211</v>
      </c>
      <c r="F50" s="20">
        <f t="shared" si="1"/>
        <v>0.83730158730158732</v>
      </c>
      <c r="G50" s="3">
        <v>0</v>
      </c>
      <c r="H50" s="3">
        <v>437</v>
      </c>
      <c r="I50" s="26">
        <v>5.0999999999999996</v>
      </c>
      <c r="J50" s="3">
        <v>27427576</v>
      </c>
      <c r="K50" s="3">
        <v>13</v>
      </c>
      <c r="L50" t="b">
        <f t="shared" si="0"/>
        <v>1</v>
      </c>
    </row>
    <row r="58" spans="2:12" ht="38" x14ac:dyDescent="0.2">
      <c r="C58" s="30" t="s">
        <v>127</v>
      </c>
      <c r="D58" s="30" t="s">
        <v>135</v>
      </c>
      <c r="E58" s="30" t="s">
        <v>134</v>
      </c>
      <c r="F58" s="30" t="s">
        <v>133</v>
      </c>
      <c r="G58" s="30" t="s">
        <v>132</v>
      </c>
    </row>
    <row r="59" spans="2:12" ht="18" x14ac:dyDescent="0.2">
      <c r="B59" s="12" t="s">
        <v>115</v>
      </c>
      <c r="C59" s="26">
        <v>2.6</v>
      </c>
      <c r="D59" s="32">
        <v>1.28125</v>
      </c>
      <c r="E59" s="32">
        <v>27</v>
      </c>
      <c r="F59" s="3">
        <v>5</v>
      </c>
      <c r="G59" s="33">
        <v>4.0099999999999999E-4</v>
      </c>
    </row>
    <row r="60" spans="2:12" ht="18" x14ac:dyDescent="0.2">
      <c r="B60" s="12" t="s">
        <v>116</v>
      </c>
      <c r="C60" s="26">
        <v>36</v>
      </c>
      <c r="D60" s="32">
        <v>25.078125</v>
      </c>
      <c r="E60" s="32">
        <v>18.5625</v>
      </c>
      <c r="F60" s="3">
        <v>32</v>
      </c>
      <c r="G60" s="33">
        <v>4.1199999999999999E-4</v>
      </c>
    </row>
    <row r="61" spans="2:12" ht="18" x14ac:dyDescent="0.2">
      <c r="B61" s="12" t="s">
        <v>117</v>
      </c>
      <c r="C61" s="26">
        <v>179</v>
      </c>
      <c r="D61" s="32">
        <v>65.765625</v>
      </c>
      <c r="E61" s="32">
        <v>11630.25</v>
      </c>
      <c r="F61" s="3">
        <v>127</v>
      </c>
      <c r="G61" s="33">
        <v>3.79E-4</v>
      </c>
    </row>
    <row r="62" spans="2:12" ht="18" x14ac:dyDescent="0.2">
      <c r="B62" s="12" t="s">
        <v>118</v>
      </c>
      <c r="C62" s="26">
        <v>1.1000000000000001</v>
      </c>
      <c r="D62" s="32">
        <v>0.734375</v>
      </c>
      <c r="E62" s="32">
        <v>0</v>
      </c>
      <c r="F62" s="3">
        <v>9</v>
      </c>
      <c r="G62" s="33">
        <v>3.8400000000000001E-4</v>
      </c>
    </row>
    <row r="63" spans="2:12" ht="18" x14ac:dyDescent="0.2">
      <c r="B63" s="58" t="s">
        <v>156</v>
      </c>
      <c r="C63" s="26"/>
      <c r="D63" s="32"/>
      <c r="E63" s="32"/>
      <c r="F63" s="3"/>
      <c r="G63" s="33"/>
    </row>
    <row r="64" spans="2:12" ht="18" x14ac:dyDescent="0.2">
      <c r="B64" s="12" t="s">
        <v>119</v>
      </c>
      <c r="C64" s="26">
        <v>70</v>
      </c>
      <c r="D64" s="32">
        <v>48.1875</v>
      </c>
      <c r="E64" s="32">
        <v>4.21875</v>
      </c>
      <c r="F64" s="3">
        <v>76</v>
      </c>
      <c r="G64" s="33">
        <v>3.79E-4</v>
      </c>
    </row>
    <row r="65" spans="2:7" ht="18" x14ac:dyDescent="0.2">
      <c r="B65" s="12" t="s">
        <v>120</v>
      </c>
      <c r="C65" s="26">
        <v>310</v>
      </c>
      <c r="D65" s="32">
        <v>46.296875</v>
      </c>
      <c r="E65" s="32">
        <v>291385.0078125</v>
      </c>
      <c r="F65" s="3">
        <v>107</v>
      </c>
      <c r="G65" s="33">
        <v>4.08E-4</v>
      </c>
    </row>
    <row r="66" spans="2:7" ht="18" x14ac:dyDescent="0.2">
      <c r="B66" s="12" t="s">
        <v>121</v>
      </c>
      <c r="C66" s="26">
        <v>11</v>
      </c>
      <c r="D66" s="32">
        <v>7.390625</v>
      </c>
      <c r="E66" s="32">
        <v>0</v>
      </c>
      <c r="F66" s="3">
        <v>14</v>
      </c>
      <c r="G66" s="33">
        <v>3.8099999999999999E-4</v>
      </c>
    </row>
    <row r="67" spans="2:7" ht="18" x14ac:dyDescent="0.2">
      <c r="B67" s="12" t="s">
        <v>122</v>
      </c>
      <c r="C67" s="26">
        <v>31</v>
      </c>
      <c r="D67" s="32">
        <v>4.734375</v>
      </c>
      <c r="E67" s="32">
        <v>2877.1875</v>
      </c>
      <c r="F67" s="3">
        <v>28</v>
      </c>
      <c r="G67" s="33">
        <v>3.9100000000000002E-4</v>
      </c>
    </row>
    <row r="68" spans="2:7" ht="18" x14ac:dyDescent="0.2">
      <c r="B68" s="12" t="s">
        <v>0</v>
      </c>
      <c r="C68" s="26">
        <v>2.6</v>
      </c>
      <c r="D68" s="32">
        <v>1.28125</v>
      </c>
      <c r="E68" s="32">
        <v>27</v>
      </c>
      <c r="F68" s="3">
        <v>7</v>
      </c>
      <c r="G68" s="33">
        <v>4.0099999999999999E-4</v>
      </c>
    </row>
    <row r="69" spans="2:7" ht="18" x14ac:dyDescent="0.2">
      <c r="B69" s="12" t="s">
        <v>1</v>
      </c>
      <c r="C69" s="26">
        <v>1.2</v>
      </c>
      <c r="D69" s="32">
        <v>0.796875</v>
      </c>
      <c r="E69" s="32">
        <v>0</v>
      </c>
      <c r="F69" s="3">
        <v>7</v>
      </c>
      <c r="G69" s="33">
        <v>6.0099999999999997E-4</v>
      </c>
    </row>
    <row r="70" spans="2:7" ht="18" x14ac:dyDescent="0.2">
      <c r="B70" s="58" t="s">
        <v>157</v>
      </c>
      <c r="C70" s="26"/>
      <c r="D70" s="32"/>
      <c r="E70" s="32"/>
      <c r="F70" s="3"/>
      <c r="G70" s="33"/>
    </row>
    <row r="71" spans="2:7" ht="18" x14ac:dyDescent="0.2">
      <c r="B71" s="12" t="s">
        <v>2</v>
      </c>
      <c r="C71" s="26">
        <v>70</v>
      </c>
      <c r="D71" s="32">
        <v>48.1875</v>
      </c>
      <c r="E71" s="32">
        <v>4.21875</v>
      </c>
      <c r="F71" s="3">
        <v>61</v>
      </c>
      <c r="G71" s="33">
        <v>3.7800000000000003E-4</v>
      </c>
    </row>
    <row r="72" spans="2:7" ht="18" x14ac:dyDescent="0.2">
      <c r="B72" s="12" t="s">
        <v>3</v>
      </c>
      <c r="C72" s="26">
        <v>310</v>
      </c>
      <c r="D72" s="32">
        <v>46.296875</v>
      </c>
      <c r="E72" s="32">
        <v>291385.0078125</v>
      </c>
      <c r="F72" s="3">
        <v>100</v>
      </c>
      <c r="G72" s="33">
        <v>4.08E-4</v>
      </c>
    </row>
    <row r="73" spans="2:7" ht="18" x14ac:dyDescent="0.2">
      <c r="B73" s="12" t="s">
        <v>4</v>
      </c>
      <c r="C73" s="26">
        <v>11</v>
      </c>
      <c r="D73" s="32">
        <v>7.390625</v>
      </c>
      <c r="E73" s="32">
        <v>0</v>
      </c>
      <c r="F73" s="3">
        <v>16</v>
      </c>
      <c r="G73" s="33">
        <v>3.8200000000000002E-4</v>
      </c>
    </row>
    <row r="74" spans="2:7" ht="18" x14ac:dyDescent="0.2">
      <c r="B74" s="12" t="s">
        <v>5</v>
      </c>
      <c r="C74" s="26">
        <v>31</v>
      </c>
      <c r="D74" s="32">
        <v>4.84375</v>
      </c>
      <c r="E74" s="32">
        <v>2621.71875</v>
      </c>
      <c r="F74" s="3">
        <v>23</v>
      </c>
      <c r="G74" s="33">
        <v>5.7200000000000003E-4</v>
      </c>
    </row>
    <row r="75" spans="2:7" ht="18" x14ac:dyDescent="0.2">
      <c r="B75" s="2" t="s">
        <v>91</v>
      </c>
      <c r="C75" s="26">
        <v>5.4</v>
      </c>
      <c r="D75" s="32">
        <v>3.90625</v>
      </c>
      <c r="E75" s="32">
        <v>4.6875E-2</v>
      </c>
      <c r="F75" s="3">
        <v>3</v>
      </c>
      <c r="G75" s="33">
        <v>3.9300000000000001E-4</v>
      </c>
    </row>
    <row r="76" spans="2:7" ht="18" x14ac:dyDescent="0.2">
      <c r="B76" s="2" t="s">
        <v>92</v>
      </c>
      <c r="C76" s="26">
        <v>11</v>
      </c>
      <c r="D76" s="32">
        <v>7.90625</v>
      </c>
      <c r="E76" s="32">
        <v>4.6875E-2</v>
      </c>
      <c r="F76" s="3">
        <v>16</v>
      </c>
      <c r="G76" s="33">
        <v>3.7199999999999999E-4</v>
      </c>
    </row>
    <row r="77" spans="2:7" ht="18" x14ac:dyDescent="0.2">
      <c r="B77" s="2" t="s">
        <v>93</v>
      </c>
      <c r="C77" s="26">
        <v>4.2</v>
      </c>
      <c r="D77" s="32">
        <v>2.921875</v>
      </c>
      <c r="E77" s="32">
        <v>4.6875E-2</v>
      </c>
      <c r="F77" s="3">
        <v>23</v>
      </c>
      <c r="G77" s="33">
        <v>3.8000000000000002E-4</v>
      </c>
    </row>
    <row r="78" spans="2:7" ht="18" x14ac:dyDescent="0.2">
      <c r="B78" s="2" t="s">
        <v>94</v>
      </c>
      <c r="C78" s="26">
        <v>12</v>
      </c>
      <c r="D78" s="32">
        <v>7.71875</v>
      </c>
      <c r="E78" s="32">
        <v>6.5625</v>
      </c>
      <c r="F78" s="3">
        <v>9</v>
      </c>
      <c r="G78" s="33">
        <v>3.7800000000000003E-4</v>
      </c>
    </row>
    <row r="79" spans="2:7" ht="18" x14ac:dyDescent="0.2">
      <c r="B79" s="2" t="s">
        <v>95</v>
      </c>
      <c r="C79" s="26">
        <v>3.7</v>
      </c>
      <c r="D79" s="32">
        <v>2.59375</v>
      </c>
      <c r="E79" s="32">
        <v>4.6875E-2</v>
      </c>
      <c r="F79" s="3">
        <v>6</v>
      </c>
      <c r="G79" s="33">
        <v>4.1599999999999997E-4</v>
      </c>
    </row>
    <row r="80" spans="2:7" ht="18" x14ac:dyDescent="0.2">
      <c r="B80" s="2" t="s">
        <v>96</v>
      </c>
      <c r="C80" s="26">
        <v>3.4</v>
      </c>
      <c r="D80" s="32">
        <v>2.390625</v>
      </c>
      <c r="E80" s="32">
        <v>4.6875E-2</v>
      </c>
      <c r="F80" s="3">
        <v>11</v>
      </c>
      <c r="G80" s="33">
        <v>3.9300000000000001E-4</v>
      </c>
    </row>
    <row r="81" spans="2:7" ht="18" x14ac:dyDescent="0.2">
      <c r="B81" s="2" t="s">
        <v>97</v>
      </c>
      <c r="C81" s="26">
        <v>8.1</v>
      </c>
      <c r="D81" s="32">
        <v>5.75</v>
      </c>
      <c r="E81" s="32">
        <v>4.6875E-2</v>
      </c>
      <c r="F81" s="3">
        <v>10</v>
      </c>
      <c r="G81" s="33">
        <v>4.2900000000000002E-4</v>
      </c>
    </row>
    <row r="82" spans="2:7" ht="18" x14ac:dyDescent="0.2">
      <c r="B82" s="2" t="s">
        <v>98</v>
      </c>
      <c r="C82" s="26">
        <v>6.5</v>
      </c>
      <c r="D82" s="32">
        <v>4.5625</v>
      </c>
      <c r="E82" s="32">
        <v>4.6875E-2</v>
      </c>
      <c r="F82" s="3">
        <v>22</v>
      </c>
      <c r="G82" s="33">
        <v>5.4900000000000001E-4</v>
      </c>
    </row>
    <row r="83" spans="2:7" ht="18" x14ac:dyDescent="0.2">
      <c r="B83" s="2" t="s">
        <v>99</v>
      </c>
      <c r="C83" s="26">
        <v>13</v>
      </c>
      <c r="D83" s="32">
        <v>8.609375</v>
      </c>
      <c r="E83" s="32">
        <v>1.40625</v>
      </c>
      <c r="F83" s="3">
        <v>14</v>
      </c>
      <c r="G83" s="33">
        <v>3.8999999999999999E-4</v>
      </c>
    </row>
    <row r="84" spans="2:7" ht="18" x14ac:dyDescent="0.2">
      <c r="B84" s="2" t="s">
        <v>100</v>
      </c>
      <c r="C84" s="26">
        <v>3.7</v>
      </c>
      <c r="D84" s="32">
        <v>2.609375</v>
      </c>
      <c r="E84" s="32">
        <v>4.6875E-2</v>
      </c>
      <c r="F84" s="3">
        <v>3</v>
      </c>
      <c r="G84" s="33">
        <v>3.9100000000000002E-4</v>
      </c>
    </row>
    <row r="85" spans="2:7" ht="18" x14ac:dyDescent="0.2">
      <c r="B85" s="4" t="s">
        <v>158</v>
      </c>
      <c r="C85" s="26"/>
      <c r="D85" s="32"/>
      <c r="E85" s="32"/>
      <c r="F85" s="3"/>
      <c r="G85" s="33"/>
    </row>
    <row r="86" spans="2:7" ht="18" x14ac:dyDescent="0.2">
      <c r="B86" s="2" t="s">
        <v>101</v>
      </c>
      <c r="C86" s="26">
        <v>4.8</v>
      </c>
      <c r="D86" s="32">
        <v>3.421875</v>
      </c>
      <c r="E86" s="32">
        <v>4.6875E-2</v>
      </c>
      <c r="F86" s="3">
        <v>3</v>
      </c>
      <c r="G86" s="33">
        <v>3.9100000000000002E-4</v>
      </c>
    </row>
    <row r="87" spans="2:7" ht="18" x14ac:dyDescent="0.2">
      <c r="B87" s="2" t="s">
        <v>102</v>
      </c>
      <c r="C87" s="26">
        <v>5.0999999999999996</v>
      </c>
      <c r="D87" s="32">
        <v>3.609375</v>
      </c>
      <c r="E87" s="32">
        <v>4.6875E-2</v>
      </c>
      <c r="F87" s="3">
        <v>30</v>
      </c>
      <c r="G87" s="33">
        <v>3.9100000000000002E-4</v>
      </c>
    </row>
    <row r="90" spans="2:7" ht="38" x14ac:dyDescent="0.2">
      <c r="C90" s="30" t="s">
        <v>127</v>
      </c>
      <c r="D90" s="30" t="s">
        <v>135</v>
      </c>
      <c r="E90" s="30" t="s">
        <v>134</v>
      </c>
      <c r="F90" s="30" t="s">
        <v>133</v>
      </c>
      <c r="G90" s="30" t="s">
        <v>132</v>
      </c>
    </row>
    <row r="91" spans="2:7" ht="18" x14ac:dyDescent="0.2">
      <c r="B91" s="12" t="s">
        <v>115</v>
      </c>
      <c r="C91" s="26">
        <v>2.6</v>
      </c>
      <c r="D91" s="32">
        <v>1.28125</v>
      </c>
      <c r="E91" s="32">
        <v>27</v>
      </c>
      <c r="F91" s="3">
        <v>5</v>
      </c>
      <c r="G91" s="33"/>
    </row>
    <row r="92" spans="2:7" ht="18" x14ac:dyDescent="0.2">
      <c r="B92" s="12" t="s">
        <v>116</v>
      </c>
      <c r="C92" s="26">
        <v>36</v>
      </c>
      <c r="D92" s="32">
        <v>25.078125</v>
      </c>
      <c r="E92" s="32">
        <v>18.5625</v>
      </c>
      <c r="F92" s="3">
        <v>32</v>
      </c>
      <c r="G92" s="33"/>
    </row>
    <row r="93" spans="2:7" ht="18" x14ac:dyDescent="0.2">
      <c r="B93" s="12" t="s">
        <v>117</v>
      </c>
      <c r="C93" s="26">
        <v>179</v>
      </c>
      <c r="D93" s="32">
        <v>65.765625</v>
      </c>
      <c r="E93" s="32">
        <v>11630.25</v>
      </c>
      <c r="F93" s="3">
        <v>127</v>
      </c>
      <c r="G93" s="33"/>
    </row>
    <row r="94" spans="2:7" ht="18" x14ac:dyDescent="0.2">
      <c r="B94" s="12" t="s">
        <v>118</v>
      </c>
      <c r="C94" s="26">
        <v>1.1000000000000001</v>
      </c>
      <c r="D94" s="32">
        <v>0.734375</v>
      </c>
      <c r="E94" s="32">
        <v>0</v>
      </c>
      <c r="F94" s="3">
        <v>9</v>
      </c>
      <c r="G94" s="33"/>
    </row>
    <row r="95" spans="2:7" ht="18" x14ac:dyDescent="0.2">
      <c r="B95" s="12" t="s">
        <v>119</v>
      </c>
      <c r="C95" s="26">
        <v>70</v>
      </c>
      <c r="D95" s="32">
        <v>48.1875</v>
      </c>
      <c r="E95" s="32">
        <v>4.21875</v>
      </c>
      <c r="F95" s="3">
        <v>76</v>
      </c>
      <c r="G95" s="33"/>
    </row>
    <row r="96" spans="2:7" ht="18" x14ac:dyDescent="0.2">
      <c r="B96" s="12" t="s">
        <v>120</v>
      </c>
      <c r="C96" s="26">
        <v>310</v>
      </c>
      <c r="D96" s="32">
        <v>46.296875</v>
      </c>
      <c r="E96" s="32">
        <v>291385.0078125</v>
      </c>
      <c r="F96" s="3">
        <v>107</v>
      </c>
      <c r="G96" s="33"/>
    </row>
    <row r="97" spans="2:7" ht="18" x14ac:dyDescent="0.2">
      <c r="B97" s="12" t="s">
        <v>121</v>
      </c>
      <c r="C97" s="26">
        <v>11</v>
      </c>
      <c r="D97" s="32">
        <v>7.390625</v>
      </c>
      <c r="E97" s="32">
        <v>0</v>
      </c>
      <c r="F97" s="3">
        <v>14</v>
      </c>
      <c r="G97" s="33"/>
    </row>
    <row r="98" spans="2:7" ht="18" x14ac:dyDescent="0.2">
      <c r="B98" s="12" t="s">
        <v>122</v>
      </c>
      <c r="C98" s="26">
        <v>31</v>
      </c>
      <c r="D98" s="32">
        <v>4.734375</v>
      </c>
      <c r="E98" s="32">
        <v>2877.1875</v>
      </c>
      <c r="F98" s="3">
        <v>28</v>
      </c>
      <c r="G98" s="33"/>
    </row>
    <row r="99" spans="2:7" ht="18" x14ac:dyDescent="0.2">
      <c r="B99" s="12" t="s">
        <v>0</v>
      </c>
      <c r="C99" s="26">
        <v>2.6</v>
      </c>
      <c r="D99" s="32">
        <v>1.28125</v>
      </c>
      <c r="E99" s="32">
        <v>27</v>
      </c>
      <c r="F99" s="3">
        <v>7</v>
      </c>
      <c r="G99" s="33"/>
    </row>
    <row r="100" spans="2:7" ht="18" x14ac:dyDescent="0.2">
      <c r="B100" s="12" t="s">
        <v>1</v>
      </c>
      <c r="C100" s="26">
        <v>1.2</v>
      </c>
      <c r="D100" s="32">
        <v>0.796875</v>
      </c>
      <c r="E100" s="32">
        <v>0</v>
      </c>
      <c r="F100" s="3">
        <v>7</v>
      </c>
      <c r="G100" s="33"/>
    </row>
    <row r="101" spans="2:7" ht="18" x14ac:dyDescent="0.2">
      <c r="B101" s="12" t="s">
        <v>2</v>
      </c>
      <c r="C101" s="26">
        <v>70</v>
      </c>
      <c r="D101" s="32">
        <v>48.1875</v>
      </c>
      <c r="E101" s="32">
        <v>4.21875</v>
      </c>
      <c r="F101" s="3">
        <v>61</v>
      </c>
      <c r="G101" s="33"/>
    </row>
    <row r="102" spans="2:7" ht="18" x14ac:dyDescent="0.2">
      <c r="B102" s="12" t="s">
        <v>3</v>
      </c>
      <c r="C102" s="26">
        <v>310</v>
      </c>
      <c r="D102" s="32">
        <v>46.296875</v>
      </c>
      <c r="E102" s="32">
        <v>291385.0078125</v>
      </c>
      <c r="F102" s="3">
        <v>100</v>
      </c>
      <c r="G102" s="33"/>
    </row>
    <row r="103" spans="2:7" ht="18" x14ac:dyDescent="0.2">
      <c r="B103" s="12" t="s">
        <v>4</v>
      </c>
      <c r="C103" s="26">
        <v>11</v>
      </c>
      <c r="D103" s="32">
        <v>7.390625</v>
      </c>
      <c r="E103" s="32">
        <v>0</v>
      </c>
      <c r="F103" s="3">
        <v>16</v>
      </c>
      <c r="G103" s="33"/>
    </row>
    <row r="104" spans="2:7" ht="18" x14ac:dyDescent="0.2">
      <c r="B104" s="12" t="s">
        <v>5</v>
      </c>
      <c r="C104" s="26">
        <v>31</v>
      </c>
      <c r="D104" s="32">
        <v>4.84375</v>
      </c>
      <c r="E104" s="32">
        <v>2621.71875</v>
      </c>
      <c r="F104" s="3">
        <v>23</v>
      </c>
      <c r="G104" s="33"/>
    </row>
    <row r="105" spans="2:7" ht="18" x14ac:dyDescent="0.2">
      <c r="B105" s="2" t="s">
        <v>91</v>
      </c>
      <c r="C105" s="26">
        <v>5.4</v>
      </c>
      <c r="D105" s="32">
        <v>3.90625</v>
      </c>
      <c r="E105" s="32">
        <v>4.6875E-2</v>
      </c>
      <c r="F105" s="3">
        <v>3</v>
      </c>
      <c r="G105" s="33">
        <v>3.9300000000000001E-4</v>
      </c>
    </row>
    <row r="106" spans="2:7" ht="18" x14ac:dyDescent="0.2">
      <c r="B106" s="2" t="s">
        <v>92</v>
      </c>
      <c r="C106" s="26">
        <v>11</v>
      </c>
      <c r="D106" s="32">
        <v>7.90625</v>
      </c>
      <c r="E106" s="32">
        <v>4.6875E-2</v>
      </c>
      <c r="F106" s="3">
        <v>16</v>
      </c>
      <c r="G106" s="33">
        <v>3.7199999999999999E-4</v>
      </c>
    </row>
    <row r="107" spans="2:7" ht="18" x14ac:dyDescent="0.2">
      <c r="B107" s="2" t="s">
        <v>93</v>
      </c>
      <c r="C107" s="26">
        <v>4.2</v>
      </c>
      <c r="D107" s="32">
        <v>2.921875</v>
      </c>
      <c r="E107" s="32">
        <v>4.6875E-2</v>
      </c>
      <c r="F107" s="3">
        <v>23</v>
      </c>
      <c r="G107" s="33">
        <v>3.8000000000000002E-4</v>
      </c>
    </row>
    <row r="108" spans="2:7" ht="18" x14ac:dyDescent="0.2">
      <c r="B108" s="2" t="s">
        <v>94</v>
      </c>
      <c r="C108" s="26">
        <v>12</v>
      </c>
      <c r="D108" s="32">
        <v>7.71875</v>
      </c>
      <c r="E108" s="32">
        <v>6.5625</v>
      </c>
      <c r="F108" s="3">
        <v>9</v>
      </c>
      <c r="G108" s="33">
        <v>3.7800000000000003E-4</v>
      </c>
    </row>
    <row r="109" spans="2:7" ht="18" x14ac:dyDescent="0.2">
      <c r="B109" s="2" t="s">
        <v>95</v>
      </c>
      <c r="C109" s="26">
        <v>3.7</v>
      </c>
      <c r="D109" s="32">
        <v>2.59375</v>
      </c>
      <c r="E109" s="32">
        <v>4.6875E-2</v>
      </c>
      <c r="F109" s="3">
        <v>6</v>
      </c>
      <c r="G109" s="33">
        <v>4.1599999999999997E-4</v>
      </c>
    </row>
    <row r="110" spans="2:7" ht="18" x14ac:dyDescent="0.2">
      <c r="B110" s="2" t="s">
        <v>96</v>
      </c>
      <c r="C110" s="26">
        <v>3.4</v>
      </c>
      <c r="D110" s="32">
        <v>2.390625</v>
      </c>
      <c r="E110" s="32">
        <v>4.6875E-2</v>
      </c>
      <c r="F110" s="3">
        <v>11</v>
      </c>
      <c r="G110" s="33">
        <v>3.9300000000000001E-4</v>
      </c>
    </row>
    <row r="111" spans="2:7" ht="18" x14ac:dyDescent="0.2">
      <c r="B111" s="2" t="s">
        <v>97</v>
      </c>
      <c r="C111" s="26">
        <v>8.1</v>
      </c>
      <c r="D111" s="32">
        <v>5.75</v>
      </c>
      <c r="E111" s="32">
        <v>4.6875E-2</v>
      </c>
      <c r="F111" s="3">
        <v>10</v>
      </c>
      <c r="G111" s="33">
        <v>4.2900000000000002E-4</v>
      </c>
    </row>
    <row r="112" spans="2:7" ht="18" x14ac:dyDescent="0.2">
      <c r="B112" s="2" t="s">
        <v>98</v>
      </c>
      <c r="C112" s="26">
        <v>6.5</v>
      </c>
      <c r="D112" s="32">
        <v>4.5625</v>
      </c>
      <c r="E112" s="32">
        <v>4.6875E-2</v>
      </c>
      <c r="F112" s="3">
        <v>22</v>
      </c>
      <c r="G112" s="33">
        <v>5.4900000000000001E-4</v>
      </c>
    </row>
    <row r="113" spans="2:7" ht="18" x14ac:dyDescent="0.2">
      <c r="B113" s="2" t="s">
        <v>99</v>
      </c>
      <c r="C113" s="26">
        <v>13</v>
      </c>
      <c r="D113" s="32">
        <v>8.609375</v>
      </c>
      <c r="E113" s="32">
        <v>1.40625</v>
      </c>
      <c r="F113" s="3">
        <v>14</v>
      </c>
      <c r="G113" s="33">
        <v>3.8999999999999999E-4</v>
      </c>
    </row>
    <row r="114" spans="2:7" ht="18" x14ac:dyDescent="0.2">
      <c r="B114" s="2" t="s">
        <v>100</v>
      </c>
      <c r="C114" s="26">
        <v>3.7</v>
      </c>
      <c r="D114" s="32">
        <v>2.609375</v>
      </c>
      <c r="E114" s="32">
        <v>4.6875E-2</v>
      </c>
      <c r="F114" s="3">
        <v>3</v>
      </c>
      <c r="G114" s="33">
        <v>3.9100000000000002E-4</v>
      </c>
    </row>
    <row r="115" spans="2:7" ht="18" x14ac:dyDescent="0.2">
      <c r="B115" s="4" t="s">
        <v>158</v>
      </c>
      <c r="C115" s="26"/>
      <c r="D115" s="32"/>
      <c r="E115" s="32"/>
      <c r="F115" s="3"/>
      <c r="G115" s="33"/>
    </row>
    <row r="116" spans="2:7" ht="18" x14ac:dyDescent="0.2">
      <c r="B116" s="2" t="s">
        <v>101</v>
      </c>
      <c r="C116" s="26">
        <v>4.8</v>
      </c>
      <c r="D116" s="32">
        <v>3.421875</v>
      </c>
      <c r="E116" s="32">
        <v>4.6875E-2</v>
      </c>
      <c r="F116" s="3">
        <v>3</v>
      </c>
      <c r="G116" s="33">
        <v>3.9100000000000002E-4</v>
      </c>
    </row>
    <row r="117" spans="2:7" ht="18" x14ac:dyDescent="0.2">
      <c r="B117" s="2" t="s">
        <v>102</v>
      </c>
      <c r="C117" s="26">
        <v>5.0999999999999996</v>
      </c>
      <c r="D117" s="32">
        <v>3.609375</v>
      </c>
      <c r="E117" s="32">
        <v>4.6875E-2</v>
      </c>
      <c r="F117" s="3">
        <v>30</v>
      </c>
      <c r="G117" s="33">
        <v>3.9100000000000002E-4</v>
      </c>
    </row>
  </sheetData>
  <mergeCells count="2">
    <mergeCell ref="D2:E2"/>
    <mergeCell ref="C2:C3"/>
  </mergeCells>
  <conditionalFormatting sqref="L22:L50">
    <cfRule type="cellIs" dxfId="0" priority="1" operator="equal">
      <formula>FALSE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ED338-1764-6C49-88FF-A1097ACEBC60}">
  <dimension ref="A1:K65"/>
  <sheetViews>
    <sheetView zoomScaleNormal="70" workbookViewId="0">
      <selection activeCell="A4" sqref="A4:B4"/>
    </sheetView>
  </sheetViews>
  <sheetFormatPr baseColWidth="10" defaultRowHeight="18" x14ac:dyDescent="0.2"/>
  <cols>
    <col min="1" max="1" width="27.83203125" style="1" bestFit="1" customWidth="1"/>
    <col min="2" max="2" width="14.1640625" style="1" bestFit="1" customWidth="1"/>
    <col min="3" max="3" width="25.6640625" style="1" bestFit="1" customWidth="1"/>
    <col min="4" max="4" width="20.6640625" style="1" bestFit="1" customWidth="1"/>
    <col min="5" max="5" width="35.1640625" style="1" bestFit="1" customWidth="1"/>
    <col min="6" max="6" width="30.1640625" style="1" bestFit="1" customWidth="1"/>
    <col min="7" max="7" width="25.6640625" style="1" bestFit="1" customWidth="1"/>
    <col min="8" max="8" width="20.6640625" style="1" bestFit="1" customWidth="1"/>
    <col min="9" max="9" width="35.1640625" style="1" bestFit="1" customWidth="1"/>
    <col min="10" max="10" width="30.1640625" style="1" bestFit="1" customWidth="1"/>
    <col min="11" max="11" width="11.6640625" style="1" bestFit="1" customWidth="1"/>
    <col min="12" max="16384" width="10.83203125" style="1"/>
  </cols>
  <sheetData>
    <row r="1" spans="1:7" x14ac:dyDescent="0.2">
      <c r="A1" s="2" t="s">
        <v>103</v>
      </c>
      <c r="B1" s="2" t="s">
        <v>86</v>
      </c>
      <c r="C1" s="2" t="s">
        <v>111</v>
      </c>
      <c r="D1" s="2" t="s">
        <v>112</v>
      </c>
      <c r="E1" s="2" t="s">
        <v>109</v>
      </c>
      <c r="F1" s="2" t="s">
        <v>110</v>
      </c>
    </row>
    <row r="2" spans="1:7" x14ac:dyDescent="0.2">
      <c r="A2" s="12" t="s">
        <v>115</v>
      </c>
      <c r="B2" s="3">
        <v>32869</v>
      </c>
      <c r="C2" s="5">
        <v>56219</v>
      </c>
      <c r="D2" s="3">
        <v>702600</v>
      </c>
      <c r="E2" s="5">
        <v>57006</v>
      </c>
      <c r="F2" s="5">
        <v>63658</v>
      </c>
    </row>
    <row r="3" spans="1:7" x14ac:dyDescent="0.2">
      <c r="A3" s="12" t="s">
        <v>116</v>
      </c>
      <c r="B3" s="3">
        <v>25970</v>
      </c>
      <c r="C3" s="5">
        <v>42521</v>
      </c>
      <c r="D3" s="5">
        <v>68627</v>
      </c>
      <c r="E3" s="5">
        <v>44332</v>
      </c>
      <c r="F3" s="5">
        <v>44415</v>
      </c>
    </row>
    <row r="4" spans="1:7" x14ac:dyDescent="0.2">
      <c r="A4" s="12" t="s">
        <v>117</v>
      </c>
      <c r="B4" s="3">
        <v>39798</v>
      </c>
      <c r="C4" s="5">
        <v>100657</v>
      </c>
      <c r="D4" s="5">
        <v>112550</v>
      </c>
      <c r="E4" s="5">
        <v>102594</v>
      </c>
      <c r="F4" s="5">
        <v>102838</v>
      </c>
      <c r="G4" s="1" t="s">
        <v>105</v>
      </c>
    </row>
    <row r="5" spans="1:7" x14ac:dyDescent="0.2">
      <c r="A5" s="12" t="s">
        <v>118</v>
      </c>
      <c r="B5" s="3">
        <v>24488</v>
      </c>
      <c r="C5" s="5">
        <v>30012</v>
      </c>
      <c r="D5" s="5">
        <v>32098</v>
      </c>
      <c r="E5" s="5">
        <v>32201</v>
      </c>
      <c r="F5" s="5">
        <v>32125</v>
      </c>
      <c r="G5" s="1" t="s">
        <v>106</v>
      </c>
    </row>
    <row r="6" spans="1:7" x14ac:dyDescent="0.2">
      <c r="A6" s="58" t="s">
        <v>156</v>
      </c>
      <c r="B6" s="66">
        <v>38624</v>
      </c>
      <c r="C6" s="66">
        <v>51535</v>
      </c>
      <c r="D6" s="66">
        <v>114172</v>
      </c>
      <c r="E6" s="66">
        <v>50575</v>
      </c>
      <c r="F6" s="66">
        <v>55020</v>
      </c>
    </row>
    <row r="7" spans="1:7" x14ac:dyDescent="0.2">
      <c r="A7" s="12" t="s">
        <v>119</v>
      </c>
      <c r="B7" s="3">
        <v>29569</v>
      </c>
      <c r="C7" s="5">
        <v>52975</v>
      </c>
      <c r="D7" s="3">
        <v>364200</v>
      </c>
      <c r="E7" s="5">
        <v>52507</v>
      </c>
      <c r="F7" s="5">
        <v>54505</v>
      </c>
    </row>
    <row r="8" spans="1:7" x14ac:dyDescent="0.2">
      <c r="A8" s="12" t="s">
        <v>120</v>
      </c>
      <c r="B8" s="3">
        <v>11043</v>
      </c>
      <c r="C8" s="5">
        <v>20051</v>
      </c>
      <c r="D8" s="3">
        <v>137310</v>
      </c>
      <c r="E8" s="5">
        <v>20886</v>
      </c>
      <c r="F8" s="5">
        <v>21456</v>
      </c>
    </row>
    <row r="9" spans="1:7" x14ac:dyDescent="0.2">
      <c r="A9" s="12" t="s">
        <v>121</v>
      </c>
      <c r="B9" s="3">
        <v>38109</v>
      </c>
      <c r="C9" s="5">
        <v>64314</v>
      </c>
      <c r="D9" s="3">
        <v>491700</v>
      </c>
      <c r="E9" s="5">
        <v>64337</v>
      </c>
      <c r="F9" s="5">
        <v>65811</v>
      </c>
    </row>
    <row r="10" spans="1:7" x14ac:dyDescent="0.2">
      <c r="A10" s="12" t="s">
        <v>122</v>
      </c>
      <c r="B10" s="3">
        <v>12007</v>
      </c>
      <c r="C10" s="5">
        <v>20046</v>
      </c>
      <c r="D10" s="5">
        <v>29961</v>
      </c>
      <c r="E10" s="5">
        <v>20200</v>
      </c>
      <c r="F10" s="5">
        <v>20047</v>
      </c>
    </row>
    <row r="11" spans="1:7" x14ac:dyDescent="0.2">
      <c r="A11" s="12" t="s">
        <v>0</v>
      </c>
      <c r="B11" s="3">
        <v>66451</v>
      </c>
      <c r="C11" s="5">
        <v>112016</v>
      </c>
      <c r="D11" s="3">
        <v>1618600</v>
      </c>
      <c r="E11" s="5">
        <v>116305</v>
      </c>
      <c r="F11" s="5">
        <v>129930</v>
      </c>
    </row>
    <row r="12" spans="1:7" x14ac:dyDescent="0.2">
      <c r="A12" s="12" t="s">
        <v>1</v>
      </c>
      <c r="B12" s="3">
        <v>116294</v>
      </c>
      <c r="C12" s="5">
        <v>112234</v>
      </c>
      <c r="D12" s="5">
        <v>117036</v>
      </c>
      <c r="E12" s="5">
        <v>117313</v>
      </c>
      <c r="F12" s="5">
        <v>117419</v>
      </c>
      <c r="G12" s="1" t="s">
        <v>106</v>
      </c>
    </row>
    <row r="13" spans="1:7" x14ac:dyDescent="0.2">
      <c r="A13" s="58" t="s">
        <v>157</v>
      </c>
      <c r="B13" s="66">
        <v>38444</v>
      </c>
      <c r="C13" s="66">
        <v>51837</v>
      </c>
      <c r="D13" s="66">
        <v>112813</v>
      </c>
      <c r="E13" s="66">
        <v>51191</v>
      </c>
      <c r="F13" s="66">
        <v>55299</v>
      </c>
    </row>
    <row r="14" spans="1:7" x14ac:dyDescent="0.2">
      <c r="A14" s="12" t="s">
        <v>2</v>
      </c>
      <c r="B14" s="3">
        <v>29341</v>
      </c>
      <c r="C14" s="5">
        <v>50118</v>
      </c>
      <c r="D14" s="3">
        <v>362900</v>
      </c>
      <c r="E14" s="5">
        <v>52506</v>
      </c>
      <c r="F14" s="5">
        <v>53796</v>
      </c>
    </row>
    <row r="15" spans="1:7" x14ac:dyDescent="0.2">
      <c r="A15" s="12" t="s">
        <v>3</v>
      </c>
      <c r="B15" s="3">
        <v>11136</v>
      </c>
      <c r="C15" s="5">
        <v>18811</v>
      </c>
      <c r="D15" s="3">
        <v>137400</v>
      </c>
      <c r="E15" s="5">
        <v>20806</v>
      </c>
      <c r="F15" s="5">
        <v>21453</v>
      </c>
    </row>
    <row r="16" spans="1:7" x14ac:dyDescent="0.2">
      <c r="A16" s="12" t="s">
        <v>4</v>
      </c>
      <c r="B16" s="3">
        <v>38181</v>
      </c>
      <c r="C16" s="5">
        <v>61069</v>
      </c>
      <c r="D16" s="3">
        <v>494100</v>
      </c>
      <c r="E16" s="5">
        <v>64577</v>
      </c>
      <c r="F16" s="5">
        <v>65877</v>
      </c>
    </row>
    <row r="17" spans="1:10" x14ac:dyDescent="0.2">
      <c r="A17" s="12" t="s">
        <v>5</v>
      </c>
      <c r="B17" s="3">
        <v>31298</v>
      </c>
      <c r="C17" s="5">
        <v>60957</v>
      </c>
      <c r="D17" s="5">
        <v>96640</v>
      </c>
      <c r="E17" s="5">
        <v>62900</v>
      </c>
      <c r="F17" s="5">
        <v>63540</v>
      </c>
      <c r="G17" s="21" t="s">
        <v>108</v>
      </c>
    </row>
    <row r="18" spans="1:10" x14ac:dyDescent="0.2">
      <c r="B18" s="22"/>
      <c r="C18" s="22"/>
      <c r="D18" s="22"/>
      <c r="E18" s="22"/>
      <c r="F18" s="22"/>
    </row>
    <row r="19" spans="1:10" x14ac:dyDescent="0.2">
      <c r="B19" s="22"/>
      <c r="C19" s="22"/>
      <c r="D19" s="22"/>
      <c r="E19" s="22"/>
      <c r="F19" s="22"/>
    </row>
    <row r="20" spans="1:10" x14ac:dyDescent="0.2">
      <c r="B20" s="22"/>
      <c r="C20" s="22"/>
      <c r="D20" s="22"/>
      <c r="E20" s="22"/>
      <c r="F20" s="22"/>
    </row>
    <row r="23" spans="1:10" x14ac:dyDescent="0.2">
      <c r="A23" s="2" t="s">
        <v>87</v>
      </c>
      <c r="B23" s="2" t="s">
        <v>86</v>
      </c>
      <c r="C23" s="2" t="s">
        <v>111</v>
      </c>
      <c r="D23" s="2" t="s">
        <v>112</v>
      </c>
      <c r="E23" s="2" t="s">
        <v>109</v>
      </c>
      <c r="F23" s="2" t="s">
        <v>110</v>
      </c>
    </row>
    <row r="24" spans="1:10" x14ac:dyDescent="0.2">
      <c r="A24" s="12" t="s">
        <v>115</v>
      </c>
      <c r="B24" s="20">
        <f>B2/$B2</f>
        <v>1</v>
      </c>
      <c r="C24" s="20">
        <f t="shared" ref="C24:F24" si="0">C2/$B2</f>
        <v>1.7103958136846269</v>
      </c>
      <c r="D24" s="20">
        <f t="shared" si="0"/>
        <v>21.375764398065048</v>
      </c>
      <c r="E24" s="20">
        <f t="shared" si="0"/>
        <v>1.7343393471051751</v>
      </c>
      <c r="F24" s="20">
        <f t="shared" si="0"/>
        <v>1.936718488545438</v>
      </c>
      <c r="G24" s="21"/>
      <c r="I24" s="21"/>
      <c r="J24" s="21"/>
    </row>
    <row r="25" spans="1:10" x14ac:dyDescent="0.2">
      <c r="A25" s="12" t="s">
        <v>116</v>
      </c>
      <c r="B25" s="20">
        <f>B3/$B3</f>
        <v>1</v>
      </c>
      <c r="C25" s="20">
        <f t="shared" ref="C25:F25" si="1">C3/$B3</f>
        <v>1.6373122834039275</v>
      </c>
      <c r="D25" s="20">
        <f t="shared" si="1"/>
        <v>2.6425490951097421</v>
      </c>
      <c r="E25" s="20">
        <f t="shared" si="1"/>
        <v>1.7070465922217943</v>
      </c>
      <c r="F25" s="20">
        <f t="shared" si="1"/>
        <v>1.7102425876010781</v>
      </c>
      <c r="G25" s="21"/>
      <c r="I25" s="21"/>
      <c r="J25" s="21"/>
    </row>
    <row r="26" spans="1:10" x14ac:dyDescent="0.2">
      <c r="A26" s="12" t="s">
        <v>117</v>
      </c>
      <c r="B26" s="20">
        <f>B4/$B4</f>
        <v>1</v>
      </c>
      <c r="C26" s="20">
        <f t="shared" ref="C26:F26" si="2">C4/$B4</f>
        <v>2.5291974471078951</v>
      </c>
      <c r="D26" s="20">
        <f t="shared" si="2"/>
        <v>2.8280315593748431</v>
      </c>
      <c r="E26" s="20">
        <f t="shared" si="2"/>
        <v>2.5778682345846526</v>
      </c>
      <c r="F26" s="20">
        <f t="shared" si="2"/>
        <v>2.5839991959394943</v>
      </c>
      <c r="G26" s="21"/>
      <c r="I26" s="21"/>
      <c r="J26" s="21"/>
    </row>
    <row r="27" spans="1:10" x14ac:dyDescent="0.2">
      <c r="A27" s="12" t="s">
        <v>118</v>
      </c>
      <c r="B27" s="20">
        <f>B5/$B5</f>
        <v>1</v>
      </c>
      <c r="C27" s="20">
        <f t="shared" ref="C27:F27" si="3">C5/$B5</f>
        <v>1.2255798758575629</v>
      </c>
      <c r="D27" s="20">
        <f t="shared" si="3"/>
        <v>1.310764456060111</v>
      </c>
      <c r="E27" s="20">
        <f t="shared" si="3"/>
        <v>1.314970597843842</v>
      </c>
      <c r="F27" s="20">
        <f t="shared" si="3"/>
        <v>1.3118670369160406</v>
      </c>
      <c r="G27" s="21"/>
      <c r="I27" s="21"/>
      <c r="J27" s="21"/>
    </row>
    <row r="28" spans="1:10" x14ac:dyDescent="0.2">
      <c r="A28" s="58" t="s">
        <v>156</v>
      </c>
      <c r="B28" s="65">
        <f t="shared" ref="B28:B35" si="4">B6/$B6</f>
        <v>1</v>
      </c>
      <c r="C28" s="65">
        <f t="shared" ref="C28:F28" si="5">C6/$B6</f>
        <v>1.3342740265120132</v>
      </c>
      <c r="D28" s="65">
        <f t="shared" si="5"/>
        <v>2.9559859154929575</v>
      </c>
      <c r="E28" s="65">
        <f t="shared" si="5"/>
        <v>1.309419014084507</v>
      </c>
      <c r="F28" s="65">
        <f t="shared" si="5"/>
        <v>1.4245028997514499</v>
      </c>
      <c r="G28" s="21"/>
      <c r="I28" s="21"/>
      <c r="J28" s="21"/>
    </row>
    <row r="29" spans="1:10" x14ac:dyDescent="0.2">
      <c r="A29" s="12" t="s">
        <v>119</v>
      </c>
      <c r="B29" s="20">
        <f t="shared" si="4"/>
        <v>1</v>
      </c>
      <c r="C29" s="20">
        <f t="shared" ref="C29:F29" si="6">C7/$B7</f>
        <v>1.7915722547262336</v>
      </c>
      <c r="D29" s="20">
        <f t="shared" si="6"/>
        <v>12.316953566234908</v>
      </c>
      <c r="E29" s="20">
        <f t="shared" si="6"/>
        <v>1.7757448679360142</v>
      </c>
      <c r="F29" s="20">
        <f t="shared" si="6"/>
        <v>1.8433156346173358</v>
      </c>
      <c r="G29" s="21"/>
      <c r="I29" s="21"/>
      <c r="J29" s="21"/>
    </row>
    <row r="30" spans="1:10" x14ac:dyDescent="0.2">
      <c r="A30" s="12" t="s">
        <v>120</v>
      </c>
      <c r="B30" s="20">
        <f t="shared" si="4"/>
        <v>1</v>
      </c>
      <c r="C30" s="20">
        <f t="shared" ref="C30:F30" si="7">C8/$B8</f>
        <v>1.8157203658426153</v>
      </c>
      <c r="D30" s="20">
        <f t="shared" si="7"/>
        <v>12.43412116272752</v>
      </c>
      <c r="E30" s="20">
        <f t="shared" si="7"/>
        <v>1.89133387666395</v>
      </c>
      <c r="F30" s="20">
        <f t="shared" si="7"/>
        <v>1.9429502852485738</v>
      </c>
      <c r="G30" s="21"/>
      <c r="I30" s="21"/>
      <c r="J30" s="21"/>
    </row>
    <row r="31" spans="1:10" x14ac:dyDescent="0.2">
      <c r="A31" s="12" t="s">
        <v>121</v>
      </c>
      <c r="B31" s="20">
        <f t="shared" si="4"/>
        <v>1</v>
      </c>
      <c r="C31" s="20">
        <f t="shared" ref="C31:F31" si="8">C9/$B9</f>
        <v>1.687632842635598</v>
      </c>
      <c r="D31" s="20">
        <f t="shared" si="8"/>
        <v>12.902463984885459</v>
      </c>
      <c r="E31" s="20">
        <f t="shared" si="8"/>
        <v>1.6882363746096722</v>
      </c>
      <c r="F31" s="20">
        <f t="shared" si="8"/>
        <v>1.7269149019916554</v>
      </c>
      <c r="G31" s="21"/>
      <c r="I31" s="21"/>
      <c r="J31" s="21"/>
    </row>
    <row r="32" spans="1:10" x14ac:dyDescent="0.2">
      <c r="A32" s="12" t="s">
        <v>122</v>
      </c>
      <c r="B32" s="20">
        <f t="shared" si="4"/>
        <v>1</v>
      </c>
      <c r="C32" s="20">
        <f t="shared" ref="C32:F32" si="9">C10/$B10</f>
        <v>1.6695261097693013</v>
      </c>
      <c r="D32" s="20">
        <f t="shared" si="9"/>
        <v>2.4952944115932372</v>
      </c>
      <c r="E32" s="20">
        <f t="shared" si="9"/>
        <v>1.6823519613558757</v>
      </c>
      <c r="F32" s="20">
        <f t="shared" si="9"/>
        <v>1.6696093945198633</v>
      </c>
      <c r="G32" s="21"/>
      <c r="I32" s="21"/>
      <c r="J32" s="21"/>
    </row>
    <row r="33" spans="1:11" x14ac:dyDescent="0.2">
      <c r="A33" s="12" t="s">
        <v>0</v>
      </c>
      <c r="B33" s="20">
        <f t="shared" si="4"/>
        <v>1</v>
      </c>
      <c r="C33" s="20">
        <f t="shared" ref="C33:F33" si="10">C11/$B11</f>
        <v>1.6856932175588026</v>
      </c>
      <c r="D33" s="20">
        <f t="shared" si="10"/>
        <v>24.357797474831077</v>
      </c>
      <c r="E33" s="20">
        <f t="shared" si="10"/>
        <v>1.7502370167491836</v>
      </c>
      <c r="F33" s="20">
        <f t="shared" si="10"/>
        <v>1.9552753156461151</v>
      </c>
      <c r="G33" s="21"/>
      <c r="I33" s="21"/>
      <c r="J33" s="21"/>
    </row>
    <row r="34" spans="1:11" x14ac:dyDescent="0.2">
      <c r="A34" s="12" t="s">
        <v>1</v>
      </c>
      <c r="B34" s="20">
        <f t="shared" si="4"/>
        <v>1</v>
      </c>
      <c r="C34" s="20">
        <f t="shared" ref="C34:F34" si="11">C12/$B12</f>
        <v>0.96508848263882918</v>
      </c>
      <c r="D34" s="20">
        <f t="shared" si="11"/>
        <v>1.0063803807591105</v>
      </c>
      <c r="E34" s="20">
        <f t="shared" si="11"/>
        <v>1.0087622749238998</v>
      </c>
      <c r="F34" s="20">
        <f t="shared" si="11"/>
        <v>1.009673757889487</v>
      </c>
      <c r="G34" s="21"/>
      <c r="I34" s="21"/>
      <c r="J34" s="21"/>
    </row>
    <row r="35" spans="1:11" x14ac:dyDescent="0.2">
      <c r="A35" s="58" t="s">
        <v>157</v>
      </c>
      <c r="B35" s="65">
        <f t="shared" si="4"/>
        <v>1</v>
      </c>
      <c r="C35" s="65">
        <f t="shared" ref="C35:F35" si="12">C13/$B13</f>
        <v>1.3483768598480907</v>
      </c>
      <c r="D35" s="65">
        <f t="shared" si="12"/>
        <v>2.9344761211112269</v>
      </c>
      <c r="E35" s="65">
        <f t="shared" si="12"/>
        <v>1.3315731973780043</v>
      </c>
      <c r="F35" s="65">
        <f t="shared" si="12"/>
        <v>1.4384299240453646</v>
      </c>
      <c r="G35" s="21"/>
      <c r="I35" s="21"/>
      <c r="J35" s="21"/>
    </row>
    <row r="36" spans="1:11" x14ac:dyDescent="0.2">
      <c r="A36" s="12" t="s">
        <v>2</v>
      </c>
      <c r="B36" s="20">
        <f>B14/$B14</f>
        <v>1</v>
      </c>
      <c r="C36" s="20">
        <f t="shared" ref="C36:F36" si="13">C14/$B14</f>
        <v>1.7081217409086262</v>
      </c>
      <c r="D36" s="20">
        <f t="shared" si="13"/>
        <v>12.368358269997614</v>
      </c>
      <c r="E36" s="20">
        <f t="shared" si="13"/>
        <v>1.7895095600013633</v>
      </c>
      <c r="F36" s="20">
        <f t="shared" si="13"/>
        <v>1.8334753416720631</v>
      </c>
      <c r="G36" s="21"/>
      <c r="I36" s="21"/>
      <c r="J36" s="21"/>
    </row>
    <row r="37" spans="1:11" x14ac:dyDescent="0.2">
      <c r="A37" s="12" t="s">
        <v>3</v>
      </c>
      <c r="B37" s="20">
        <f>B15/$B15</f>
        <v>1</v>
      </c>
      <c r="C37" s="20">
        <f t="shared" ref="C37:F37" si="14">C15/$B15</f>
        <v>1.6892061781609196</v>
      </c>
      <c r="D37" s="20">
        <f t="shared" si="14"/>
        <v>12.338362068965518</v>
      </c>
      <c r="E37" s="20">
        <f t="shared" si="14"/>
        <v>1.8683548850574712</v>
      </c>
      <c r="F37" s="20">
        <f t="shared" si="14"/>
        <v>1.9264547413793103</v>
      </c>
    </row>
    <row r="38" spans="1:11" x14ac:dyDescent="0.2">
      <c r="A38" s="12" t="s">
        <v>4</v>
      </c>
      <c r="B38" s="20">
        <f>B16/$B16</f>
        <v>1</v>
      </c>
      <c r="C38" s="20">
        <f t="shared" ref="C38:F38" si="15">C16/$B16</f>
        <v>1.599460464629004</v>
      </c>
      <c r="D38" s="20">
        <f t="shared" si="15"/>
        <v>12.940991592676985</v>
      </c>
      <c r="E38" s="20">
        <f t="shared" si="15"/>
        <v>1.6913386239228936</v>
      </c>
      <c r="F38" s="20">
        <f t="shared" si="15"/>
        <v>1.7253869725779838</v>
      </c>
    </row>
    <row r="39" spans="1:11" x14ac:dyDescent="0.2">
      <c r="A39" s="12" t="s">
        <v>5</v>
      </c>
      <c r="B39" s="20">
        <f>B17/$B17</f>
        <v>1</v>
      </c>
      <c r="C39" s="20">
        <f t="shared" ref="C39:F39" si="16">C17/$B17</f>
        <v>1.9476324365774171</v>
      </c>
      <c r="D39" s="20">
        <f t="shared" si="16"/>
        <v>3.087737235606109</v>
      </c>
      <c r="E39" s="20">
        <f t="shared" si="16"/>
        <v>2.0097130807080323</v>
      </c>
      <c r="F39" s="20">
        <f t="shared" si="16"/>
        <v>2.0301616716723112</v>
      </c>
    </row>
    <row r="40" spans="1:11" x14ac:dyDescent="0.2">
      <c r="A40" s="2" t="s">
        <v>85</v>
      </c>
      <c r="B40" s="20">
        <f t="shared" ref="B40" si="17">GEOMEAN(B24:B39)</f>
        <v>1</v>
      </c>
      <c r="C40" s="20">
        <f t="shared" ref="C40:F40" si="18">GEOMEAN(C24:C39)</f>
        <v>1.6126845866503123</v>
      </c>
      <c r="D40" s="20">
        <f t="shared" si="18"/>
        <v>5.7268698795566282</v>
      </c>
      <c r="E40" s="20">
        <f t="shared" si="18"/>
        <v>1.6607677624132051</v>
      </c>
      <c r="F40" s="20">
        <f t="shared" si="18"/>
        <v>1.7188099331003612</v>
      </c>
      <c r="G40" s="31">
        <f>D40/F40</f>
        <v>3.3318808375901074</v>
      </c>
    </row>
    <row r="41" spans="1:11" x14ac:dyDescent="0.2">
      <c r="B41" s="21"/>
      <c r="C41" s="21"/>
      <c r="D41" s="21"/>
      <c r="E41" s="21"/>
      <c r="F41" s="21"/>
      <c r="G41" s="1">
        <f>E40/C40</f>
        <v>1.0298156106661662</v>
      </c>
    </row>
    <row r="42" spans="1:11" x14ac:dyDescent="0.2">
      <c r="B42" s="21"/>
      <c r="C42" s="21"/>
      <c r="D42" s="21"/>
      <c r="F42" s="21"/>
    </row>
    <row r="45" spans="1:11" x14ac:dyDescent="0.2">
      <c r="G45" s="1" t="s">
        <v>128</v>
      </c>
    </row>
    <row r="46" spans="1:11" x14ac:dyDescent="0.2">
      <c r="A46" s="2" t="s">
        <v>88</v>
      </c>
      <c r="B46" s="23" t="s">
        <v>86</v>
      </c>
      <c r="C46" s="2" t="s">
        <v>111</v>
      </c>
      <c r="D46" s="2" t="s">
        <v>112</v>
      </c>
      <c r="E46" s="2" t="s">
        <v>109</v>
      </c>
      <c r="F46" s="2" t="s">
        <v>110</v>
      </c>
      <c r="G46" s="2" t="s">
        <v>111</v>
      </c>
      <c r="H46" s="2" t="s">
        <v>112</v>
      </c>
      <c r="I46" s="2" t="s">
        <v>109</v>
      </c>
      <c r="J46" s="2" t="s">
        <v>110</v>
      </c>
    </row>
    <row r="47" spans="1:11" x14ac:dyDescent="0.2">
      <c r="A47" s="12" t="s">
        <v>115</v>
      </c>
      <c r="B47" s="3">
        <v>623988</v>
      </c>
      <c r="C47" s="3">
        <v>625992</v>
      </c>
      <c r="D47" s="3">
        <v>625968</v>
      </c>
      <c r="E47" s="3">
        <v>625828</v>
      </c>
      <c r="F47" s="3">
        <v>625804</v>
      </c>
      <c r="G47" s="20">
        <f>(C47-$B47)/1024</f>
        <v>1.95703125</v>
      </c>
      <c r="H47" s="20">
        <f>(D47-$B47)/1024</f>
        <v>1.93359375</v>
      </c>
      <c r="I47" s="20">
        <f>(E47-$B47)/1024</f>
        <v>1.796875</v>
      </c>
      <c r="J47" s="20">
        <f>(F47-$B47)/1024</f>
        <v>1.7734375</v>
      </c>
      <c r="K47" s="25"/>
    </row>
    <row r="48" spans="1:11" x14ac:dyDescent="0.2">
      <c r="A48" s="12" t="s">
        <v>116</v>
      </c>
      <c r="B48" s="3">
        <v>166548</v>
      </c>
      <c r="C48" s="3">
        <v>167016</v>
      </c>
      <c r="D48" s="3">
        <v>167796</v>
      </c>
      <c r="E48" s="3">
        <v>167076</v>
      </c>
      <c r="F48" s="3">
        <v>167020</v>
      </c>
      <c r="G48" s="20">
        <f t="shared" ref="G48:G61" si="19">(C48-$B48)/1024</f>
        <v>0.45703125</v>
      </c>
      <c r="H48" s="20">
        <f t="shared" ref="H48:I50" si="20">(D48-$B48)/1024</f>
        <v>1.21875</v>
      </c>
      <c r="I48" s="20">
        <f t="shared" si="20"/>
        <v>0.515625</v>
      </c>
      <c r="J48" s="20">
        <f t="shared" ref="J48:J61" si="21">(F48-$B48)/1024</f>
        <v>0.4609375</v>
      </c>
      <c r="K48" s="25"/>
    </row>
    <row r="49" spans="1:11" x14ac:dyDescent="0.2">
      <c r="A49" s="12" t="s">
        <v>117</v>
      </c>
      <c r="B49" s="3">
        <v>424120</v>
      </c>
      <c r="C49" s="3">
        <v>425676</v>
      </c>
      <c r="D49" s="3">
        <v>427916</v>
      </c>
      <c r="E49" s="3">
        <v>425304</v>
      </c>
      <c r="F49" s="3">
        <v>425328</v>
      </c>
      <c r="G49" s="20">
        <f t="shared" si="19"/>
        <v>1.51953125</v>
      </c>
      <c r="H49" s="20">
        <f t="shared" si="20"/>
        <v>3.70703125</v>
      </c>
      <c r="I49" s="20">
        <f t="shared" si="20"/>
        <v>1.15625</v>
      </c>
      <c r="J49" s="20">
        <f t="shared" si="21"/>
        <v>1.1796875</v>
      </c>
      <c r="K49" s="25"/>
    </row>
    <row r="50" spans="1:11" x14ac:dyDescent="0.2">
      <c r="A50" s="12" t="s">
        <v>118</v>
      </c>
      <c r="B50" s="3">
        <v>420396</v>
      </c>
      <c r="C50" s="3">
        <v>422404</v>
      </c>
      <c r="D50" s="3">
        <v>422488</v>
      </c>
      <c r="E50" s="3">
        <v>422024</v>
      </c>
      <c r="F50" s="3">
        <v>422052</v>
      </c>
      <c r="G50" s="20">
        <f t="shared" si="19"/>
        <v>1.9609375</v>
      </c>
      <c r="H50" s="20">
        <f t="shared" si="20"/>
        <v>2.04296875</v>
      </c>
      <c r="I50" s="20">
        <f t="shared" si="20"/>
        <v>1.58984375</v>
      </c>
      <c r="J50" s="20">
        <f t="shared" si="21"/>
        <v>1.6171875</v>
      </c>
      <c r="K50" s="25"/>
    </row>
    <row r="51" spans="1:11" x14ac:dyDescent="0.2">
      <c r="A51" s="58" t="s">
        <v>156</v>
      </c>
      <c r="B51" s="66">
        <v>247416</v>
      </c>
      <c r="C51" s="66">
        <v>249712</v>
      </c>
      <c r="D51" s="66">
        <v>249712</v>
      </c>
      <c r="E51" s="66">
        <v>249136</v>
      </c>
      <c r="F51" s="66">
        <v>249200</v>
      </c>
      <c r="G51" s="65">
        <f t="shared" ref="G51:G58" si="22">(C51-$B51)/1024</f>
        <v>2.2421875</v>
      </c>
      <c r="H51" s="65">
        <f t="shared" ref="H51:H58" si="23">(D51-$B51)/1024</f>
        <v>2.2421875</v>
      </c>
      <c r="I51" s="65">
        <f t="shared" ref="I51:I58" si="24">(E51-$B51)/1024</f>
        <v>1.6796875</v>
      </c>
      <c r="J51" s="65">
        <f t="shared" ref="J51:J58" si="25">(F51-$B51)/1024</f>
        <v>1.7421875</v>
      </c>
      <c r="K51" s="25"/>
    </row>
    <row r="52" spans="1:11" x14ac:dyDescent="0.2">
      <c r="A52" s="12" t="s">
        <v>119</v>
      </c>
      <c r="B52" s="3">
        <v>490640</v>
      </c>
      <c r="C52" s="3">
        <v>495192</v>
      </c>
      <c r="D52" s="3">
        <v>504596</v>
      </c>
      <c r="E52" s="3">
        <v>494404</v>
      </c>
      <c r="F52" s="3">
        <v>494656</v>
      </c>
      <c r="G52" s="20">
        <f t="shared" si="22"/>
        <v>4.4453125</v>
      </c>
      <c r="H52" s="20">
        <f t="shared" si="23"/>
        <v>13.62890625</v>
      </c>
      <c r="I52" s="20">
        <f t="shared" si="24"/>
        <v>3.67578125</v>
      </c>
      <c r="J52" s="20">
        <f t="shared" si="25"/>
        <v>3.921875</v>
      </c>
      <c r="K52" s="25"/>
    </row>
    <row r="53" spans="1:11" x14ac:dyDescent="0.2">
      <c r="A53" s="12" t="s">
        <v>120</v>
      </c>
      <c r="B53" s="3">
        <v>159952</v>
      </c>
      <c r="C53" s="3">
        <v>162632</v>
      </c>
      <c r="D53" s="3">
        <v>167692</v>
      </c>
      <c r="E53" s="3">
        <v>162452</v>
      </c>
      <c r="F53" s="3">
        <v>162660</v>
      </c>
      <c r="G53" s="20">
        <f t="shared" si="22"/>
        <v>2.6171875</v>
      </c>
      <c r="H53" s="20">
        <f t="shared" si="23"/>
        <v>7.55859375</v>
      </c>
      <c r="I53" s="20">
        <f t="shared" si="24"/>
        <v>2.44140625</v>
      </c>
      <c r="J53" s="20">
        <f t="shared" si="25"/>
        <v>2.64453125</v>
      </c>
      <c r="K53" s="25"/>
    </row>
    <row r="54" spans="1:11" x14ac:dyDescent="0.2">
      <c r="A54" s="12" t="s">
        <v>121</v>
      </c>
      <c r="B54" s="3">
        <v>27644</v>
      </c>
      <c r="C54" s="3">
        <v>28364</v>
      </c>
      <c r="D54" s="3">
        <v>29636</v>
      </c>
      <c r="E54" s="3">
        <v>28308</v>
      </c>
      <c r="F54" s="3">
        <v>28296</v>
      </c>
      <c r="G54" s="20">
        <f t="shared" si="22"/>
        <v>0.703125</v>
      </c>
      <c r="H54" s="20">
        <f t="shared" si="23"/>
        <v>1.9453125</v>
      </c>
      <c r="I54" s="20">
        <f t="shared" si="24"/>
        <v>0.6484375</v>
      </c>
      <c r="J54" s="20">
        <f t="shared" si="25"/>
        <v>0.63671875</v>
      </c>
      <c r="K54" s="25"/>
    </row>
    <row r="55" spans="1:11" x14ac:dyDescent="0.2">
      <c r="A55" s="12" t="s">
        <v>122</v>
      </c>
      <c r="B55" s="3">
        <v>743004</v>
      </c>
      <c r="C55" s="3">
        <v>745468</v>
      </c>
      <c r="D55" s="3">
        <v>745992</v>
      </c>
      <c r="E55" s="3">
        <v>745384</v>
      </c>
      <c r="F55" s="3">
        <v>745524</v>
      </c>
      <c r="G55" s="20">
        <f t="shared" si="22"/>
        <v>2.40625</v>
      </c>
      <c r="H55" s="20">
        <f t="shared" si="23"/>
        <v>2.91796875</v>
      </c>
      <c r="I55" s="20">
        <f t="shared" si="24"/>
        <v>2.32421875</v>
      </c>
      <c r="J55" s="20">
        <f t="shared" si="25"/>
        <v>2.4609375</v>
      </c>
      <c r="K55" s="25"/>
    </row>
    <row r="56" spans="1:11" x14ac:dyDescent="0.2">
      <c r="A56" s="12" t="s">
        <v>0</v>
      </c>
      <c r="B56" s="3">
        <v>4056652</v>
      </c>
      <c r="C56" s="3">
        <v>4058360</v>
      </c>
      <c r="D56" s="3">
        <v>4058448</v>
      </c>
      <c r="E56" s="3">
        <v>4058224</v>
      </c>
      <c r="F56" s="3">
        <v>4058300</v>
      </c>
      <c r="G56" s="20">
        <f t="shared" si="22"/>
        <v>1.66796875</v>
      </c>
      <c r="H56" s="20">
        <f t="shared" si="23"/>
        <v>1.75390625</v>
      </c>
      <c r="I56" s="20">
        <f t="shared" si="24"/>
        <v>1.53515625</v>
      </c>
      <c r="J56" s="20">
        <f t="shared" si="25"/>
        <v>1.609375</v>
      </c>
      <c r="K56" s="25"/>
    </row>
    <row r="57" spans="1:11" x14ac:dyDescent="0.2">
      <c r="A57" s="12" t="s">
        <v>1</v>
      </c>
      <c r="B57" s="3">
        <v>3302240</v>
      </c>
      <c r="C57" s="3">
        <v>3303732</v>
      </c>
      <c r="D57" s="3">
        <v>3303936</v>
      </c>
      <c r="E57" s="3">
        <v>3303668</v>
      </c>
      <c r="F57" s="3">
        <v>3303576</v>
      </c>
      <c r="G57" s="20">
        <f t="shared" si="22"/>
        <v>1.45703125</v>
      </c>
      <c r="H57" s="20">
        <f t="shared" si="23"/>
        <v>1.65625</v>
      </c>
      <c r="I57" s="20">
        <f t="shared" si="24"/>
        <v>1.39453125</v>
      </c>
      <c r="J57" s="20">
        <f t="shared" si="25"/>
        <v>1.3046875</v>
      </c>
      <c r="K57" s="25"/>
    </row>
    <row r="58" spans="1:11" x14ac:dyDescent="0.2">
      <c r="A58" s="58" t="s">
        <v>157</v>
      </c>
      <c r="B58" s="66">
        <v>247668</v>
      </c>
      <c r="C58" s="66">
        <v>249648</v>
      </c>
      <c r="D58" s="66">
        <v>249776</v>
      </c>
      <c r="E58" s="66">
        <v>249136</v>
      </c>
      <c r="F58" s="66">
        <v>249200</v>
      </c>
      <c r="G58" s="65">
        <f t="shared" si="22"/>
        <v>1.93359375</v>
      </c>
      <c r="H58" s="65">
        <f t="shared" si="23"/>
        <v>2.05859375</v>
      </c>
      <c r="I58" s="65">
        <f t="shared" si="24"/>
        <v>1.43359375</v>
      </c>
      <c r="J58" s="65">
        <f t="shared" si="25"/>
        <v>1.49609375</v>
      </c>
      <c r="K58" s="25"/>
    </row>
    <row r="59" spans="1:11" x14ac:dyDescent="0.2">
      <c r="A59" s="12" t="s">
        <v>2</v>
      </c>
      <c r="B59" s="3">
        <v>491012</v>
      </c>
      <c r="C59" s="3">
        <v>495100</v>
      </c>
      <c r="D59" s="3">
        <v>504536</v>
      </c>
      <c r="E59" s="3">
        <v>494452</v>
      </c>
      <c r="F59" s="3">
        <v>494664</v>
      </c>
      <c r="G59" s="20">
        <f t="shared" si="19"/>
        <v>3.9921875</v>
      </c>
      <c r="H59" s="20">
        <f t="shared" ref="H59:I61" si="26">(D59-$B59)/1024</f>
        <v>13.20703125</v>
      </c>
      <c r="I59" s="20">
        <f t="shared" si="26"/>
        <v>3.359375</v>
      </c>
      <c r="J59" s="20">
        <f t="shared" si="21"/>
        <v>3.56640625</v>
      </c>
      <c r="K59" s="25"/>
    </row>
    <row r="60" spans="1:11" x14ac:dyDescent="0.2">
      <c r="A60" s="12" t="s">
        <v>3</v>
      </c>
      <c r="B60" s="3">
        <v>160200</v>
      </c>
      <c r="C60" s="3">
        <v>162660</v>
      </c>
      <c r="D60" s="3">
        <v>167592</v>
      </c>
      <c r="E60" s="3">
        <v>162604</v>
      </c>
      <c r="F60" s="3">
        <v>162624</v>
      </c>
      <c r="G60" s="20">
        <f t="shared" si="19"/>
        <v>2.40234375</v>
      </c>
      <c r="H60" s="20">
        <f t="shared" si="26"/>
        <v>7.21875</v>
      </c>
      <c r="I60" s="20">
        <f t="shared" si="26"/>
        <v>2.34765625</v>
      </c>
      <c r="J60" s="20">
        <f t="shared" si="21"/>
        <v>2.3671875</v>
      </c>
      <c r="K60" s="25"/>
    </row>
    <row r="61" spans="1:11" x14ac:dyDescent="0.2">
      <c r="A61" s="12" t="s">
        <v>4</v>
      </c>
      <c r="B61" s="3">
        <v>28044</v>
      </c>
      <c r="C61" s="3">
        <v>28424</v>
      </c>
      <c r="D61" s="3">
        <v>28596</v>
      </c>
      <c r="E61" s="3">
        <v>28240</v>
      </c>
      <c r="F61" s="3">
        <v>28292</v>
      </c>
      <c r="G61" s="20">
        <f t="shared" si="19"/>
        <v>0.37109375</v>
      </c>
      <c r="H61" s="20">
        <f t="shared" si="26"/>
        <v>0.5390625</v>
      </c>
      <c r="I61" s="20">
        <f t="shared" si="26"/>
        <v>0.19140625</v>
      </c>
      <c r="J61" s="20">
        <f t="shared" si="21"/>
        <v>0.2421875</v>
      </c>
      <c r="K61" s="25"/>
    </row>
    <row r="62" spans="1:11" x14ac:dyDescent="0.2">
      <c r="A62" s="12" t="s">
        <v>5</v>
      </c>
      <c r="B62" s="3">
        <v>15206648</v>
      </c>
      <c r="C62" s="3">
        <v>15655200</v>
      </c>
      <c r="D62" s="3">
        <v>15701212</v>
      </c>
      <c r="E62" s="3">
        <v>15219108</v>
      </c>
      <c r="F62" s="3">
        <v>15481592</v>
      </c>
      <c r="G62" s="29">
        <v>37</v>
      </c>
      <c r="H62" s="29">
        <v>53</v>
      </c>
      <c r="I62" s="29">
        <v>20</v>
      </c>
      <c r="J62" s="29">
        <v>21</v>
      </c>
      <c r="K62" s="29"/>
    </row>
    <row r="63" spans="1:11" x14ac:dyDescent="0.2">
      <c r="A63" s="1" t="s">
        <v>66</v>
      </c>
      <c r="B63" s="22"/>
      <c r="C63" s="22"/>
      <c r="D63" s="22"/>
      <c r="E63" s="22"/>
      <c r="F63" s="22"/>
      <c r="G63" s="1">
        <f>GEOMEAN(G48:G62)</f>
        <v>2.0169587012564212</v>
      </c>
      <c r="H63" s="1">
        <f>GEOMEAN(H48:H62)</f>
        <v>3.5725812194968047</v>
      </c>
      <c r="I63" s="1">
        <f>GEOMEAN(I48:I62)</f>
        <v>1.6595842368126772</v>
      </c>
      <c r="J63" s="1">
        <f>GEOMEAN(J48:J62)</f>
        <v>1.7182016598897574</v>
      </c>
    </row>
    <row r="64" spans="1:11" x14ac:dyDescent="0.2">
      <c r="B64" s="22"/>
      <c r="C64" s="22"/>
      <c r="D64" s="22"/>
      <c r="E64" s="22"/>
      <c r="F64" s="22"/>
    </row>
    <row r="65" spans="2:6" x14ac:dyDescent="0.2">
      <c r="B65" s="22"/>
      <c r="C65" s="22"/>
      <c r="D65" s="22"/>
      <c r="E65" s="22"/>
      <c r="F65" s="2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903A9-3F83-6C49-99EA-B094B22E50E7}">
  <dimension ref="A1:K53"/>
  <sheetViews>
    <sheetView zoomScale="80" zoomScaleNormal="80" workbookViewId="0">
      <selection activeCell="A6" sqref="A6"/>
    </sheetView>
  </sheetViews>
  <sheetFormatPr baseColWidth="10" defaultRowHeight="18" x14ac:dyDescent="0.2"/>
  <cols>
    <col min="1" max="1" width="27.83203125" style="1" bestFit="1" customWidth="1"/>
    <col min="2" max="2" width="14.1640625" style="1" bestFit="1" customWidth="1"/>
    <col min="3" max="3" width="25.6640625" style="1" bestFit="1" customWidth="1"/>
    <col min="4" max="4" width="20.6640625" style="1" bestFit="1" customWidth="1"/>
    <col min="5" max="5" width="35.1640625" style="1" bestFit="1" customWidth="1"/>
    <col min="6" max="6" width="30.1640625" style="1" bestFit="1" customWidth="1"/>
    <col min="7" max="7" width="25.6640625" style="1" bestFit="1" customWidth="1"/>
    <col min="8" max="8" width="20.6640625" style="1" bestFit="1" customWidth="1"/>
    <col min="9" max="9" width="35.1640625" style="1" bestFit="1" customWidth="1"/>
    <col min="10" max="10" width="30.1640625" style="1" bestFit="1" customWidth="1"/>
    <col min="11" max="16384" width="10.83203125" style="1"/>
  </cols>
  <sheetData>
    <row r="1" spans="1:11" x14ac:dyDescent="0.2">
      <c r="A1" s="2" t="s">
        <v>103</v>
      </c>
      <c r="B1" s="2" t="s">
        <v>86</v>
      </c>
      <c r="C1" s="2" t="s">
        <v>111</v>
      </c>
      <c r="D1" s="2" t="s">
        <v>112</v>
      </c>
      <c r="E1" s="2" t="s">
        <v>109</v>
      </c>
      <c r="F1" s="2" t="s">
        <v>110</v>
      </c>
    </row>
    <row r="2" spans="1:11" x14ac:dyDescent="0.2">
      <c r="A2" s="2" t="s">
        <v>91</v>
      </c>
      <c r="B2" s="3">
        <v>26</v>
      </c>
      <c r="C2" s="3">
        <v>57</v>
      </c>
      <c r="D2" s="3">
        <v>410</v>
      </c>
      <c r="E2" s="3">
        <v>71</v>
      </c>
      <c r="F2" s="3">
        <v>74</v>
      </c>
      <c r="G2" s="21" t="s">
        <v>108</v>
      </c>
      <c r="K2" s="1" t="s">
        <v>107</v>
      </c>
    </row>
    <row r="3" spans="1:11" x14ac:dyDescent="0.2">
      <c r="A3" s="2" t="s">
        <v>92</v>
      </c>
      <c r="B3" s="3">
        <v>22</v>
      </c>
      <c r="C3" s="3">
        <v>23</v>
      </c>
      <c r="D3" s="3">
        <v>58</v>
      </c>
      <c r="E3" s="3">
        <v>24</v>
      </c>
      <c r="F3" s="3">
        <v>25</v>
      </c>
      <c r="G3" s="21"/>
    </row>
    <row r="4" spans="1:11" x14ac:dyDescent="0.2">
      <c r="A4" s="2" t="s">
        <v>93</v>
      </c>
      <c r="B4" s="3">
        <v>5557</v>
      </c>
      <c r="C4" s="3">
        <v>5691</v>
      </c>
      <c r="D4" s="3">
        <v>14340</v>
      </c>
      <c r="E4" s="3">
        <v>6498</v>
      </c>
      <c r="F4" s="3">
        <v>6214</v>
      </c>
      <c r="G4" s="21"/>
    </row>
    <row r="5" spans="1:11" x14ac:dyDescent="0.2">
      <c r="A5" s="2" t="s">
        <v>94</v>
      </c>
      <c r="B5" s="3">
        <v>44</v>
      </c>
      <c r="C5" s="24">
        <v>41</v>
      </c>
      <c r="D5" s="3">
        <v>75</v>
      </c>
      <c r="E5" s="3">
        <v>42</v>
      </c>
      <c r="F5" s="24">
        <v>43</v>
      </c>
      <c r="G5" s="21" t="s">
        <v>108</v>
      </c>
    </row>
    <row r="6" spans="1:11" x14ac:dyDescent="0.2">
      <c r="A6" s="2" t="s">
        <v>95</v>
      </c>
      <c r="B6" s="3">
        <v>2625</v>
      </c>
      <c r="C6" s="3">
        <v>4677</v>
      </c>
      <c r="D6" s="3">
        <v>29042</v>
      </c>
      <c r="E6" s="3">
        <v>4781</v>
      </c>
      <c r="F6" s="3">
        <v>4553</v>
      </c>
      <c r="G6" s="21"/>
    </row>
    <row r="7" spans="1:11" x14ac:dyDescent="0.2">
      <c r="A7" s="2" t="s">
        <v>96</v>
      </c>
      <c r="B7" s="3">
        <v>3865</v>
      </c>
      <c r="C7" s="3">
        <v>5879</v>
      </c>
      <c r="D7" s="3">
        <v>30555</v>
      </c>
      <c r="E7" s="3">
        <v>5516</v>
      </c>
      <c r="F7" s="3">
        <v>5821</v>
      </c>
      <c r="G7" s="21"/>
    </row>
    <row r="8" spans="1:11" x14ac:dyDescent="0.2">
      <c r="A8" s="2" t="s">
        <v>97</v>
      </c>
      <c r="B8" s="3">
        <v>1809</v>
      </c>
      <c r="C8" s="3">
        <v>1821</v>
      </c>
      <c r="D8" s="3">
        <v>1842</v>
      </c>
      <c r="E8" s="3">
        <v>1822</v>
      </c>
      <c r="F8" s="3">
        <v>1823</v>
      </c>
      <c r="G8" s="21"/>
    </row>
    <row r="9" spans="1:11" x14ac:dyDescent="0.2">
      <c r="A9" s="2" t="s">
        <v>98</v>
      </c>
      <c r="B9" s="3">
        <v>3764</v>
      </c>
      <c r="C9" s="3">
        <v>3685</v>
      </c>
      <c r="D9" s="3">
        <v>3712</v>
      </c>
      <c r="E9" s="3">
        <v>3711</v>
      </c>
      <c r="F9" s="3">
        <v>3799</v>
      </c>
      <c r="G9" s="21"/>
    </row>
    <row r="10" spans="1:11" x14ac:dyDescent="0.2">
      <c r="A10" s="2" t="s">
        <v>99</v>
      </c>
      <c r="B10" s="3">
        <v>31</v>
      </c>
      <c r="C10" s="24">
        <v>83</v>
      </c>
      <c r="D10" s="3">
        <v>894</v>
      </c>
      <c r="E10" s="24">
        <v>98</v>
      </c>
      <c r="F10" s="24">
        <v>106</v>
      </c>
      <c r="G10" s="21" t="s">
        <v>108</v>
      </c>
    </row>
    <row r="11" spans="1:11" x14ac:dyDescent="0.2">
      <c r="A11" s="2" t="s">
        <v>100</v>
      </c>
      <c r="B11" s="3">
        <v>949</v>
      </c>
      <c r="C11" s="3">
        <v>1284</v>
      </c>
      <c r="D11" s="3">
        <v>7754</v>
      </c>
      <c r="E11" s="3">
        <v>1289</v>
      </c>
      <c r="F11" s="3">
        <v>1320</v>
      </c>
    </row>
    <row r="12" spans="1:11" x14ac:dyDescent="0.2">
      <c r="A12" s="4" t="s">
        <v>158</v>
      </c>
      <c r="B12" s="66">
        <v>5884</v>
      </c>
      <c r="C12" s="66">
        <v>6102</v>
      </c>
      <c r="D12" s="66">
        <v>15728</v>
      </c>
      <c r="E12" s="66">
        <v>6319</v>
      </c>
      <c r="F12" s="66">
        <v>6940</v>
      </c>
    </row>
    <row r="13" spans="1:11" x14ac:dyDescent="0.2">
      <c r="A13" s="2" t="s">
        <v>101</v>
      </c>
      <c r="B13" s="3">
        <v>472</v>
      </c>
      <c r="C13" s="3">
        <v>650</v>
      </c>
      <c r="D13" s="3">
        <v>3253</v>
      </c>
      <c r="E13" s="3">
        <v>693</v>
      </c>
      <c r="F13" s="3">
        <v>768</v>
      </c>
    </row>
    <row r="14" spans="1:11" x14ac:dyDescent="0.2">
      <c r="A14" s="2" t="s">
        <v>102</v>
      </c>
      <c r="B14" s="3">
        <v>54</v>
      </c>
      <c r="C14" s="3">
        <v>81</v>
      </c>
      <c r="D14" s="3">
        <v>339</v>
      </c>
      <c r="E14" s="3">
        <v>83</v>
      </c>
      <c r="F14" s="3">
        <v>91</v>
      </c>
    </row>
    <row r="15" spans="1:11" x14ac:dyDescent="0.2">
      <c r="A15" s="2"/>
    </row>
    <row r="17" spans="1:11" x14ac:dyDescent="0.2">
      <c r="A17" s="2" t="s">
        <v>87</v>
      </c>
      <c r="B17" s="2" t="s">
        <v>86</v>
      </c>
      <c r="C17" s="2" t="s">
        <v>111</v>
      </c>
      <c r="D17" s="2" t="s">
        <v>112</v>
      </c>
      <c r="E17" s="2" t="s">
        <v>109</v>
      </c>
      <c r="F17" s="2" t="s">
        <v>110</v>
      </c>
    </row>
    <row r="18" spans="1:11" x14ac:dyDescent="0.2">
      <c r="A18" s="2" t="s">
        <v>91</v>
      </c>
      <c r="B18" s="20">
        <f t="shared" ref="B18:B30" si="0">B2/$B2</f>
        <v>1</v>
      </c>
      <c r="C18" s="20">
        <f t="shared" ref="C18:F18" si="1">C2/$B2</f>
        <v>2.1923076923076925</v>
      </c>
      <c r="D18" s="20">
        <f t="shared" si="1"/>
        <v>15.76923076923077</v>
      </c>
      <c r="E18" s="20">
        <f t="shared" si="1"/>
        <v>2.7307692307692308</v>
      </c>
      <c r="F18" s="20">
        <f t="shared" si="1"/>
        <v>2.8461538461538463</v>
      </c>
      <c r="G18" s="21"/>
      <c r="I18" s="21"/>
      <c r="J18" s="21"/>
      <c r="K18" s="21"/>
    </row>
    <row r="19" spans="1:11" x14ac:dyDescent="0.2">
      <c r="A19" s="2" t="s">
        <v>92</v>
      </c>
      <c r="B19" s="20">
        <f t="shared" si="0"/>
        <v>1</v>
      </c>
      <c r="C19" s="20">
        <f t="shared" ref="C19:F19" si="2">C3/$B3</f>
        <v>1.0454545454545454</v>
      </c>
      <c r="D19" s="20">
        <f t="shared" si="2"/>
        <v>2.6363636363636362</v>
      </c>
      <c r="E19" s="20">
        <f t="shared" si="2"/>
        <v>1.0909090909090908</v>
      </c>
      <c r="F19" s="20">
        <f t="shared" si="2"/>
        <v>1.1363636363636365</v>
      </c>
      <c r="G19" s="21"/>
      <c r="I19" s="21"/>
      <c r="J19" s="21"/>
      <c r="K19" s="21"/>
    </row>
    <row r="20" spans="1:11" x14ac:dyDescent="0.2">
      <c r="A20" s="2" t="s">
        <v>93</v>
      </c>
      <c r="B20" s="20">
        <f t="shared" si="0"/>
        <v>1</v>
      </c>
      <c r="C20" s="20">
        <f t="shared" ref="C20:F20" si="3">C4/$B4</f>
        <v>1.0241137304300882</v>
      </c>
      <c r="D20" s="20">
        <f t="shared" si="3"/>
        <v>2.5805290624437647</v>
      </c>
      <c r="E20" s="20">
        <f t="shared" si="3"/>
        <v>1.1693359726471118</v>
      </c>
      <c r="F20" s="20">
        <f t="shared" si="3"/>
        <v>1.1182292603922981</v>
      </c>
      <c r="G20" s="21"/>
      <c r="I20" s="21"/>
      <c r="J20" s="21"/>
      <c r="K20" s="21"/>
    </row>
    <row r="21" spans="1:11" x14ac:dyDescent="0.2">
      <c r="A21" s="2" t="s">
        <v>94</v>
      </c>
      <c r="B21" s="20">
        <f t="shared" si="0"/>
        <v>1</v>
      </c>
      <c r="C21" s="20">
        <f t="shared" ref="C21:F21" si="4">C5/$B5</f>
        <v>0.93181818181818177</v>
      </c>
      <c r="D21" s="20">
        <f t="shared" si="4"/>
        <v>1.7045454545454546</v>
      </c>
      <c r="E21" s="20">
        <f t="shared" si="4"/>
        <v>0.95454545454545459</v>
      </c>
      <c r="F21" s="20">
        <f t="shared" si="4"/>
        <v>0.97727272727272729</v>
      </c>
      <c r="G21" s="21"/>
      <c r="I21" s="21"/>
      <c r="J21" s="21"/>
      <c r="K21" s="21"/>
    </row>
    <row r="22" spans="1:11" x14ac:dyDescent="0.2">
      <c r="A22" s="2" t="s">
        <v>95</v>
      </c>
      <c r="B22" s="20">
        <f t="shared" si="0"/>
        <v>1</v>
      </c>
      <c r="C22" s="20">
        <f t="shared" ref="C22:F22" si="5">C6/$B6</f>
        <v>1.7817142857142858</v>
      </c>
      <c r="D22" s="20">
        <f t="shared" si="5"/>
        <v>11.063619047619047</v>
      </c>
      <c r="E22" s="20">
        <f t="shared" si="5"/>
        <v>1.8213333333333332</v>
      </c>
      <c r="F22" s="20">
        <f t="shared" si="5"/>
        <v>1.7344761904761905</v>
      </c>
      <c r="G22" s="21"/>
      <c r="I22" s="21"/>
      <c r="J22" s="21"/>
      <c r="K22" s="21"/>
    </row>
    <row r="23" spans="1:11" x14ac:dyDescent="0.2">
      <c r="A23" s="2" t="s">
        <v>96</v>
      </c>
      <c r="B23" s="20">
        <f t="shared" si="0"/>
        <v>1</v>
      </c>
      <c r="C23" s="20">
        <f t="shared" ref="C23:F23" si="6">C7/$B7</f>
        <v>1.5210866752910737</v>
      </c>
      <c r="D23" s="20">
        <f t="shared" si="6"/>
        <v>7.9055627425614485</v>
      </c>
      <c r="E23" s="20">
        <f t="shared" si="6"/>
        <v>1.4271668822768435</v>
      </c>
      <c r="F23" s="20">
        <f t="shared" si="6"/>
        <v>1.5060802069857697</v>
      </c>
      <c r="G23" s="21"/>
      <c r="I23" s="21"/>
      <c r="J23" s="21"/>
      <c r="K23" s="21"/>
    </row>
    <row r="24" spans="1:11" x14ac:dyDescent="0.2">
      <c r="A24" s="2" t="s">
        <v>97</v>
      </c>
      <c r="B24" s="20">
        <f t="shared" si="0"/>
        <v>1</v>
      </c>
      <c r="C24" s="20">
        <f t="shared" ref="C24:F24" si="7">C8/$B8</f>
        <v>1.0066334991708126</v>
      </c>
      <c r="D24" s="20">
        <f t="shared" si="7"/>
        <v>1.0182421227197347</v>
      </c>
      <c r="E24" s="20">
        <f t="shared" si="7"/>
        <v>1.0071862907683804</v>
      </c>
      <c r="F24" s="20">
        <f t="shared" si="7"/>
        <v>1.007739082365948</v>
      </c>
      <c r="G24" s="21"/>
      <c r="I24" s="21"/>
      <c r="J24" s="21"/>
      <c r="K24" s="21"/>
    </row>
    <row r="25" spans="1:11" x14ac:dyDescent="0.2">
      <c r="A25" s="2" t="s">
        <v>98</v>
      </c>
      <c r="B25" s="20">
        <f t="shared" si="0"/>
        <v>1</v>
      </c>
      <c r="C25" s="20">
        <f t="shared" ref="C25:F25" si="8">C9/$B9</f>
        <v>0.97901168969181718</v>
      </c>
      <c r="D25" s="20">
        <f t="shared" si="8"/>
        <v>0.98618490967056327</v>
      </c>
      <c r="E25" s="20">
        <f t="shared" si="8"/>
        <v>0.98591923485653565</v>
      </c>
      <c r="F25" s="20">
        <f t="shared" si="8"/>
        <v>1.0092986184909671</v>
      </c>
      <c r="G25" s="21"/>
      <c r="I25" s="21"/>
      <c r="J25" s="21"/>
      <c r="K25" s="21"/>
    </row>
    <row r="26" spans="1:11" x14ac:dyDescent="0.2">
      <c r="A26" s="2" t="s">
        <v>99</v>
      </c>
      <c r="B26" s="20">
        <f t="shared" si="0"/>
        <v>1</v>
      </c>
      <c r="C26" s="20">
        <f t="shared" ref="C26:F26" si="9">C10/$B10</f>
        <v>2.6774193548387095</v>
      </c>
      <c r="D26" s="20">
        <f t="shared" si="9"/>
        <v>28.838709677419356</v>
      </c>
      <c r="E26" s="20">
        <f t="shared" si="9"/>
        <v>3.161290322580645</v>
      </c>
      <c r="F26" s="20">
        <f t="shared" si="9"/>
        <v>3.4193548387096775</v>
      </c>
      <c r="G26" s="21"/>
      <c r="I26" s="21"/>
      <c r="J26" s="21"/>
      <c r="K26" s="21"/>
    </row>
    <row r="27" spans="1:11" x14ac:dyDescent="0.2">
      <c r="A27" s="2" t="s">
        <v>100</v>
      </c>
      <c r="B27" s="20">
        <f t="shared" si="0"/>
        <v>1</v>
      </c>
      <c r="C27" s="20">
        <f t="shared" ref="C27:F27" si="10">C11/$B11</f>
        <v>1.3530031612223392</v>
      </c>
      <c r="D27" s="20">
        <f t="shared" si="10"/>
        <v>8.1707060063224439</v>
      </c>
      <c r="E27" s="20">
        <f t="shared" si="10"/>
        <v>1.3582718651211803</v>
      </c>
      <c r="F27" s="20">
        <f t="shared" si="10"/>
        <v>1.3909378292939938</v>
      </c>
      <c r="G27" s="21"/>
      <c r="I27" s="21"/>
      <c r="J27" s="21"/>
      <c r="K27" s="21"/>
    </row>
    <row r="28" spans="1:11" x14ac:dyDescent="0.2">
      <c r="A28" s="4" t="s">
        <v>158</v>
      </c>
      <c r="B28" s="65">
        <f t="shared" si="0"/>
        <v>1</v>
      </c>
      <c r="C28" s="65">
        <f t="shared" ref="C28:F28" si="11">C12/$B12</f>
        <v>1.0370496261046906</v>
      </c>
      <c r="D28" s="65">
        <f t="shared" si="11"/>
        <v>2.6730115567641062</v>
      </c>
      <c r="E28" s="65">
        <f t="shared" si="11"/>
        <v>1.073929299796057</v>
      </c>
      <c r="F28" s="65">
        <f t="shared" si="11"/>
        <v>1.1794697484704282</v>
      </c>
      <c r="G28" s="21"/>
      <c r="I28" s="21"/>
      <c r="J28" s="21"/>
      <c r="K28" s="21"/>
    </row>
    <row r="29" spans="1:11" x14ac:dyDescent="0.2">
      <c r="A29" s="2" t="s">
        <v>101</v>
      </c>
      <c r="B29" s="20">
        <f t="shared" si="0"/>
        <v>1</v>
      </c>
      <c r="C29" s="20">
        <f t="shared" ref="C29:F29" si="12">C13/$B13</f>
        <v>1.3771186440677967</v>
      </c>
      <c r="D29" s="20">
        <f t="shared" si="12"/>
        <v>6.8919491525423728</v>
      </c>
      <c r="E29" s="20">
        <f t="shared" si="12"/>
        <v>1.4682203389830508</v>
      </c>
      <c r="F29" s="20">
        <f t="shared" si="12"/>
        <v>1.6271186440677967</v>
      </c>
      <c r="G29" s="21"/>
      <c r="I29" s="21"/>
      <c r="J29" s="21"/>
      <c r="K29" s="21"/>
    </row>
    <row r="30" spans="1:11" x14ac:dyDescent="0.2">
      <c r="A30" s="2" t="s">
        <v>102</v>
      </c>
      <c r="B30" s="20">
        <f t="shared" si="0"/>
        <v>1</v>
      </c>
      <c r="C30" s="20">
        <f t="shared" ref="C30:F30" si="13">C14/$B14</f>
        <v>1.5</v>
      </c>
      <c r="D30" s="20">
        <f t="shared" si="13"/>
        <v>6.2777777777777777</v>
      </c>
      <c r="E30" s="20">
        <f t="shared" si="13"/>
        <v>1.537037037037037</v>
      </c>
      <c r="F30" s="20">
        <f t="shared" si="13"/>
        <v>1.6851851851851851</v>
      </c>
      <c r="G30" s="21"/>
      <c r="I30" s="21"/>
      <c r="J30" s="21"/>
      <c r="K30" s="21"/>
    </row>
    <row r="31" spans="1:11" x14ac:dyDescent="0.2">
      <c r="A31" s="2" t="s">
        <v>160</v>
      </c>
      <c r="B31" s="20">
        <f>GEOMEAN(B18:B30)</f>
        <v>1</v>
      </c>
      <c r="C31" s="20">
        <f t="shared" ref="C31" si="14">GEOMEAN(C18:C30)</f>
        <v>1.3409621318138527</v>
      </c>
      <c r="D31" s="20">
        <f>GEOMEAN(D18:D30)</f>
        <v>4.6206638097694075</v>
      </c>
      <c r="E31" s="20">
        <f>GEOMEAN(E18:E30)</f>
        <v>1.4127695343529236</v>
      </c>
      <c r="F31" s="20">
        <f>GEOMEAN(F18:F30)</f>
        <v>1.4659923378379092</v>
      </c>
      <c r="G31" s="1">
        <f>D31/F31</f>
        <v>3.151901746351625</v>
      </c>
    </row>
    <row r="32" spans="1:11" x14ac:dyDescent="0.2">
      <c r="B32" s="21"/>
      <c r="C32" s="21"/>
      <c r="D32" s="21"/>
      <c r="E32" s="21"/>
      <c r="F32" s="21"/>
    </row>
    <row r="33" spans="1:11" x14ac:dyDescent="0.2">
      <c r="B33" s="21"/>
      <c r="C33" s="21"/>
      <c r="D33" s="21"/>
      <c r="E33" s="21"/>
      <c r="F33" s="21"/>
    </row>
    <row r="34" spans="1:11" x14ac:dyDescent="0.2">
      <c r="B34" s="21"/>
      <c r="C34" s="21"/>
      <c r="D34" s="21"/>
      <c r="E34" s="21"/>
      <c r="F34" s="21"/>
    </row>
    <row r="35" spans="1:11" x14ac:dyDescent="0.2">
      <c r="B35" s="21"/>
      <c r="C35" s="21"/>
      <c r="D35" s="21"/>
      <c r="E35" s="21"/>
      <c r="F35" s="21"/>
      <c r="G35" s="1">
        <f>E31/C31</f>
        <v>1.0535491650625068</v>
      </c>
    </row>
    <row r="39" spans="1:11" x14ac:dyDescent="0.2">
      <c r="A39" s="2" t="s">
        <v>88</v>
      </c>
      <c r="B39" s="23" t="s">
        <v>86</v>
      </c>
      <c r="C39" s="2" t="s">
        <v>111</v>
      </c>
      <c r="D39" s="2" t="s">
        <v>112</v>
      </c>
      <c r="E39" s="2" t="s">
        <v>109</v>
      </c>
      <c r="F39" s="2" t="s">
        <v>110</v>
      </c>
      <c r="G39" s="2" t="s">
        <v>111</v>
      </c>
      <c r="H39" s="2" t="s">
        <v>109</v>
      </c>
      <c r="I39" s="2" t="s">
        <v>112</v>
      </c>
      <c r="J39" s="2" t="s">
        <v>110</v>
      </c>
    </row>
    <row r="40" spans="1:11" x14ac:dyDescent="0.2">
      <c r="A40" s="2" t="s">
        <v>91</v>
      </c>
      <c r="B40" s="3">
        <v>5360</v>
      </c>
      <c r="C40" s="3">
        <v>7224</v>
      </c>
      <c r="D40" s="3">
        <v>7156</v>
      </c>
      <c r="E40" s="3">
        <v>6888</v>
      </c>
      <c r="F40" s="3">
        <v>6884</v>
      </c>
      <c r="G40" s="26">
        <f>(C40-$B40)/1024</f>
        <v>1.8203125</v>
      </c>
      <c r="H40" s="26">
        <f t="shared" ref="H40:H52" si="15">(E40-$B40)/1024</f>
        <v>1.4921875</v>
      </c>
      <c r="I40" s="26">
        <f t="shared" ref="I40:I52" si="16">(D40-$B40)/1024</f>
        <v>1.75390625</v>
      </c>
      <c r="J40" s="26">
        <f>(F40-$B40)/1024</f>
        <v>1.48828125</v>
      </c>
      <c r="K40" s="25">
        <f t="shared" ref="K40:K52" si="17">I40-J40</f>
        <v>0.265625</v>
      </c>
    </row>
    <row r="41" spans="1:11" x14ac:dyDescent="0.2">
      <c r="A41" s="2" t="s">
        <v>92</v>
      </c>
      <c r="B41" s="3">
        <v>41536</v>
      </c>
      <c r="C41" s="3">
        <v>44076</v>
      </c>
      <c r="D41" s="3">
        <v>43832</v>
      </c>
      <c r="E41" s="3">
        <v>44008</v>
      </c>
      <c r="F41" s="3">
        <v>43944</v>
      </c>
      <c r="G41" s="26">
        <f t="shared" ref="G41:G52" si="18">(C41-$B41)/1024</f>
        <v>2.48046875</v>
      </c>
      <c r="H41" s="26">
        <f t="shared" si="15"/>
        <v>2.4140625</v>
      </c>
      <c r="I41" s="26">
        <f t="shared" si="16"/>
        <v>2.2421875</v>
      </c>
      <c r="J41" s="26">
        <f t="shared" ref="J41:J52" si="19">(F41-$B41)/1024</f>
        <v>2.3515625</v>
      </c>
      <c r="K41" s="25">
        <f t="shared" si="17"/>
        <v>-0.109375</v>
      </c>
    </row>
    <row r="42" spans="1:11" x14ac:dyDescent="0.2">
      <c r="A42" s="2" t="s">
        <v>93</v>
      </c>
      <c r="B42" s="3">
        <v>12587144</v>
      </c>
      <c r="C42" s="3">
        <v>12589148</v>
      </c>
      <c r="D42" s="3">
        <v>12589168</v>
      </c>
      <c r="E42" s="3">
        <v>12589072</v>
      </c>
      <c r="F42" s="3">
        <v>12588864</v>
      </c>
      <c r="G42" s="26">
        <f t="shared" si="18"/>
        <v>1.95703125</v>
      </c>
      <c r="H42" s="26">
        <f t="shared" si="15"/>
        <v>1.8828125</v>
      </c>
      <c r="I42" s="26">
        <f t="shared" si="16"/>
        <v>1.9765625</v>
      </c>
      <c r="J42" s="26">
        <f t="shared" si="19"/>
        <v>1.6796875</v>
      </c>
      <c r="K42" s="25">
        <f t="shared" si="17"/>
        <v>0.296875</v>
      </c>
    </row>
    <row r="43" spans="1:11" x14ac:dyDescent="0.2">
      <c r="A43" s="2" t="s">
        <v>94</v>
      </c>
      <c r="B43" s="3">
        <v>26204</v>
      </c>
      <c r="C43" s="3">
        <v>27948</v>
      </c>
      <c r="D43" s="3">
        <v>27920</v>
      </c>
      <c r="E43" s="3">
        <v>27652</v>
      </c>
      <c r="F43" s="3">
        <v>27744</v>
      </c>
      <c r="G43" s="26">
        <f t="shared" si="18"/>
        <v>1.703125</v>
      </c>
      <c r="H43" s="26">
        <f t="shared" si="15"/>
        <v>1.4140625</v>
      </c>
      <c r="I43" s="26">
        <f t="shared" si="16"/>
        <v>1.67578125</v>
      </c>
      <c r="J43" s="26">
        <f t="shared" si="19"/>
        <v>1.50390625</v>
      </c>
      <c r="K43" s="25">
        <f t="shared" si="17"/>
        <v>0.171875</v>
      </c>
    </row>
    <row r="44" spans="1:11" x14ac:dyDescent="0.2">
      <c r="A44" s="2" t="s">
        <v>95</v>
      </c>
      <c r="B44" s="3">
        <v>133964</v>
      </c>
      <c r="C44" s="3">
        <v>135920</v>
      </c>
      <c r="D44" s="3">
        <v>135900</v>
      </c>
      <c r="E44" s="3">
        <v>135776</v>
      </c>
      <c r="F44" s="3">
        <v>135804</v>
      </c>
      <c r="G44" s="26">
        <f t="shared" si="18"/>
        <v>1.91015625</v>
      </c>
      <c r="H44" s="26">
        <f t="shared" si="15"/>
        <v>1.76953125</v>
      </c>
      <c r="I44" s="26">
        <f t="shared" si="16"/>
        <v>1.890625</v>
      </c>
      <c r="J44" s="26">
        <f t="shared" si="19"/>
        <v>1.796875</v>
      </c>
      <c r="K44" s="25">
        <f t="shared" si="17"/>
        <v>9.375E-2</v>
      </c>
    </row>
    <row r="45" spans="1:11" x14ac:dyDescent="0.2">
      <c r="A45" s="2" t="s">
        <v>96</v>
      </c>
      <c r="B45" s="3">
        <v>133440</v>
      </c>
      <c r="C45" s="3">
        <v>135404</v>
      </c>
      <c r="D45" s="3">
        <v>135540</v>
      </c>
      <c r="E45" s="3">
        <v>135256</v>
      </c>
      <c r="F45" s="3">
        <v>135344</v>
      </c>
      <c r="G45" s="26">
        <f t="shared" si="18"/>
        <v>1.91796875</v>
      </c>
      <c r="H45" s="26">
        <f t="shared" si="15"/>
        <v>1.7734375</v>
      </c>
      <c r="I45" s="26">
        <f t="shared" si="16"/>
        <v>2.05078125</v>
      </c>
      <c r="J45" s="26">
        <f t="shared" si="19"/>
        <v>1.859375</v>
      </c>
      <c r="K45" s="25">
        <f t="shared" si="17"/>
        <v>0.19140625</v>
      </c>
    </row>
    <row r="46" spans="1:11" x14ac:dyDescent="0.2">
      <c r="A46" s="2" t="s">
        <v>97</v>
      </c>
      <c r="B46" s="3">
        <v>3629736</v>
      </c>
      <c r="C46" s="3">
        <v>3631776</v>
      </c>
      <c r="D46" s="3">
        <v>3631860</v>
      </c>
      <c r="E46" s="3">
        <v>3631788</v>
      </c>
      <c r="F46" s="3">
        <v>3631688</v>
      </c>
      <c r="G46" s="26">
        <f t="shared" si="18"/>
        <v>1.9921875</v>
      </c>
      <c r="H46" s="26">
        <f t="shared" si="15"/>
        <v>2.00390625</v>
      </c>
      <c r="I46" s="26">
        <f t="shared" si="16"/>
        <v>2.07421875</v>
      </c>
      <c r="J46" s="26">
        <f t="shared" si="19"/>
        <v>1.90625</v>
      </c>
      <c r="K46" s="25">
        <f t="shared" si="17"/>
        <v>0.16796875</v>
      </c>
    </row>
    <row r="47" spans="1:11" x14ac:dyDescent="0.2">
      <c r="A47" s="2" t="s">
        <v>98</v>
      </c>
      <c r="B47" s="3">
        <v>4092668</v>
      </c>
      <c r="C47" s="3">
        <v>4094604</v>
      </c>
      <c r="D47" s="3">
        <v>4094656</v>
      </c>
      <c r="E47" s="3">
        <v>4094596</v>
      </c>
      <c r="F47" s="3">
        <v>4094376</v>
      </c>
      <c r="G47" s="26">
        <f t="shared" si="18"/>
        <v>1.890625</v>
      </c>
      <c r="H47" s="26">
        <f t="shared" si="15"/>
        <v>1.8828125</v>
      </c>
      <c r="I47" s="26">
        <f t="shared" si="16"/>
        <v>1.94140625</v>
      </c>
      <c r="J47" s="26">
        <f t="shared" si="19"/>
        <v>1.66796875</v>
      </c>
      <c r="K47" s="25">
        <f t="shared" si="17"/>
        <v>0.2734375</v>
      </c>
    </row>
    <row r="48" spans="1:11" x14ac:dyDescent="0.2">
      <c r="A48" s="2" t="s">
        <v>99</v>
      </c>
      <c r="B48" s="3">
        <v>219128</v>
      </c>
      <c r="C48" s="3">
        <v>220972</v>
      </c>
      <c r="D48" s="3">
        <v>221176</v>
      </c>
      <c r="E48" s="3">
        <v>220688</v>
      </c>
      <c r="F48" s="3">
        <v>220900</v>
      </c>
      <c r="G48" s="26">
        <f t="shared" si="18"/>
        <v>1.80078125</v>
      </c>
      <c r="H48" s="26">
        <f t="shared" si="15"/>
        <v>1.5234375</v>
      </c>
      <c r="I48" s="26">
        <f t="shared" si="16"/>
        <v>2</v>
      </c>
      <c r="J48" s="26">
        <f t="shared" si="19"/>
        <v>1.73046875</v>
      </c>
      <c r="K48" s="25">
        <f t="shared" si="17"/>
        <v>0.26953125</v>
      </c>
    </row>
    <row r="49" spans="1:11" x14ac:dyDescent="0.2">
      <c r="A49" s="2" t="s">
        <v>100</v>
      </c>
      <c r="B49" s="3">
        <v>1440684</v>
      </c>
      <c r="C49" s="3">
        <v>1442876</v>
      </c>
      <c r="D49" s="3">
        <v>1442708</v>
      </c>
      <c r="E49" s="3">
        <v>1442688</v>
      </c>
      <c r="F49" s="3">
        <v>1442508</v>
      </c>
      <c r="G49" s="26">
        <f t="shared" si="18"/>
        <v>2.140625</v>
      </c>
      <c r="H49" s="26">
        <f t="shared" si="15"/>
        <v>1.95703125</v>
      </c>
      <c r="I49" s="26">
        <f t="shared" si="16"/>
        <v>1.9765625</v>
      </c>
      <c r="J49" s="26">
        <f t="shared" si="19"/>
        <v>1.78125</v>
      </c>
      <c r="K49" s="25">
        <f t="shared" si="17"/>
        <v>0.1953125</v>
      </c>
    </row>
    <row r="50" spans="1:11" x14ac:dyDescent="0.2">
      <c r="A50" s="4" t="s">
        <v>158</v>
      </c>
      <c r="B50" s="66">
        <v>23940</v>
      </c>
      <c r="C50" s="66">
        <v>25680</v>
      </c>
      <c r="D50" s="66">
        <v>25684</v>
      </c>
      <c r="E50" s="66">
        <v>25656</v>
      </c>
      <c r="F50" s="66">
        <v>25664</v>
      </c>
      <c r="G50" s="67">
        <f t="shared" ref="G50" si="20">(C50-$B50)/1024</f>
        <v>1.69921875</v>
      </c>
      <c r="H50" s="67">
        <f t="shared" si="15"/>
        <v>1.67578125</v>
      </c>
      <c r="I50" s="67">
        <f t="shared" si="16"/>
        <v>1.703125</v>
      </c>
      <c r="J50" s="67">
        <f t="shared" ref="J50" si="21">(F50-$B50)/1024</f>
        <v>1.68359375</v>
      </c>
      <c r="K50" s="25"/>
    </row>
    <row r="51" spans="1:11" x14ac:dyDescent="0.2">
      <c r="A51" s="2" t="s">
        <v>101</v>
      </c>
      <c r="B51" s="3">
        <v>6708</v>
      </c>
      <c r="C51" s="3">
        <v>8700</v>
      </c>
      <c r="D51" s="3">
        <v>8736</v>
      </c>
      <c r="E51" s="3">
        <v>8532</v>
      </c>
      <c r="F51" s="3">
        <v>8488</v>
      </c>
      <c r="G51" s="26">
        <f t="shared" si="18"/>
        <v>1.9453125</v>
      </c>
      <c r="H51" s="26">
        <f t="shared" si="15"/>
        <v>1.78125</v>
      </c>
      <c r="I51" s="26">
        <f t="shared" si="16"/>
        <v>1.98046875</v>
      </c>
      <c r="J51" s="26">
        <f t="shared" si="19"/>
        <v>1.73828125</v>
      </c>
      <c r="K51" s="25">
        <f t="shared" si="17"/>
        <v>0.2421875</v>
      </c>
    </row>
    <row r="52" spans="1:11" x14ac:dyDescent="0.2">
      <c r="A52" s="2" t="s">
        <v>102</v>
      </c>
      <c r="B52" s="3">
        <v>5508</v>
      </c>
      <c r="C52" s="3">
        <v>7580</v>
      </c>
      <c r="D52" s="3">
        <v>7592</v>
      </c>
      <c r="E52" s="3">
        <v>7444</v>
      </c>
      <c r="F52" s="3">
        <v>7320</v>
      </c>
      <c r="G52" s="26">
        <f t="shared" si="18"/>
        <v>2.0234375</v>
      </c>
      <c r="H52" s="26">
        <f t="shared" si="15"/>
        <v>1.890625</v>
      </c>
      <c r="I52" s="26">
        <f t="shared" si="16"/>
        <v>2.03515625</v>
      </c>
      <c r="J52" s="26">
        <f t="shared" si="19"/>
        <v>1.76953125</v>
      </c>
      <c r="K52" s="25">
        <f t="shared" si="17"/>
        <v>0.265625</v>
      </c>
    </row>
    <row r="53" spans="1:11" x14ac:dyDescent="0.2">
      <c r="A53" s="2" t="s">
        <v>66</v>
      </c>
      <c r="B53" s="2"/>
      <c r="C53" s="2"/>
      <c r="D53" s="2"/>
      <c r="F53" s="2"/>
      <c r="G53" s="27">
        <f>GEOMEAN(G40:G52)</f>
        <v>1.9356332780233232</v>
      </c>
      <c r="H53" s="27">
        <f>GEOMEAN(H40:H52)</f>
        <v>1.7881262061774543</v>
      </c>
      <c r="I53" s="27">
        <f>GEOMEAN(I40:I52)</f>
        <v>1.9401485266730638</v>
      </c>
      <c r="J53" s="27">
        <f>GEOMEAN(J40:J52)</f>
        <v>1.7550761801760975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EF309-DB42-5D47-B840-18C61923646E}">
  <dimension ref="A1:O76"/>
  <sheetViews>
    <sheetView zoomScale="80" zoomScaleNormal="80" workbookViewId="0">
      <selection activeCell="D22" sqref="D22"/>
    </sheetView>
  </sheetViews>
  <sheetFormatPr baseColWidth="10" defaultRowHeight="18" x14ac:dyDescent="0.2"/>
  <cols>
    <col min="1" max="1" width="27.83203125" style="1" bestFit="1" customWidth="1"/>
    <col min="2" max="3" width="14.1640625" style="1" bestFit="1" customWidth="1"/>
    <col min="4" max="4" width="25.6640625" style="1" bestFit="1" customWidth="1"/>
    <col min="5" max="5" width="20.6640625" style="1" bestFit="1" customWidth="1"/>
    <col min="6" max="6" width="35.1640625" style="1" bestFit="1" customWidth="1"/>
    <col min="7" max="7" width="30.1640625" style="1" bestFit="1" customWidth="1"/>
    <col min="8" max="8" width="14.1640625" style="1" bestFit="1" customWidth="1"/>
    <col min="9" max="9" width="25.6640625" style="1" bestFit="1" customWidth="1"/>
    <col min="10" max="10" width="20.6640625" style="1" bestFit="1" customWidth="1"/>
    <col min="11" max="11" width="35.1640625" style="1" bestFit="1" customWidth="1"/>
    <col min="12" max="12" width="30.1640625" style="1" bestFit="1" customWidth="1"/>
    <col min="13" max="16384" width="10.83203125" style="1"/>
  </cols>
  <sheetData>
    <row r="1" spans="1:7" x14ac:dyDescent="0.2">
      <c r="A1" s="2" t="s">
        <v>103</v>
      </c>
      <c r="B1" s="2" t="s">
        <v>86</v>
      </c>
      <c r="C1" s="2" t="s">
        <v>104</v>
      </c>
      <c r="D1" s="2" t="s">
        <v>109</v>
      </c>
      <c r="E1" s="2" t="s">
        <v>124</v>
      </c>
      <c r="F1" s="2" t="s">
        <v>113</v>
      </c>
      <c r="G1" s="2" t="s">
        <v>123</v>
      </c>
    </row>
    <row r="2" spans="1:7" x14ac:dyDescent="0.2">
      <c r="A2" s="12" t="s">
        <v>28</v>
      </c>
      <c r="B2" s="3">
        <v>32869</v>
      </c>
      <c r="C2" s="3">
        <v>61249</v>
      </c>
      <c r="D2" s="3">
        <v>393700</v>
      </c>
      <c r="E2" s="3">
        <v>322373</v>
      </c>
      <c r="F2" s="3">
        <v>458800</v>
      </c>
      <c r="G2" s="3">
        <v>388900</v>
      </c>
    </row>
    <row r="3" spans="1:7" x14ac:dyDescent="0.2">
      <c r="A3" s="12" t="s">
        <v>6</v>
      </c>
      <c r="B3" s="3">
        <v>25970</v>
      </c>
      <c r="C3" s="3">
        <v>44619</v>
      </c>
      <c r="D3" s="3">
        <v>56892</v>
      </c>
      <c r="E3" s="3">
        <v>51233</v>
      </c>
      <c r="F3" s="3">
        <v>58866</v>
      </c>
      <c r="G3" s="3">
        <v>52843</v>
      </c>
    </row>
    <row r="4" spans="1:7" x14ac:dyDescent="0.2">
      <c r="A4" s="12" t="s">
        <v>7</v>
      </c>
      <c r="B4" s="3">
        <v>39798</v>
      </c>
      <c r="C4" s="3">
        <v>104067</v>
      </c>
      <c r="D4" s="3">
        <v>181311</v>
      </c>
      <c r="E4" s="3">
        <v>143485</v>
      </c>
      <c r="F4" s="3">
        <v>195831</v>
      </c>
      <c r="G4" s="3">
        <v>157595</v>
      </c>
    </row>
    <row r="5" spans="1:7" x14ac:dyDescent="0.2">
      <c r="A5" s="12" t="s">
        <v>31</v>
      </c>
      <c r="B5" s="3">
        <v>24488</v>
      </c>
      <c r="C5" s="3">
        <v>41939</v>
      </c>
      <c r="D5" s="3">
        <v>41541</v>
      </c>
      <c r="E5" s="3">
        <v>41794</v>
      </c>
      <c r="F5" s="3">
        <v>41833</v>
      </c>
      <c r="G5" s="3">
        <v>41701</v>
      </c>
    </row>
    <row r="6" spans="1:7" x14ac:dyDescent="0.2">
      <c r="A6" s="12" t="s">
        <v>30</v>
      </c>
      <c r="B6" s="3">
        <v>29569</v>
      </c>
      <c r="C6" s="3">
        <v>55325</v>
      </c>
      <c r="D6" s="3">
        <v>226761</v>
      </c>
      <c r="E6" s="3">
        <v>143741</v>
      </c>
      <c r="F6" s="3">
        <v>260709</v>
      </c>
      <c r="G6" s="3">
        <v>176264</v>
      </c>
    </row>
    <row r="7" spans="1:7" x14ac:dyDescent="0.2">
      <c r="A7" s="12" t="s">
        <v>32</v>
      </c>
      <c r="B7" s="3">
        <v>11043</v>
      </c>
      <c r="C7" s="3">
        <v>23148</v>
      </c>
      <c r="D7" s="3">
        <v>80574</v>
      </c>
      <c r="E7" s="3">
        <v>62939</v>
      </c>
      <c r="F7" s="3">
        <v>92039</v>
      </c>
      <c r="G7" s="3">
        <v>73311</v>
      </c>
    </row>
    <row r="8" spans="1:7" x14ac:dyDescent="0.2">
      <c r="A8" s="12" t="s">
        <v>34</v>
      </c>
      <c r="B8" s="3">
        <v>38109</v>
      </c>
      <c r="C8" s="3">
        <v>71140</v>
      </c>
      <c r="D8" s="3">
        <v>277611</v>
      </c>
      <c r="E8" s="3">
        <v>164814</v>
      </c>
      <c r="F8" s="3">
        <v>315309</v>
      </c>
      <c r="G8" s="3">
        <v>196404</v>
      </c>
    </row>
    <row r="9" spans="1:7" x14ac:dyDescent="0.2">
      <c r="A9" s="12" t="s">
        <v>36</v>
      </c>
      <c r="B9" s="3">
        <v>12007</v>
      </c>
      <c r="C9" s="3">
        <v>20963</v>
      </c>
      <c r="D9" s="3">
        <v>27253</v>
      </c>
      <c r="E9" s="3">
        <v>24849</v>
      </c>
      <c r="F9" s="3">
        <v>28443</v>
      </c>
      <c r="G9" s="3">
        <v>25916</v>
      </c>
    </row>
    <row r="10" spans="1:7" x14ac:dyDescent="0.2">
      <c r="A10" s="12" t="s">
        <v>11</v>
      </c>
      <c r="B10" s="3">
        <v>66451</v>
      </c>
      <c r="C10" s="3">
        <v>124404</v>
      </c>
      <c r="D10" s="3">
        <v>766000</v>
      </c>
      <c r="E10" s="3">
        <v>625600</v>
      </c>
      <c r="F10" s="3">
        <v>881100</v>
      </c>
      <c r="G10" s="3">
        <v>754600</v>
      </c>
    </row>
    <row r="11" spans="1:7" x14ac:dyDescent="0.2">
      <c r="A11" s="12" t="s">
        <v>13</v>
      </c>
      <c r="B11" s="3">
        <v>116294</v>
      </c>
      <c r="C11" s="3">
        <v>122291</v>
      </c>
      <c r="D11" s="3">
        <v>118549</v>
      </c>
      <c r="E11" s="3">
        <v>118093</v>
      </c>
      <c r="F11" s="3">
        <v>118090</v>
      </c>
      <c r="G11" s="3">
        <v>118523</v>
      </c>
    </row>
    <row r="12" spans="1:7" x14ac:dyDescent="0.2">
      <c r="A12" s="12" t="s">
        <v>15</v>
      </c>
      <c r="B12" s="3">
        <v>29341</v>
      </c>
      <c r="C12" s="3">
        <v>54869</v>
      </c>
      <c r="D12" s="3">
        <v>226410</v>
      </c>
      <c r="E12" s="3">
        <v>141824</v>
      </c>
      <c r="F12" s="3">
        <v>260330</v>
      </c>
      <c r="G12" s="3">
        <v>174995</v>
      </c>
    </row>
    <row r="13" spans="1:7" x14ac:dyDescent="0.2">
      <c r="A13" s="12" t="s">
        <v>16</v>
      </c>
      <c r="B13" s="3">
        <v>11136</v>
      </c>
      <c r="C13" s="3">
        <v>23149</v>
      </c>
      <c r="D13" s="3">
        <v>80515</v>
      </c>
      <c r="E13" s="3">
        <v>62926</v>
      </c>
      <c r="F13" s="3">
        <v>91966</v>
      </c>
      <c r="G13" s="3">
        <v>73369</v>
      </c>
    </row>
    <row r="14" spans="1:7" x14ac:dyDescent="0.2">
      <c r="A14" s="12" t="s">
        <v>19</v>
      </c>
      <c r="B14" s="3">
        <v>38181</v>
      </c>
      <c r="C14" s="3">
        <v>71419</v>
      </c>
      <c r="D14" s="3">
        <v>275313</v>
      </c>
      <c r="E14" s="3">
        <v>166059</v>
      </c>
      <c r="F14" s="3">
        <v>316958</v>
      </c>
      <c r="G14" s="3">
        <v>197495</v>
      </c>
    </row>
    <row r="15" spans="1:7" x14ac:dyDescent="0.2">
      <c r="A15" s="12" t="s">
        <v>21</v>
      </c>
      <c r="B15" s="3">
        <v>31298</v>
      </c>
      <c r="C15" s="3">
        <v>64447</v>
      </c>
      <c r="D15" s="3">
        <v>81707</v>
      </c>
      <c r="E15" s="3">
        <v>76384</v>
      </c>
      <c r="F15" s="3">
        <v>85929</v>
      </c>
      <c r="G15" s="3">
        <v>80178</v>
      </c>
    </row>
    <row r="16" spans="1:7" x14ac:dyDescent="0.2">
      <c r="B16" s="22"/>
      <c r="C16" s="22"/>
      <c r="D16" s="22"/>
      <c r="E16" s="22"/>
      <c r="F16" s="22"/>
      <c r="G16" s="22"/>
    </row>
    <row r="17" spans="1:15" x14ac:dyDescent="0.2">
      <c r="B17" s="22"/>
      <c r="C17" s="22"/>
      <c r="D17" s="22"/>
      <c r="E17" s="22"/>
      <c r="F17" s="22"/>
      <c r="G17" s="22"/>
    </row>
    <row r="18" spans="1:15" x14ac:dyDescent="0.2">
      <c r="B18" s="22"/>
      <c r="C18" s="22"/>
      <c r="D18" s="22"/>
      <c r="E18" s="22"/>
      <c r="F18" s="22"/>
      <c r="G18" s="22"/>
    </row>
    <row r="21" spans="1:15" x14ac:dyDescent="0.2">
      <c r="A21" s="2" t="s">
        <v>87</v>
      </c>
      <c r="B21" s="2" t="s">
        <v>86</v>
      </c>
      <c r="C21" s="2" t="s">
        <v>104</v>
      </c>
      <c r="D21" s="2" t="s">
        <v>109</v>
      </c>
      <c r="E21" s="2" t="s">
        <v>124</v>
      </c>
      <c r="F21" s="2" t="s">
        <v>113</v>
      </c>
      <c r="G21" s="2" t="s">
        <v>123</v>
      </c>
      <c r="I21" s="2" t="s">
        <v>87</v>
      </c>
      <c r="J21" s="2" t="s">
        <v>104</v>
      </c>
      <c r="K21" s="2" t="s">
        <v>113</v>
      </c>
      <c r="L21" s="2" t="s">
        <v>109</v>
      </c>
      <c r="M21" s="2" t="s">
        <v>123</v>
      </c>
      <c r="N21" s="2" t="s">
        <v>124</v>
      </c>
      <c r="O21" s="2"/>
    </row>
    <row r="22" spans="1:15" x14ac:dyDescent="0.2">
      <c r="A22" s="12" t="s">
        <v>115</v>
      </c>
      <c r="B22" s="20">
        <f t="shared" ref="B22:D35" si="0">B2/$B2</f>
        <v>1</v>
      </c>
      <c r="C22" s="20">
        <f t="shared" si="0"/>
        <v>1.8634275457117648</v>
      </c>
      <c r="D22" s="20">
        <f t="shared" si="0"/>
        <v>11.977851470990903</v>
      </c>
      <c r="E22" s="20">
        <f t="shared" ref="E22:G35" si="1">E2/$B2</f>
        <v>9.8078128327603515</v>
      </c>
      <c r="F22" s="20">
        <f t="shared" ref="F22:F35" si="2">F2/$B2</f>
        <v>13.95844108430436</v>
      </c>
      <c r="G22" s="20">
        <f t="shared" si="1"/>
        <v>11.831817213788067</v>
      </c>
      <c r="I22" s="12" t="s">
        <v>115</v>
      </c>
      <c r="J22" s="20">
        <f>C2/$C2</f>
        <v>1</v>
      </c>
      <c r="K22" s="20">
        <f t="shared" ref="K22:N35" si="3">D2/$C2</f>
        <v>6.4278600466946401</v>
      </c>
      <c r="L22" s="20">
        <f t="shared" si="3"/>
        <v>5.2633185847932209</v>
      </c>
      <c r="M22" s="20">
        <f t="shared" si="3"/>
        <v>7.4907345426047769</v>
      </c>
      <c r="N22" s="20">
        <f t="shared" si="3"/>
        <v>6.3494914202680857</v>
      </c>
      <c r="O22" s="20"/>
    </row>
    <row r="23" spans="1:15" x14ac:dyDescent="0.2">
      <c r="A23" s="12" t="s">
        <v>116</v>
      </c>
      <c r="B23" s="20">
        <f t="shared" si="0"/>
        <v>1</v>
      </c>
      <c r="C23" s="20">
        <f t="shared" si="0"/>
        <v>1.7180978051597997</v>
      </c>
      <c r="D23" s="20">
        <f t="shared" si="0"/>
        <v>2.1906815556411243</v>
      </c>
      <c r="E23" s="20">
        <f t="shared" si="1"/>
        <v>1.9727762803234501</v>
      </c>
      <c r="F23" s="20">
        <f t="shared" si="2"/>
        <v>2.2666923373122834</v>
      </c>
      <c r="G23" s="20">
        <f t="shared" si="1"/>
        <v>2.0347708894878704</v>
      </c>
      <c r="I23" s="12" t="s">
        <v>116</v>
      </c>
      <c r="J23" s="20">
        <f t="shared" ref="J23:J35" si="4">C3/$C3</f>
        <v>1</v>
      </c>
      <c r="K23" s="20">
        <f t="shared" si="3"/>
        <v>1.2750621932360653</v>
      </c>
      <c r="L23" s="20">
        <f t="shared" si="3"/>
        <v>1.1482328156166655</v>
      </c>
      <c r="M23" s="20">
        <f t="shared" si="3"/>
        <v>1.319303435756068</v>
      </c>
      <c r="N23" s="20">
        <f t="shared" si="3"/>
        <v>1.1843160985230508</v>
      </c>
      <c r="O23" s="20"/>
    </row>
    <row r="24" spans="1:15" x14ac:dyDescent="0.2">
      <c r="A24" s="12" t="s">
        <v>117</v>
      </c>
      <c r="B24" s="20">
        <f t="shared" si="0"/>
        <v>1</v>
      </c>
      <c r="C24" s="20">
        <f t="shared" si="0"/>
        <v>2.6148801447308911</v>
      </c>
      <c r="D24" s="20">
        <f t="shared" si="0"/>
        <v>4.5557816975727423</v>
      </c>
      <c r="E24" s="20">
        <f t="shared" si="1"/>
        <v>3.6053319262274486</v>
      </c>
      <c r="F24" s="20">
        <f t="shared" si="2"/>
        <v>4.9206241519674352</v>
      </c>
      <c r="G24" s="20">
        <f t="shared" si="1"/>
        <v>3.9598723553947432</v>
      </c>
      <c r="I24" s="12" t="s">
        <v>117</v>
      </c>
      <c r="J24" s="20">
        <f t="shared" si="4"/>
        <v>1</v>
      </c>
      <c r="K24" s="20">
        <f t="shared" si="3"/>
        <v>1.7422525872755052</v>
      </c>
      <c r="L24" s="20">
        <f t="shared" si="3"/>
        <v>1.3787752121229593</v>
      </c>
      <c r="M24" s="20">
        <f t="shared" si="3"/>
        <v>1.8817780852719883</v>
      </c>
      <c r="N24" s="20">
        <f t="shared" si="3"/>
        <v>1.5143609405479161</v>
      </c>
      <c r="O24" s="20"/>
    </row>
    <row r="25" spans="1:15" x14ac:dyDescent="0.2">
      <c r="A25" s="12" t="s">
        <v>118</v>
      </c>
      <c r="B25" s="20">
        <f t="shared" si="0"/>
        <v>1</v>
      </c>
      <c r="C25" s="20">
        <f t="shared" si="0"/>
        <v>1.7126347598823914</v>
      </c>
      <c r="D25" s="20">
        <f t="shared" si="0"/>
        <v>1.6963819013394315</v>
      </c>
      <c r="E25" s="20">
        <f t="shared" si="1"/>
        <v>1.7067134923227703</v>
      </c>
      <c r="F25" s="20">
        <f t="shared" si="2"/>
        <v>1.7083061091146685</v>
      </c>
      <c r="G25" s="20">
        <f t="shared" si="1"/>
        <v>1.7029157138190134</v>
      </c>
      <c r="I25" s="12" t="s">
        <v>118</v>
      </c>
      <c r="J25" s="20">
        <f t="shared" si="4"/>
        <v>1</v>
      </c>
      <c r="K25" s="20">
        <f t="shared" si="3"/>
        <v>0.99051002646701158</v>
      </c>
      <c r="L25" s="20">
        <f t="shared" si="3"/>
        <v>0.99654259758220276</v>
      </c>
      <c r="M25" s="20">
        <f t="shared" si="3"/>
        <v>0.99747251961181715</v>
      </c>
      <c r="N25" s="20">
        <f t="shared" si="3"/>
        <v>0.99432509120389134</v>
      </c>
      <c r="O25" s="20"/>
    </row>
    <row r="26" spans="1:15" x14ac:dyDescent="0.2">
      <c r="A26" s="12" t="s">
        <v>119</v>
      </c>
      <c r="B26" s="20">
        <f t="shared" si="0"/>
        <v>1</v>
      </c>
      <c r="C26" s="20">
        <f t="shared" si="0"/>
        <v>1.871047380702763</v>
      </c>
      <c r="D26" s="20">
        <f t="shared" si="0"/>
        <v>7.6688761878994898</v>
      </c>
      <c r="E26" s="20">
        <f t="shared" si="1"/>
        <v>4.8612059927626907</v>
      </c>
      <c r="F26" s="20">
        <f t="shared" si="2"/>
        <v>8.8169704758361807</v>
      </c>
      <c r="G26" s="20">
        <f t="shared" si="1"/>
        <v>5.9611079170753154</v>
      </c>
      <c r="I26" s="12" t="s">
        <v>119</v>
      </c>
      <c r="J26" s="20">
        <f t="shared" si="4"/>
        <v>1</v>
      </c>
      <c r="K26" s="20">
        <f t="shared" si="3"/>
        <v>4.0987076366922732</v>
      </c>
      <c r="L26" s="20">
        <f t="shared" si="3"/>
        <v>2.5981201988251241</v>
      </c>
      <c r="M26" s="20">
        <f t="shared" si="3"/>
        <v>4.7123181201988249</v>
      </c>
      <c r="N26" s="20">
        <f t="shared" si="3"/>
        <v>3.1859737912336197</v>
      </c>
      <c r="O26" s="20"/>
    </row>
    <row r="27" spans="1:15" x14ac:dyDescent="0.2">
      <c r="A27" s="12" t="s">
        <v>120</v>
      </c>
      <c r="B27" s="20">
        <f t="shared" si="0"/>
        <v>1</v>
      </c>
      <c r="C27" s="20">
        <f t="shared" si="0"/>
        <v>2.0961695191524043</v>
      </c>
      <c r="D27" s="20">
        <f t="shared" si="0"/>
        <v>7.2963868513990766</v>
      </c>
      <c r="E27" s="20">
        <f t="shared" si="1"/>
        <v>5.6994476138730414</v>
      </c>
      <c r="F27" s="20">
        <f t="shared" si="2"/>
        <v>8.3346011047722541</v>
      </c>
      <c r="G27" s="20">
        <f t="shared" si="1"/>
        <v>6.6386851399076336</v>
      </c>
      <c r="I27" s="12" t="s">
        <v>120</v>
      </c>
      <c r="J27" s="20">
        <f t="shared" si="4"/>
        <v>1</v>
      </c>
      <c r="K27" s="20">
        <f t="shared" si="3"/>
        <v>3.4808190772420944</v>
      </c>
      <c r="L27" s="20">
        <f t="shared" si="3"/>
        <v>2.7189822014860896</v>
      </c>
      <c r="M27" s="20">
        <f t="shared" si="3"/>
        <v>3.9761102471055816</v>
      </c>
      <c r="N27" s="20">
        <f t="shared" si="3"/>
        <v>3.1670554691550028</v>
      </c>
      <c r="O27" s="20"/>
    </row>
    <row r="28" spans="1:15" x14ac:dyDescent="0.2">
      <c r="A28" s="12" t="s">
        <v>121</v>
      </c>
      <c r="B28" s="20">
        <f t="shared" si="0"/>
        <v>1</v>
      </c>
      <c r="C28" s="20">
        <f t="shared" si="0"/>
        <v>1.8667506363326249</v>
      </c>
      <c r="D28" s="20">
        <f t="shared" si="0"/>
        <v>7.2846571675982048</v>
      </c>
      <c r="E28" s="20">
        <f t="shared" si="1"/>
        <v>4.3248051641344567</v>
      </c>
      <c r="F28" s="20">
        <f t="shared" si="2"/>
        <v>8.2738723136267023</v>
      </c>
      <c r="G28" s="20">
        <f t="shared" si="1"/>
        <v>5.1537432102652918</v>
      </c>
      <c r="I28" s="12" t="s">
        <v>121</v>
      </c>
      <c r="J28" s="20">
        <f t="shared" si="4"/>
        <v>1</v>
      </c>
      <c r="K28" s="20">
        <f t="shared" si="3"/>
        <v>3.9023193702558334</v>
      </c>
      <c r="L28" s="20">
        <f t="shared" si="3"/>
        <v>2.3167556929997191</v>
      </c>
      <c r="M28" s="20">
        <f t="shared" si="3"/>
        <v>4.4322322181613716</v>
      </c>
      <c r="N28" s="20">
        <f t="shared" si="3"/>
        <v>2.7608096710711272</v>
      </c>
      <c r="O28" s="20"/>
    </row>
    <row r="29" spans="1:15" x14ac:dyDescent="0.2">
      <c r="A29" s="12" t="s">
        <v>122</v>
      </c>
      <c r="B29" s="20">
        <f t="shared" si="0"/>
        <v>1</v>
      </c>
      <c r="C29" s="20">
        <f t="shared" si="0"/>
        <v>1.745898226034813</v>
      </c>
      <c r="D29" s="20">
        <f t="shared" si="0"/>
        <v>2.2697593070708755</v>
      </c>
      <c r="E29" s="20">
        <f t="shared" si="1"/>
        <v>2.0695427667194135</v>
      </c>
      <c r="F29" s="20">
        <f t="shared" si="2"/>
        <v>2.36886816023986</v>
      </c>
      <c r="G29" s="20">
        <f t="shared" si="1"/>
        <v>2.1584075955692512</v>
      </c>
      <c r="I29" s="12" t="s">
        <v>122</v>
      </c>
      <c r="J29" s="20">
        <f t="shared" si="4"/>
        <v>1</v>
      </c>
      <c r="K29" s="20">
        <f t="shared" si="3"/>
        <v>1.3000524734055241</v>
      </c>
      <c r="L29" s="20">
        <f t="shared" si="3"/>
        <v>1.1853742307875781</v>
      </c>
      <c r="M29" s="20">
        <f t="shared" si="3"/>
        <v>1.3568191575633259</v>
      </c>
      <c r="N29" s="20">
        <f t="shared" si="3"/>
        <v>1.2362734341458761</v>
      </c>
      <c r="O29" s="20"/>
    </row>
    <row r="30" spans="1:15" x14ac:dyDescent="0.2">
      <c r="A30" s="12" t="s">
        <v>0</v>
      </c>
      <c r="B30" s="20">
        <f t="shared" si="0"/>
        <v>1</v>
      </c>
      <c r="C30" s="20">
        <f t="shared" si="0"/>
        <v>1.872116296218266</v>
      </c>
      <c r="D30" s="20">
        <f t="shared" si="0"/>
        <v>11.527290785691713</v>
      </c>
      <c r="E30" s="20">
        <f t="shared" si="1"/>
        <v>9.4144557643978271</v>
      </c>
      <c r="F30" s="20">
        <f t="shared" si="2"/>
        <v>13.259394140043039</v>
      </c>
      <c r="G30" s="20">
        <f t="shared" si="1"/>
        <v>11.355735805330243</v>
      </c>
      <c r="I30" s="12" t="s">
        <v>0</v>
      </c>
      <c r="J30" s="20">
        <f t="shared" si="4"/>
        <v>1</v>
      </c>
      <c r="K30" s="20">
        <f t="shared" si="3"/>
        <v>6.1573582842995398</v>
      </c>
      <c r="L30" s="20">
        <f t="shared" si="3"/>
        <v>5.0287772097360213</v>
      </c>
      <c r="M30" s="20">
        <f t="shared" si="3"/>
        <v>7.0825696922928527</v>
      </c>
      <c r="N30" s="20">
        <f t="shared" si="3"/>
        <v>6.0657213594418184</v>
      </c>
      <c r="O30" s="20"/>
    </row>
    <row r="31" spans="1:15" x14ac:dyDescent="0.2">
      <c r="A31" s="12" t="s">
        <v>1</v>
      </c>
      <c r="B31" s="20">
        <f t="shared" si="0"/>
        <v>1</v>
      </c>
      <c r="C31" s="20">
        <f t="shared" si="0"/>
        <v>1.051567578722892</v>
      </c>
      <c r="D31" s="20">
        <f t="shared" si="0"/>
        <v>1.0193905102584828</v>
      </c>
      <c r="E31" s="20">
        <f t="shared" si="1"/>
        <v>1.0154694137272775</v>
      </c>
      <c r="F31" s="20">
        <f t="shared" si="2"/>
        <v>1.0154436170395722</v>
      </c>
      <c r="G31" s="20">
        <f t="shared" si="1"/>
        <v>1.0191669389650369</v>
      </c>
      <c r="I31" s="12" t="s">
        <v>1</v>
      </c>
      <c r="J31" s="20">
        <f t="shared" si="4"/>
        <v>1</v>
      </c>
      <c r="K31" s="20">
        <f t="shared" si="3"/>
        <v>0.96940085533686049</v>
      </c>
      <c r="L31" s="20">
        <f t="shared" si="3"/>
        <v>0.96567204454947619</v>
      </c>
      <c r="M31" s="20">
        <f t="shared" si="3"/>
        <v>0.9656475128995593</v>
      </c>
      <c r="N31" s="20">
        <f t="shared" si="3"/>
        <v>0.96918824770424639</v>
      </c>
      <c r="O31" s="20"/>
    </row>
    <row r="32" spans="1:15" x14ac:dyDescent="0.2">
      <c r="A32" s="12" t="s">
        <v>2</v>
      </c>
      <c r="B32" s="20">
        <f t="shared" si="0"/>
        <v>1</v>
      </c>
      <c r="C32" s="20">
        <f t="shared" si="0"/>
        <v>1.8700453290617225</v>
      </c>
      <c r="D32" s="20">
        <f t="shared" si="0"/>
        <v>7.7165059132272251</v>
      </c>
      <c r="E32" s="20">
        <f t="shared" si="1"/>
        <v>4.8336457516785387</v>
      </c>
      <c r="F32" s="20">
        <f t="shared" si="2"/>
        <v>8.8725673971575603</v>
      </c>
      <c r="G32" s="20">
        <f t="shared" si="1"/>
        <v>5.9641798166388327</v>
      </c>
      <c r="I32" s="12" t="s">
        <v>2</v>
      </c>
      <c r="J32" s="20">
        <f t="shared" si="4"/>
        <v>1</v>
      </c>
      <c r="K32" s="20">
        <f t="shared" si="3"/>
        <v>4.126373726512238</v>
      </c>
      <c r="L32" s="20">
        <f t="shared" si="3"/>
        <v>2.584774645063697</v>
      </c>
      <c r="M32" s="20">
        <f t="shared" si="3"/>
        <v>4.7445734385536458</v>
      </c>
      <c r="N32" s="20">
        <f t="shared" si="3"/>
        <v>3.189323661812681</v>
      </c>
      <c r="O32" s="20"/>
    </row>
    <row r="33" spans="1:15" x14ac:dyDescent="0.2">
      <c r="A33" s="12" t="s">
        <v>3</v>
      </c>
      <c r="B33" s="20">
        <f t="shared" si="0"/>
        <v>1</v>
      </c>
      <c r="C33" s="20">
        <f t="shared" si="0"/>
        <v>2.078753591954023</v>
      </c>
      <c r="D33" s="20">
        <f t="shared" si="0"/>
        <v>7.2301544540229887</v>
      </c>
      <c r="E33" s="20">
        <f t="shared" si="1"/>
        <v>5.6506824712643677</v>
      </c>
      <c r="F33" s="20">
        <f t="shared" si="2"/>
        <v>8.2584410919540225</v>
      </c>
      <c r="G33" s="20">
        <f t="shared" si="1"/>
        <v>6.5884518678160919</v>
      </c>
      <c r="I33" s="12" t="s">
        <v>3</v>
      </c>
      <c r="J33" s="20">
        <f t="shared" si="4"/>
        <v>1</v>
      </c>
      <c r="K33" s="20">
        <f t="shared" si="3"/>
        <v>3.478120005183809</v>
      </c>
      <c r="L33" s="20">
        <f t="shared" si="3"/>
        <v>2.7183031664434747</v>
      </c>
      <c r="M33" s="20">
        <f t="shared" si="3"/>
        <v>3.9727850015119444</v>
      </c>
      <c r="N33" s="20">
        <f t="shared" si="3"/>
        <v>3.1694241651907209</v>
      </c>
      <c r="O33" s="20"/>
    </row>
    <row r="34" spans="1:15" x14ac:dyDescent="0.2">
      <c r="A34" s="12" t="s">
        <v>4</v>
      </c>
      <c r="B34" s="20">
        <f t="shared" si="0"/>
        <v>1</v>
      </c>
      <c r="C34" s="20">
        <f t="shared" si="0"/>
        <v>1.8705377019983762</v>
      </c>
      <c r="D34" s="20">
        <f t="shared" si="0"/>
        <v>7.2107330871375819</v>
      </c>
      <c r="E34" s="20">
        <f t="shared" si="1"/>
        <v>4.3492574840889446</v>
      </c>
      <c r="F34" s="20">
        <f t="shared" si="2"/>
        <v>8.301458840784683</v>
      </c>
      <c r="G34" s="20">
        <f t="shared" si="1"/>
        <v>5.1725989366438805</v>
      </c>
      <c r="I34" s="12" t="s">
        <v>4</v>
      </c>
      <c r="J34" s="20">
        <f t="shared" si="4"/>
        <v>1</v>
      </c>
      <c r="K34" s="20">
        <f t="shared" si="3"/>
        <v>3.8548985564065585</v>
      </c>
      <c r="L34" s="20">
        <f t="shared" si="3"/>
        <v>2.3251375684341702</v>
      </c>
      <c r="M34" s="20">
        <f t="shared" si="3"/>
        <v>4.438006692896848</v>
      </c>
      <c r="N34" s="20">
        <f t="shared" si="3"/>
        <v>2.7653005502737367</v>
      </c>
      <c r="O34" s="20"/>
    </row>
    <row r="35" spans="1:15" x14ac:dyDescent="0.2">
      <c r="A35" s="12" t="s">
        <v>5</v>
      </c>
      <c r="B35" s="20">
        <f t="shared" si="0"/>
        <v>1</v>
      </c>
      <c r="C35" s="20">
        <f t="shared" si="0"/>
        <v>2.0591411591795001</v>
      </c>
      <c r="D35" s="20">
        <f t="shared" si="0"/>
        <v>2.6106140967473959</v>
      </c>
      <c r="E35" s="20">
        <f t="shared" si="1"/>
        <v>2.4405393315866828</v>
      </c>
      <c r="F35" s="20">
        <f t="shared" si="2"/>
        <v>2.7455108952648732</v>
      </c>
      <c r="G35" s="20">
        <f t="shared" si="1"/>
        <v>2.5617611348967984</v>
      </c>
      <c r="I35" s="12" t="s">
        <v>5</v>
      </c>
      <c r="J35" s="20">
        <f t="shared" si="4"/>
        <v>1</v>
      </c>
      <c r="K35" s="20">
        <f t="shared" si="3"/>
        <v>1.2678169658789393</v>
      </c>
      <c r="L35" s="20">
        <f t="shared" si="3"/>
        <v>1.1852219653358573</v>
      </c>
      <c r="M35" s="20">
        <f t="shared" si="3"/>
        <v>1.333328161124645</v>
      </c>
      <c r="N35" s="20">
        <f t="shared" si="3"/>
        <v>1.2440920446258166</v>
      </c>
      <c r="O35" s="20"/>
    </row>
    <row r="36" spans="1:15" x14ac:dyDescent="0.2">
      <c r="A36" s="2" t="s">
        <v>85</v>
      </c>
      <c r="B36" s="20">
        <f t="shared" ref="B36:D36" si="5">GEOMEAN(B22:B35)</f>
        <v>1</v>
      </c>
      <c r="C36" s="20">
        <f t="shared" si="5"/>
        <v>1.8476181560103755</v>
      </c>
      <c r="D36" s="20">
        <f t="shared" si="5"/>
        <v>4.6655435097550528</v>
      </c>
      <c r="E36" s="20">
        <f>GEOMEAN(E22:E35)</f>
        <v>3.6745826883437345</v>
      </c>
      <c r="F36" s="20">
        <f>GEOMEAN(F22:F35)</f>
        <v>5.1245444978469061</v>
      </c>
      <c r="G36" s="20">
        <f>GEOMEAN(G22:G35)</f>
        <v>4.13737523717624</v>
      </c>
      <c r="H36" s="1">
        <f>F36/G36</f>
        <v>1.2385979525860964</v>
      </c>
      <c r="I36" s="2" t="s">
        <v>85</v>
      </c>
      <c r="J36" s="20">
        <f t="shared" ref="J36:K36" si="6">GEOMEAN(J22:J35)</f>
        <v>1</v>
      </c>
      <c r="K36" s="20">
        <f t="shared" si="6"/>
        <v>2.5251665202454601</v>
      </c>
      <c r="L36" s="20">
        <f>GEOMEAN(L22:L35)</f>
        <v>1.9888214869453251</v>
      </c>
      <c r="M36" s="20">
        <f>GEOMEAN(M22:M35)</f>
        <v>2.7735950099735485</v>
      </c>
      <c r="N36" s="20">
        <f>GEOMEAN(N22:N35)</f>
        <v>2.239302111054275</v>
      </c>
      <c r="O36" s="20"/>
    </row>
    <row r="37" spans="1:15" x14ac:dyDescent="0.2">
      <c r="B37" s="21"/>
      <c r="C37" s="21"/>
      <c r="D37" s="21"/>
      <c r="E37" s="21"/>
      <c r="F37" s="21"/>
      <c r="G37" s="21"/>
    </row>
    <row r="38" spans="1:15" x14ac:dyDescent="0.2">
      <c r="B38" s="21"/>
      <c r="C38" s="21"/>
      <c r="D38" s="21"/>
      <c r="E38" s="21"/>
      <c r="F38" s="21"/>
      <c r="G38" s="21"/>
    </row>
    <row r="42" spans="1:15" x14ac:dyDescent="0.2">
      <c r="A42" s="2" t="s">
        <v>88</v>
      </c>
      <c r="B42" s="23" t="s">
        <v>86</v>
      </c>
      <c r="C42" s="2" t="s">
        <v>104</v>
      </c>
      <c r="D42" s="2" t="s">
        <v>109</v>
      </c>
      <c r="E42" s="2" t="s">
        <v>124</v>
      </c>
      <c r="F42" s="2" t="s">
        <v>113</v>
      </c>
      <c r="G42" s="2" t="s">
        <v>123</v>
      </c>
      <c r="H42" s="2" t="s">
        <v>104</v>
      </c>
      <c r="I42" s="2" t="s">
        <v>109</v>
      </c>
      <c r="J42" s="2" t="s">
        <v>124</v>
      </c>
      <c r="K42" s="2" t="s">
        <v>113</v>
      </c>
      <c r="L42" s="2" t="s">
        <v>123</v>
      </c>
    </row>
    <row r="43" spans="1:15" x14ac:dyDescent="0.2">
      <c r="A43" s="12" t="s">
        <v>115</v>
      </c>
      <c r="B43" s="3">
        <v>623988</v>
      </c>
      <c r="C43" s="3">
        <v>631656</v>
      </c>
      <c r="D43" s="3">
        <v>679972</v>
      </c>
      <c r="E43" s="3">
        <v>632524</v>
      </c>
      <c r="F43" s="3">
        <v>680084</v>
      </c>
      <c r="G43" s="3">
        <v>632620</v>
      </c>
      <c r="H43" s="3">
        <f>(C43-$B43)/1024</f>
        <v>7.48828125</v>
      </c>
      <c r="I43" s="3">
        <f>(D43-$B43)/1024</f>
        <v>54.671875</v>
      </c>
      <c r="J43" s="3">
        <f>(E43-$B43)/1024</f>
        <v>8.3359375</v>
      </c>
      <c r="K43" s="3">
        <f>(F43-$B43)/1024</f>
        <v>54.78125</v>
      </c>
      <c r="L43" s="3">
        <f>(G43-$B43)/1024</f>
        <v>8.4296875</v>
      </c>
      <c r="M43" s="25">
        <f t="shared" ref="M43:M56" si="7">K43-L43</f>
        <v>46.3515625</v>
      </c>
    </row>
    <row r="44" spans="1:15" x14ac:dyDescent="0.2">
      <c r="A44" s="12" t="s">
        <v>116</v>
      </c>
      <c r="B44" s="3">
        <v>166548</v>
      </c>
      <c r="C44" s="3">
        <v>174952</v>
      </c>
      <c r="D44" s="3">
        <v>235356</v>
      </c>
      <c r="E44" s="3">
        <v>176120</v>
      </c>
      <c r="F44" s="3">
        <v>235524</v>
      </c>
      <c r="G44" s="3">
        <v>176192</v>
      </c>
      <c r="H44" s="3">
        <f t="shared" ref="H44:H55" si="8">(C44-$B44)/1024</f>
        <v>8.20703125</v>
      </c>
      <c r="I44" s="3">
        <f t="shared" ref="I44:I55" si="9">(D44-$B44)/1024</f>
        <v>67.1953125</v>
      </c>
      <c r="J44" s="3">
        <f t="shared" ref="J44:J55" si="10">(E44-$B44)/1024</f>
        <v>9.34765625</v>
      </c>
      <c r="K44" s="3">
        <f t="shared" ref="K44:K56" si="11">(F44-$B44)/1024</f>
        <v>67.359375</v>
      </c>
      <c r="L44" s="3">
        <f t="shared" ref="L44:L56" si="12">(G44-$B44)/1024</f>
        <v>9.41796875</v>
      </c>
      <c r="M44" s="25">
        <f t="shared" si="7"/>
        <v>57.94140625</v>
      </c>
    </row>
    <row r="45" spans="1:15" x14ac:dyDescent="0.2">
      <c r="A45" s="12" t="s">
        <v>117</v>
      </c>
      <c r="B45" s="3">
        <v>424120</v>
      </c>
      <c r="C45" s="3">
        <v>532096</v>
      </c>
      <c r="D45" s="3">
        <v>1837868</v>
      </c>
      <c r="E45" s="3">
        <v>535876</v>
      </c>
      <c r="F45" s="3">
        <v>1839932</v>
      </c>
      <c r="G45" s="3">
        <v>537444</v>
      </c>
      <c r="H45" s="3">
        <f t="shared" si="8"/>
        <v>105.4453125</v>
      </c>
      <c r="I45" s="3">
        <f t="shared" si="9"/>
        <v>1380.61328125</v>
      </c>
      <c r="J45" s="3">
        <f t="shared" si="10"/>
        <v>109.13671875</v>
      </c>
      <c r="K45" s="3">
        <f t="shared" si="11"/>
        <v>1382.62890625</v>
      </c>
      <c r="L45" s="3">
        <f t="shared" si="12"/>
        <v>110.66796875</v>
      </c>
      <c r="M45" s="25">
        <f t="shared" si="7"/>
        <v>1271.9609375</v>
      </c>
    </row>
    <row r="46" spans="1:15" x14ac:dyDescent="0.2">
      <c r="A46" s="12" t="s">
        <v>118</v>
      </c>
      <c r="B46" s="3">
        <v>420396</v>
      </c>
      <c r="C46" s="3">
        <v>427684</v>
      </c>
      <c r="D46" s="3">
        <v>472928</v>
      </c>
      <c r="E46" s="3">
        <v>428808</v>
      </c>
      <c r="F46" s="3">
        <v>473264</v>
      </c>
      <c r="G46" s="3">
        <v>428680</v>
      </c>
      <c r="H46" s="3">
        <f t="shared" si="8"/>
        <v>7.1171875</v>
      </c>
      <c r="I46" s="3">
        <f t="shared" si="9"/>
        <v>51.30078125</v>
      </c>
      <c r="J46" s="3">
        <f t="shared" si="10"/>
        <v>8.21484375</v>
      </c>
      <c r="K46" s="3">
        <f t="shared" si="11"/>
        <v>51.62890625</v>
      </c>
      <c r="L46" s="3">
        <f t="shared" si="12"/>
        <v>8.08984375</v>
      </c>
      <c r="M46" s="25">
        <f t="shared" si="7"/>
        <v>43.5390625</v>
      </c>
    </row>
    <row r="47" spans="1:15" x14ac:dyDescent="0.2">
      <c r="A47" s="12" t="s">
        <v>119</v>
      </c>
      <c r="B47" s="3">
        <v>490640</v>
      </c>
      <c r="C47" s="3">
        <v>508848</v>
      </c>
      <c r="D47" s="3">
        <v>739320</v>
      </c>
      <c r="E47" s="3">
        <v>511764</v>
      </c>
      <c r="F47" s="3">
        <v>741216</v>
      </c>
      <c r="G47" s="3">
        <v>513348</v>
      </c>
      <c r="H47" s="3">
        <f t="shared" si="8"/>
        <v>17.78125</v>
      </c>
      <c r="I47" s="3">
        <f t="shared" si="9"/>
        <v>242.8515625</v>
      </c>
      <c r="J47" s="3">
        <f t="shared" si="10"/>
        <v>20.62890625</v>
      </c>
      <c r="K47" s="3">
        <f t="shared" si="11"/>
        <v>244.703125</v>
      </c>
      <c r="L47" s="3">
        <f t="shared" si="12"/>
        <v>22.17578125</v>
      </c>
      <c r="M47" s="25">
        <f t="shared" si="7"/>
        <v>222.52734375</v>
      </c>
    </row>
    <row r="48" spans="1:15" x14ac:dyDescent="0.2">
      <c r="A48" s="12" t="s">
        <v>120</v>
      </c>
      <c r="B48" s="3">
        <v>159952</v>
      </c>
      <c r="C48" s="3">
        <v>172224</v>
      </c>
      <c r="D48" s="3">
        <v>275884</v>
      </c>
      <c r="E48" s="3">
        <v>176780</v>
      </c>
      <c r="F48" s="3">
        <v>273232</v>
      </c>
      <c r="G48" s="3">
        <v>177136</v>
      </c>
      <c r="H48" s="3">
        <f t="shared" si="8"/>
        <v>11.984375</v>
      </c>
      <c r="I48" s="3">
        <f t="shared" si="9"/>
        <v>113.21484375</v>
      </c>
      <c r="J48" s="3">
        <f t="shared" si="10"/>
        <v>16.43359375</v>
      </c>
      <c r="K48" s="3">
        <f t="shared" si="11"/>
        <v>110.625</v>
      </c>
      <c r="L48" s="3">
        <f t="shared" si="12"/>
        <v>16.78125</v>
      </c>
      <c r="M48" s="25">
        <f t="shared" si="7"/>
        <v>93.84375</v>
      </c>
    </row>
    <row r="49" spans="1:13" x14ac:dyDescent="0.2">
      <c r="A49" s="12" t="s">
        <v>121</v>
      </c>
      <c r="B49" s="3">
        <v>27644</v>
      </c>
      <c r="C49" s="3">
        <v>86128</v>
      </c>
      <c r="D49" s="3">
        <v>333520</v>
      </c>
      <c r="E49" s="3">
        <v>87252</v>
      </c>
      <c r="F49" s="3">
        <v>333976</v>
      </c>
      <c r="G49" s="3">
        <v>87420</v>
      </c>
      <c r="H49" s="3">
        <f t="shared" si="8"/>
        <v>57.11328125</v>
      </c>
      <c r="I49" s="3">
        <f t="shared" si="9"/>
        <v>298.70703125</v>
      </c>
      <c r="J49" s="3">
        <f t="shared" si="10"/>
        <v>58.2109375</v>
      </c>
      <c r="K49" s="3">
        <f t="shared" si="11"/>
        <v>299.15234375</v>
      </c>
      <c r="L49" s="3">
        <f t="shared" si="12"/>
        <v>58.375</v>
      </c>
      <c r="M49" s="25">
        <f t="shared" si="7"/>
        <v>240.77734375</v>
      </c>
    </row>
    <row r="50" spans="1:13" x14ac:dyDescent="0.2">
      <c r="A50" s="12" t="s">
        <v>122</v>
      </c>
      <c r="B50" s="3">
        <v>743004</v>
      </c>
      <c r="C50" s="3">
        <v>751400</v>
      </c>
      <c r="D50" s="3">
        <v>797204</v>
      </c>
      <c r="E50" s="3">
        <v>752772</v>
      </c>
      <c r="F50" s="3">
        <v>797372</v>
      </c>
      <c r="G50" s="3">
        <v>752864</v>
      </c>
      <c r="H50" s="3">
        <f t="shared" si="8"/>
        <v>8.19921875</v>
      </c>
      <c r="I50" s="3">
        <f t="shared" si="9"/>
        <v>52.9296875</v>
      </c>
      <c r="J50" s="3">
        <f t="shared" si="10"/>
        <v>9.5390625</v>
      </c>
      <c r="K50" s="3">
        <f t="shared" si="11"/>
        <v>53.09375</v>
      </c>
      <c r="L50" s="3">
        <f t="shared" si="12"/>
        <v>9.62890625</v>
      </c>
      <c r="M50" s="25">
        <f t="shared" si="7"/>
        <v>43.46484375</v>
      </c>
    </row>
    <row r="51" spans="1:13" x14ac:dyDescent="0.2">
      <c r="A51" s="12" t="s">
        <v>0</v>
      </c>
      <c r="B51" s="3">
        <v>4056652</v>
      </c>
      <c r="C51" s="3">
        <v>4064044</v>
      </c>
      <c r="D51" s="3">
        <v>4111984</v>
      </c>
      <c r="E51" s="3">
        <v>4064964</v>
      </c>
      <c r="F51" s="3">
        <v>4112300</v>
      </c>
      <c r="G51" s="3">
        <v>4065020</v>
      </c>
      <c r="H51" s="3">
        <f t="shared" si="8"/>
        <v>7.21875</v>
      </c>
      <c r="I51" s="3">
        <f t="shared" si="9"/>
        <v>54.03515625</v>
      </c>
      <c r="J51" s="3">
        <f t="shared" si="10"/>
        <v>8.1171875</v>
      </c>
      <c r="K51" s="3">
        <f t="shared" si="11"/>
        <v>54.34375</v>
      </c>
      <c r="L51" s="3">
        <f t="shared" si="12"/>
        <v>8.171875</v>
      </c>
      <c r="M51" s="25">
        <f t="shared" si="7"/>
        <v>46.171875</v>
      </c>
    </row>
    <row r="52" spans="1:13" x14ac:dyDescent="0.2">
      <c r="A52" s="12" t="s">
        <v>1</v>
      </c>
      <c r="B52" s="3">
        <v>3302240</v>
      </c>
      <c r="C52" s="3">
        <v>3310468</v>
      </c>
      <c r="D52" s="3">
        <v>3370548</v>
      </c>
      <c r="E52" s="3">
        <v>3312568</v>
      </c>
      <c r="F52" s="3">
        <v>3370436</v>
      </c>
      <c r="G52" s="3">
        <v>3312784</v>
      </c>
      <c r="H52" s="3">
        <f t="shared" si="8"/>
        <v>8.03515625</v>
      </c>
      <c r="I52" s="3">
        <f t="shared" si="9"/>
        <v>66.70703125</v>
      </c>
      <c r="J52" s="3">
        <f t="shared" si="10"/>
        <v>10.0859375</v>
      </c>
      <c r="K52" s="3">
        <f t="shared" si="11"/>
        <v>66.59765625</v>
      </c>
      <c r="L52" s="3">
        <f t="shared" si="12"/>
        <v>10.296875</v>
      </c>
      <c r="M52" s="25">
        <f t="shared" si="7"/>
        <v>56.30078125</v>
      </c>
    </row>
    <row r="53" spans="1:13" x14ac:dyDescent="0.2">
      <c r="A53" s="12" t="s">
        <v>2</v>
      </c>
      <c r="B53" s="3">
        <v>491012</v>
      </c>
      <c r="C53" s="3">
        <v>508752</v>
      </c>
      <c r="D53" s="3">
        <v>738776</v>
      </c>
      <c r="E53" s="3">
        <v>511668</v>
      </c>
      <c r="F53" s="3">
        <v>740612</v>
      </c>
      <c r="G53" s="3">
        <v>513236</v>
      </c>
      <c r="H53" s="3">
        <f t="shared" si="8"/>
        <v>17.32421875</v>
      </c>
      <c r="I53" s="3">
        <f t="shared" si="9"/>
        <v>241.95703125</v>
      </c>
      <c r="J53" s="3">
        <f t="shared" si="10"/>
        <v>20.171875</v>
      </c>
      <c r="K53" s="3">
        <f t="shared" si="11"/>
        <v>243.75</v>
      </c>
      <c r="L53" s="3">
        <f t="shared" si="12"/>
        <v>21.703125</v>
      </c>
      <c r="M53" s="25">
        <f t="shared" si="7"/>
        <v>222.046875</v>
      </c>
    </row>
    <row r="54" spans="1:13" x14ac:dyDescent="0.2">
      <c r="A54" s="12" t="s">
        <v>3</v>
      </c>
      <c r="B54" s="3">
        <v>160200</v>
      </c>
      <c r="C54" s="3">
        <v>172196</v>
      </c>
      <c r="D54" s="3">
        <v>275840</v>
      </c>
      <c r="E54" s="3">
        <v>176796</v>
      </c>
      <c r="F54" s="3">
        <v>273264</v>
      </c>
      <c r="G54" s="3">
        <v>177152</v>
      </c>
      <c r="H54" s="3">
        <f t="shared" si="8"/>
        <v>11.71484375</v>
      </c>
      <c r="I54" s="3">
        <f t="shared" si="9"/>
        <v>112.9296875</v>
      </c>
      <c r="J54" s="3">
        <f t="shared" si="10"/>
        <v>16.20703125</v>
      </c>
      <c r="K54" s="3">
        <f t="shared" si="11"/>
        <v>110.4140625</v>
      </c>
      <c r="L54" s="3">
        <f t="shared" si="12"/>
        <v>16.5546875</v>
      </c>
      <c r="M54" s="25">
        <f t="shared" si="7"/>
        <v>93.859375</v>
      </c>
    </row>
    <row r="55" spans="1:13" x14ac:dyDescent="0.2">
      <c r="A55" s="12" t="s">
        <v>4</v>
      </c>
      <c r="B55" s="3">
        <v>28044</v>
      </c>
      <c r="C55" s="3">
        <v>86228</v>
      </c>
      <c r="D55" s="3">
        <v>333404</v>
      </c>
      <c r="E55" s="3">
        <v>87204</v>
      </c>
      <c r="F55" s="3">
        <v>333948</v>
      </c>
      <c r="G55" s="3">
        <v>87464</v>
      </c>
      <c r="H55" s="3">
        <f t="shared" si="8"/>
        <v>56.8203125</v>
      </c>
      <c r="I55" s="3">
        <f t="shared" si="9"/>
        <v>298.203125</v>
      </c>
      <c r="J55" s="3">
        <f t="shared" si="10"/>
        <v>57.7734375</v>
      </c>
      <c r="K55" s="3">
        <f t="shared" si="11"/>
        <v>298.734375</v>
      </c>
      <c r="L55" s="3">
        <f t="shared" si="12"/>
        <v>58.02734375</v>
      </c>
      <c r="M55" s="25">
        <f t="shared" si="7"/>
        <v>240.70703125</v>
      </c>
    </row>
    <row r="56" spans="1:13" x14ac:dyDescent="0.2">
      <c r="A56" s="12" t="s">
        <v>5</v>
      </c>
      <c r="B56" s="3">
        <v>15741624</v>
      </c>
      <c r="C56" s="3">
        <v>15706200</v>
      </c>
      <c r="D56" s="3">
        <v>15779704</v>
      </c>
      <c r="E56" s="3">
        <v>15744700</v>
      </c>
      <c r="F56" s="3">
        <v>15795580</v>
      </c>
      <c r="G56" s="3">
        <v>15763444</v>
      </c>
      <c r="H56" s="3">
        <v>19</v>
      </c>
      <c r="I56" s="3">
        <f>(D56-$B56)/1024</f>
        <v>37.1875</v>
      </c>
      <c r="J56" s="3">
        <v>20</v>
      </c>
      <c r="K56" s="3">
        <f t="shared" si="11"/>
        <v>52.69140625</v>
      </c>
      <c r="L56" s="3">
        <f t="shared" si="12"/>
        <v>21.30859375</v>
      </c>
      <c r="M56" s="25">
        <f t="shared" si="7"/>
        <v>31.3828125</v>
      </c>
    </row>
    <row r="57" spans="1:13" x14ac:dyDescent="0.2">
      <c r="A57" s="1" t="s">
        <v>66</v>
      </c>
      <c r="B57" s="22"/>
      <c r="C57" s="22"/>
      <c r="D57" s="22"/>
      <c r="E57" s="22"/>
      <c r="F57" s="22"/>
      <c r="G57" s="22"/>
      <c r="H57" s="22">
        <f>GEOMEAN(H43:H56)</f>
        <v>15.763390524474127</v>
      </c>
      <c r="I57" s="22">
        <f>GEOMEAN(I43:I56)</f>
        <v>119.66995116169697</v>
      </c>
      <c r="J57" s="22">
        <f>GEOMEAN(J43:J56)</f>
        <v>18.105288259872243</v>
      </c>
      <c r="K57" s="22">
        <f>GEOMEAN(K43:K56)</f>
        <v>122.61599360895013</v>
      </c>
      <c r="L57" s="22">
        <f>GEOMEAN(L43:L56)</f>
        <v>18.513671580555755</v>
      </c>
    </row>
    <row r="58" spans="1:13" x14ac:dyDescent="0.2">
      <c r="B58" s="22"/>
      <c r="C58" s="22"/>
      <c r="D58" s="22"/>
      <c r="E58" s="22"/>
      <c r="F58" s="22"/>
      <c r="G58" s="22"/>
      <c r="H58" s="22"/>
    </row>
    <row r="59" spans="1:13" x14ac:dyDescent="0.2">
      <c r="B59" s="22"/>
      <c r="C59" s="22"/>
      <c r="D59" s="22"/>
      <c r="E59" s="22"/>
      <c r="F59" s="22"/>
      <c r="G59" s="22"/>
      <c r="H59" s="22"/>
    </row>
    <row r="61" spans="1:13" x14ac:dyDescent="0.2">
      <c r="A61" s="2" t="s">
        <v>88</v>
      </c>
      <c r="B61" s="23" t="s">
        <v>86</v>
      </c>
      <c r="C61" s="2" t="s">
        <v>104</v>
      </c>
      <c r="D61" s="2" t="s">
        <v>109</v>
      </c>
      <c r="E61" s="2" t="s">
        <v>124</v>
      </c>
      <c r="F61" s="2" t="s">
        <v>113</v>
      </c>
      <c r="G61" s="2" t="s">
        <v>123</v>
      </c>
    </row>
    <row r="62" spans="1:13" x14ac:dyDescent="0.2">
      <c r="A62" s="12" t="s">
        <v>28</v>
      </c>
      <c r="B62" s="32">
        <f t="shared" ref="B62:B73" si="13">B43/$B43</f>
        <v>1</v>
      </c>
      <c r="C62" s="32">
        <f t="shared" ref="C62:D62" si="14">C43/$B43</f>
        <v>1.0122886978595742</v>
      </c>
      <c r="D62" s="32">
        <f t="shared" si="14"/>
        <v>1.0897196740962967</v>
      </c>
      <c r="E62" s="32">
        <f t="shared" ref="E62:G75" si="15">E43/$B43</f>
        <v>1.0136797502516075</v>
      </c>
      <c r="F62" s="32">
        <f t="shared" ref="F62:F75" si="16">F43/$B43</f>
        <v>1.0898991647275269</v>
      </c>
      <c r="G62" s="32">
        <f t="shared" si="15"/>
        <v>1.0138335993640903</v>
      </c>
    </row>
    <row r="63" spans="1:13" x14ac:dyDescent="0.2">
      <c r="A63" s="12" t="s">
        <v>6</v>
      </c>
      <c r="B63" s="32">
        <f t="shared" si="13"/>
        <v>1</v>
      </c>
      <c r="C63" s="32">
        <f t="shared" ref="C63:D63" si="17">C44/$B44</f>
        <v>1.0504599274683575</v>
      </c>
      <c r="D63" s="32">
        <f t="shared" si="17"/>
        <v>1.4131421572159377</v>
      </c>
      <c r="E63" s="32">
        <f t="shared" si="15"/>
        <v>1.0574729207195523</v>
      </c>
      <c r="F63" s="32">
        <f t="shared" si="16"/>
        <v>1.4141508754233014</v>
      </c>
      <c r="G63" s="32">
        <f t="shared" si="15"/>
        <v>1.0579052285227082</v>
      </c>
    </row>
    <row r="64" spans="1:13" x14ac:dyDescent="0.2">
      <c r="A64" s="12" t="s">
        <v>7</v>
      </c>
      <c r="B64" s="32">
        <f t="shared" si="13"/>
        <v>1</v>
      </c>
      <c r="C64" s="32">
        <f t="shared" ref="C64:D64" si="18">C45/$B45</f>
        <v>1.2545883240592286</v>
      </c>
      <c r="D64" s="32">
        <f t="shared" si="18"/>
        <v>4.3333679147411113</v>
      </c>
      <c r="E64" s="32">
        <f t="shared" si="15"/>
        <v>1.2635008959728378</v>
      </c>
      <c r="F64" s="32">
        <f t="shared" si="16"/>
        <v>4.3382344619447331</v>
      </c>
      <c r="G64" s="32">
        <f t="shared" si="15"/>
        <v>1.2671979628407055</v>
      </c>
    </row>
    <row r="65" spans="1:7" x14ac:dyDescent="0.2">
      <c r="A65" s="12" t="s">
        <v>31</v>
      </c>
      <c r="B65" s="32">
        <f t="shared" si="13"/>
        <v>1</v>
      </c>
      <c r="C65" s="32">
        <f t="shared" ref="C65:D65" si="19">C46/$B46</f>
        <v>1.0173360355474361</v>
      </c>
      <c r="D65" s="32">
        <f t="shared" si="19"/>
        <v>1.1249583725820418</v>
      </c>
      <c r="E65" s="32">
        <f t="shared" si="15"/>
        <v>1.0200097051351582</v>
      </c>
      <c r="F65" s="32">
        <f t="shared" si="16"/>
        <v>1.1257576190068412</v>
      </c>
      <c r="G65" s="32">
        <f t="shared" si="15"/>
        <v>1.0197052303066632</v>
      </c>
    </row>
    <row r="66" spans="1:7" x14ac:dyDescent="0.2">
      <c r="A66" s="12" t="s">
        <v>30</v>
      </c>
      <c r="B66" s="32">
        <f t="shared" si="13"/>
        <v>1</v>
      </c>
      <c r="C66" s="32">
        <f t="shared" ref="C66:D66" si="20">C47/$B47</f>
        <v>1.0371107125387249</v>
      </c>
      <c r="D66" s="32">
        <f t="shared" si="20"/>
        <v>1.5068481982716453</v>
      </c>
      <c r="E66" s="32">
        <f t="shared" si="15"/>
        <v>1.0430539703244741</v>
      </c>
      <c r="F66" s="32">
        <f t="shared" si="16"/>
        <v>1.5107125387249307</v>
      </c>
      <c r="G66" s="32">
        <f t="shared" si="15"/>
        <v>1.0462824066525354</v>
      </c>
    </row>
    <row r="67" spans="1:7" x14ac:dyDescent="0.2">
      <c r="A67" s="12" t="s">
        <v>32</v>
      </c>
      <c r="B67" s="32">
        <f t="shared" si="13"/>
        <v>1</v>
      </c>
      <c r="C67" s="32">
        <f t="shared" ref="C67:D67" si="21">C48/$B48</f>
        <v>1.0767230169050714</v>
      </c>
      <c r="D67" s="32">
        <f t="shared" si="21"/>
        <v>1.7247924377313193</v>
      </c>
      <c r="E67" s="32">
        <f t="shared" si="15"/>
        <v>1.1052065619685907</v>
      </c>
      <c r="F67" s="32">
        <f t="shared" si="16"/>
        <v>1.7082124637391218</v>
      </c>
      <c r="G67" s="32">
        <f t="shared" si="15"/>
        <v>1.1074322296689008</v>
      </c>
    </row>
    <row r="68" spans="1:7" x14ac:dyDescent="0.2">
      <c r="A68" s="12" t="s">
        <v>34</v>
      </c>
      <c r="B68" s="32">
        <f t="shared" si="13"/>
        <v>1</v>
      </c>
      <c r="C68" s="32">
        <f t="shared" ref="C68:D68" si="22">C49/$B49</f>
        <v>3.1156127912024307</v>
      </c>
      <c r="D68" s="32">
        <f t="shared" si="22"/>
        <v>12.064824193315005</v>
      </c>
      <c r="E68" s="32">
        <f t="shared" si="15"/>
        <v>3.1562726088843873</v>
      </c>
      <c r="F68" s="32">
        <f t="shared" si="16"/>
        <v>12.081319635363913</v>
      </c>
      <c r="G68" s="32">
        <f t="shared" si="15"/>
        <v>3.162349877007669</v>
      </c>
    </row>
    <row r="69" spans="1:7" x14ac:dyDescent="0.2">
      <c r="A69" s="12" t="s">
        <v>36</v>
      </c>
      <c r="B69" s="32">
        <f t="shared" si="13"/>
        <v>1</v>
      </c>
      <c r="C69" s="32">
        <f t="shared" ref="C69:D69" si="23">C50/$B50</f>
        <v>1.01130007375465</v>
      </c>
      <c r="D69" s="32">
        <f t="shared" si="23"/>
        <v>1.0729471173775647</v>
      </c>
      <c r="E69" s="32">
        <f t="shared" si="15"/>
        <v>1.0131466317812556</v>
      </c>
      <c r="F69" s="32">
        <f t="shared" si="16"/>
        <v>1.0731732265236795</v>
      </c>
      <c r="G69" s="32">
        <f t="shared" si="15"/>
        <v>1.0132704534565089</v>
      </c>
    </row>
    <row r="70" spans="1:7" x14ac:dyDescent="0.2">
      <c r="A70" s="12" t="s">
        <v>11</v>
      </c>
      <c r="B70" s="32">
        <f t="shared" si="13"/>
        <v>1</v>
      </c>
      <c r="C70" s="32">
        <f t="shared" ref="C70:D70" si="24">C51/$B51</f>
        <v>1.0018221922905883</v>
      </c>
      <c r="D70" s="32">
        <f t="shared" si="24"/>
        <v>1.0136398192401024</v>
      </c>
      <c r="E70" s="32">
        <f t="shared" si="15"/>
        <v>1.0020489802921226</v>
      </c>
      <c r="F70" s="32">
        <f t="shared" si="16"/>
        <v>1.0137177159884556</v>
      </c>
      <c r="G70" s="32">
        <f t="shared" si="15"/>
        <v>1.0020627847791725</v>
      </c>
    </row>
    <row r="71" spans="1:7" x14ac:dyDescent="0.2">
      <c r="A71" s="12" t="s">
        <v>13</v>
      </c>
      <c r="B71" s="32">
        <f t="shared" si="13"/>
        <v>1</v>
      </c>
      <c r="C71" s="32">
        <f t="shared" ref="C71:D71" si="25">C52/$B52</f>
        <v>1.0024916420369203</v>
      </c>
      <c r="D71" s="32">
        <f t="shared" si="25"/>
        <v>1.0206853529725277</v>
      </c>
      <c r="E71" s="32">
        <f t="shared" si="15"/>
        <v>1.0031275740103687</v>
      </c>
      <c r="F71" s="32">
        <f t="shared" si="16"/>
        <v>1.0206514366006105</v>
      </c>
      <c r="G71" s="32">
        <f t="shared" si="15"/>
        <v>1.0031929841562091</v>
      </c>
    </row>
    <row r="72" spans="1:7" x14ac:dyDescent="0.2">
      <c r="A72" s="12" t="s">
        <v>15</v>
      </c>
      <c r="B72" s="32">
        <f t="shared" si="13"/>
        <v>1</v>
      </c>
      <c r="C72" s="32">
        <f t="shared" ref="C72:D72" si="26">C53/$B53</f>
        <v>1.0361294632310412</v>
      </c>
      <c r="D72" s="32">
        <f t="shared" si="26"/>
        <v>1.5045986656130603</v>
      </c>
      <c r="E72" s="32">
        <f t="shared" si="15"/>
        <v>1.0420682182920173</v>
      </c>
      <c r="F72" s="32">
        <f t="shared" si="16"/>
        <v>1.5083378817625639</v>
      </c>
      <c r="G72" s="32">
        <f t="shared" si="15"/>
        <v>1.0452616229338592</v>
      </c>
    </row>
    <row r="73" spans="1:7" x14ac:dyDescent="0.2">
      <c r="A73" s="12" t="s">
        <v>16</v>
      </c>
      <c r="B73" s="32">
        <f t="shared" si="13"/>
        <v>1</v>
      </c>
      <c r="C73" s="32">
        <f t="shared" ref="C73:D73" si="27">C54/$B54</f>
        <v>1.0748813982521848</v>
      </c>
      <c r="D73" s="32">
        <f t="shared" si="27"/>
        <v>1.7218476903870161</v>
      </c>
      <c r="E73" s="32">
        <f t="shared" si="15"/>
        <v>1.1035955056179776</v>
      </c>
      <c r="F73" s="32">
        <f t="shared" si="16"/>
        <v>1.7057677902621722</v>
      </c>
      <c r="G73" s="32">
        <f t="shared" si="15"/>
        <v>1.1058177278401997</v>
      </c>
    </row>
    <row r="74" spans="1:7" x14ac:dyDescent="0.2">
      <c r="A74" s="12" t="s">
        <v>19</v>
      </c>
      <c r="B74" s="32">
        <f t="shared" ref="B74" si="28">B55/$B55</f>
        <v>1</v>
      </c>
      <c r="C74" s="32">
        <f t="shared" ref="C74:D74" si="29">C55/$B55</f>
        <v>3.0747396947653689</v>
      </c>
      <c r="D74" s="32">
        <f t="shared" si="29"/>
        <v>11.888603622878334</v>
      </c>
      <c r="E74" s="32">
        <f t="shared" si="15"/>
        <v>3.1095421480530594</v>
      </c>
      <c r="F74" s="32">
        <f t="shared" si="16"/>
        <v>11.908001711596063</v>
      </c>
      <c r="G74" s="32">
        <f t="shared" si="15"/>
        <v>3.1188132933960917</v>
      </c>
    </row>
    <row r="75" spans="1:7" x14ac:dyDescent="0.2">
      <c r="A75" s="12" t="s">
        <v>21</v>
      </c>
      <c r="B75" s="32">
        <f t="shared" ref="B75" si="30">B56/$B56</f>
        <v>1</v>
      </c>
      <c r="C75" s="32">
        <f t="shared" ref="C75:D75" si="31">C56/$B56</f>
        <v>0.99774966039082114</v>
      </c>
      <c r="D75" s="32">
        <f t="shared" si="31"/>
        <v>1.0024190642591895</v>
      </c>
      <c r="E75" s="32">
        <f t="shared" si="15"/>
        <v>1.0001954055058107</v>
      </c>
      <c r="F75" s="32">
        <f t="shared" si="16"/>
        <v>1.0034276006084251</v>
      </c>
      <c r="G75" s="32">
        <f t="shared" si="15"/>
        <v>1.001386133984651</v>
      </c>
    </row>
    <row r="76" spans="1:7" x14ac:dyDescent="0.2">
      <c r="A76" s="2" t="s">
        <v>85</v>
      </c>
      <c r="B76" s="32">
        <f>GEOMEAN(B62:B75)</f>
        <v>1</v>
      </c>
      <c r="C76" s="32">
        <f t="shared" ref="C76:D76" si="32">GEOMEAN(C62:C75)</f>
        <v>1.2210921406382136</v>
      </c>
      <c r="D76" s="32">
        <f t="shared" si="32"/>
        <v>1.9013094932587031</v>
      </c>
      <c r="E76" s="32">
        <f>GEOMEAN(E62:E75)</f>
        <v>1.2308110528355438</v>
      </c>
      <c r="F76" s="32">
        <f>GEOMEAN(F62:F75)</f>
        <v>1.9003548568054989</v>
      </c>
      <c r="G76" s="32">
        <f>GEOMEAN(G62:G75)</f>
        <v>1.2325397047224376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A4696-2C82-B041-BC40-27ED715ED08E}">
  <dimension ref="A1:M61"/>
  <sheetViews>
    <sheetView zoomScale="70" zoomScaleNormal="70" workbookViewId="0">
      <selection sqref="A1:D29"/>
    </sheetView>
  </sheetViews>
  <sheetFormatPr baseColWidth="10" defaultRowHeight="18" x14ac:dyDescent="0.2"/>
  <cols>
    <col min="1" max="1" width="27.83203125" style="1" customWidth="1"/>
    <col min="2" max="3" width="15.33203125" style="1" bestFit="1" customWidth="1"/>
    <col min="4" max="4" width="25.6640625" style="1" bestFit="1" customWidth="1"/>
    <col min="5" max="5" width="35.1640625" style="1" bestFit="1" customWidth="1"/>
    <col min="6" max="6" width="20.6640625" style="1" bestFit="1" customWidth="1"/>
    <col min="7" max="7" width="30.1640625" style="1" bestFit="1" customWidth="1"/>
    <col min="8" max="8" width="14.1640625" style="1" bestFit="1" customWidth="1"/>
    <col min="9" max="9" width="25.6640625" style="1" bestFit="1" customWidth="1"/>
    <col min="10" max="10" width="35.1640625" style="1" bestFit="1" customWidth="1"/>
    <col min="11" max="11" width="20.6640625" style="1" bestFit="1" customWidth="1"/>
    <col min="12" max="12" width="32.83203125" style="1" bestFit="1" customWidth="1"/>
    <col min="13" max="16384" width="10.83203125" style="1"/>
  </cols>
  <sheetData>
    <row r="1" spans="1:13" x14ac:dyDescent="0.2">
      <c r="A1" s="2" t="s">
        <v>103</v>
      </c>
      <c r="B1" s="2" t="s">
        <v>86</v>
      </c>
      <c r="C1" s="2" t="s">
        <v>104</v>
      </c>
      <c r="D1" s="2" t="s">
        <v>109</v>
      </c>
      <c r="E1" s="2" t="s">
        <v>110</v>
      </c>
      <c r="F1" s="2" t="s">
        <v>113</v>
      </c>
      <c r="G1" s="2" t="s">
        <v>114</v>
      </c>
    </row>
    <row r="2" spans="1:13" x14ac:dyDescent="0.2">
      <c r="A2" s="2" t="s">
        <v>69</v>
      </c>
      <c r="B2" s="3">
        <v>26</v>
      </c>
      <c r="C2" s="3">
        <v>29</v>
      </c>
      <c r="D2" s="3">
        <v>384</v>
      </c>
      <c r="E2" s="3">
        <v>370</v>
      </c>
      <c r="F2" s="3">
        <v>542</v>
      </c>
      <c r="G2" s="3">
        <v>461</v>
      </c>
      <c r="I2" s="3"/>
      <c r="J2" s="3"/>
      <c r="K2" s="3"/>
      <c r="L2" s="3"/>
      <c r="M2" s="3"/>
    </row>
    <row r="3" spans="1:13" x14ac:dyDescent="0.2">
      <c r="A3" s="2" t="s">
        <v>70</v>
      </c>
      <c r="B3" s="3">
        <v>22</v>
      </c>
      <c r="C3" s="3">
        <v>31</v>
      </c>
      <c r="D3" s="3">
        <v>74</v>
      </c>
      <c r="E3" s="3">
        <v>68</v>
      </c>
      <c r="F3" s="3">
        <v>99</v>
      </c>
      <c r="G3" s="3">
        <v>87</v>
      </c>
      <c r="I3" s="3"/>
      <c r="J3" s="3"/>
      <c r="K3" s="3"/>
      <c r="L3" s="3"/>
    </row>
    <row r="4" spans="1:13" x14ac:dyDescent="0.2">
      <c r="A4" s="2" t="s">
        <v>71</v>
      </c>
      <c r="B4" s="3">
        <v>5557</v>
      </c>
      <c r="C4" s="3">
        <v>8593</v>
      </c>
      <c r="D4" s="3">
        <v>40296</v>
      </c>
      <c r="E4" s="3">
        <v>34422</v>
      </c>
      <c r="F4" s="3">
        <v>60311</v>
      </c>
      <c r="G4" s="3">
        <v>52984</v>
      </c>
      <c r="I4" s="3"/>
      <c r="J4" s="3"/>
      <c r="K4" s="3"/>
      <c r="L4" s="3"/>
    </row>
    <row r="5" spans="1:13" x14ac:dyDescent="0.2">
      <c r="A5" s="2" t="s">
        <v>72</v>
      </c>
      <c r="B5" s="3">
        <v>44</v>
      </c>
      <c r="C5" s="3">
        <v>56</v>
      </c>
      <c r="D5" s="3">
        <v>103</v>
      </c>
      <c r="E5" s="3">
        <v>94</v>
      </c>
      <c r="F5" s="3">
        <v>138</v>
      </c>
      <c r="G5" s="3">
        <v>123</v>
      </c>
      <c r="I5" s="3"/>
      <c r="J5" s="3"/>
      <c r="K5" s="3"/>
      <c r="L5" s="3"/>
    </row>
    <row r="6" spans="1:13" x14ac:dyDescent="0.2">
      <c r="A6" s="2" t="s">
        <v>73</v>
      </c>
      <c r="B6" s="3">
        <v>2625</v>
      </c>
      <c r="C6" s="3">
        <v>2712</v>
      </c>
      <c r="D6" s="3">
        <v>17073</v>
      </c>
      <c r="E6" s="3">
        <v>15053</v>
      </c>
      <c r="F6" s="3">
        <v>23812</v>
      </c>
      <c r="G6" s="3">
        <v>18111</v>
      </c>
      <c r="I6" s="3"/>
      <c r="J6" s="3"/>
      <c r="K6" s="3"/>
      <c r="L6" s="3"/>
    </row>
    <row r="7" spans="1:13" x14ac:dyDescent="0.2">
      <c r="A7" s="2" t="s">
        <v>74</v>
      </c>
      <c r="B7" s="3">
        <v>3865</v>
      </c>
      <c r="C7" s="3">
        <v>4015</v>
      </c>
      <c r="D7" s="3">
        <v>19566</v>
      </c>
      <c r="E7" s="3">
        <v>17419</v>
      </c>
      <c r="F7" s="3">
        <v>25753</v>
      </c>
      <c r="G7" s="3">
        <v>19480</v>
      </c>
      <c r="I7" s="3"/>
      <c r="J7" s="3"/>
      <c r="K7" s="3"/>
      <c r="L7" s="3"/>
    </row>
    <row r="8" spans="1:13" x14ac:dyDescent="0.2">
      <c r="A8" s="2" t="s">
        <v>75</v>
      </c>
      <c r="B8" s="3">
        <v>1792</v>
      </c>
      <c r="C8" s="3">
        <v>1852</v>
      </c>
      <c r="D8" s="3">
        <v>1928</v>
      </c>
      <c r="E8" s="3">
        <v>1920</v>
      </c>
      <c r="F8" s="3">
        <v>2070</v>
      </c>
      <c r="G8" s="3">
        <v>2014</v>
      </c>
      <c r="I8" s="3"/>
      <c r="J8" s="3"/>
      <c r="K8" s="3"/>
      <c r="L8" s="3"/>
    </row>
    <row r="9" spans="1:13" x14ac:dyDescent="0.2">
      <c r="A9" s="2" t="s">
        <v>76</v>
      </c>
      <c r="B9" s="3">
        <v>3764</v>
      </c>
      <c r="C9" s="3">
        <v>3822</v>
      </c>
      <c r="D9" s="3">
        <v>3825</v>
      </c>
      <c r="E9" s="3">
        <v>3834</v>
      </c>
      <c r="F9" s="3">
        <v>3843</v>
      </c>
      <c r="G9" s="3">
        <v>3731</v>
      </c>
      <c r="I9" s="3"/>
      <c r="J9" s="3"/>
      <c r="K9" s="3"/>
      <c r="L9" s="3"/>
    </row>
    <row r="10" spans="1:13" x14ac:dyDescent="0.2">
      <c r="A10" s="2" t="s">
        <v>77</v>
      </c>
      <c r="B10" s="3">
        <v>31</v>
      </c>
      <c r="C10" s="3">
        <v>41</v>
      </c>
      <c r="D10" s="3">
        <v>434</v>
      </c>
      <c r="E10" s="3">
        <v>375</v>
      </c>
      <c r="F10" s="3">
        <v>667</v>
      </c>
      <c r="G10" s="3">
        <v>524</v>
      </c>
      <c r="I10" s="3"/>
      <c r="J10" s="3"/>
      <c r="K10" s="3"/>
      <c r="L10" s="3"/>
    </row>
    <row r="11" spans="1:13" x14ac:dyDescent="0.2">
      <c r="A11" s="2" t="s">
        <v>78</v>
      </c>
      <c r="B11" s="3">
        <v>949</v>
      </c>
      <c r="C11" s="3">
        <v>963</v>
      </c>
      <c r="D11" s="3">
        <v>4526</v>
      </c>
      <c r="E11" s="3">
        <v>4088</v>
      </c>
      <c r="F11" s="3">
        <v>6008</v>
      </c>
      <c r="G11" s="3">
        <v>5521</v>
      </c>
      <c r="I11" s="3"/>
      <c r="J11" s="3"/>
      <c r="K11" s="3"/>
      <c r="L11" s="3"/>
    </row>
    <row r="12" spans="1:13" x14ac:dyDescent="0.2">
      <c r="A12" s="2" t="s">
        <v>79</v>
      </c>
      <c r="B12" s="3">
        <v>472</v>
      </c>
      <c r="C12" s="3">
        <v>518</v>
      </c>
      <c r="D12" s="3">
        <v>2181</v>
      </c>
      <c r="E12" s="3">
        <v>1969</v>
      </c>
      <c r="F12" s="3">
        <v>2910</v>
      </c>
      <c r="G12" s="3">
        <v>2318</v>
      </c>
      <c r="I12" s="3"/>
      <c r="J12" s="3"/>
      <c r="K12" s="3"/>
      <c r="L12" s="3"/>
    </row>
    <row r="13" spans="1:13" x14ac:dyDescent="0.2">
      <c r="A13" s="2" t="s">
        <v>80</v>
      </c>
      <c r="B13" s="3">
        <v>54</v>
      </c>
      <c r="C13" s="3">
        <v>77</v>
      </c>
      <c r="D13" s="3">
        <v>350</v>
      </c>
      <c r="E13" s="3">
        <v>312</v>
      </c>
      <c r="F13" s="3">
        <v>503</v>
      </c>
      <c r="G13" s="3">
        <v>406</v>
      </c>
      <c r="I13" s="3"/>
      <c r="J13" s="3"/>
      <c r="K13" s="3"/>
      <c r="L13" s="3"/>
    </row>
    <row r="16" spans="1:13" x14ac:dyDescent="0.2">
      <c r="A16" s="2" t="s">
        <v>87</v>
      </c>
      <c r="B16" s="2" t="s">
        <v>86</v>
      </c>
      <c r="C16" s="2" t="s">
        <v>104</v>
      </c>
      <c r="D16" s="2" t="s">
        <v>109</v>
      </c>
      <c r="E16" s="2" t="s">
        <v>124</v>
      </c>
      <c r="F16" s="2" t="s">
        <v>113</v>
      </c>
      <c r="G16" s="2" t="s">
        <v>123</v>
      </c>
    </row>
    <row r="17" spans="1:13" x14ac:dyDescent="0.2">
      <c r="A17" s="2" t="s">
        <v>91</v>
      </c>
      <c r="B17" s="20">
        <f>B2/$B2</f>
        <v>1</v>
      </c>
      <c r="C17" s="20">
        <f t="shared" ref="C17:E17" si="0">C2/$B2</f>
        <v>1.1153846153846154</v>
      </c>
      <c r="D17" s="20">
        <f>D2/$B2</f>
        <v>14.76923076923077</v>
      </c>
      <c r="E17" s="20">
        <f t="shared" si="0"/>
        <v>14.23076923076923</v>
      </c>
      <c r="F17" s="20">
        <f t="shared" ref="F17:G28" si="1">F2/$B2</f>
        <v>20.846153846153847</v>
      </c>
      <c r="G17" s="20">
        <f t="shared" si="1"/>
        <v>17.73076923076923</v>
      </c>
      <c r="I17" s="21"/>
      <c r="J17" s="21">
        <v>110745362652</v>
      </c>
      <c r="K17" s="21"/>
      <c r="L17" s="21"/>
      <c r="M17" s="21"/>
    </row>
    <row r="18" spans="1:13" x14ac:dyDescent="0.2">
      <c r="A18" s="2" t="s">
        <v>92</v>
      </c>
      <c r="B18" s="20">
        <f t="shared" ref="B18:E28" si="2">B3/$B3</f>
        <v>1</v>
      </c>
      <c r="C18" s="20">
        <f t="shared" si="2"/>
        <v>1.4090909090909092</v>
      </c>
      <c r="D18" s="20">
        <f t="shared" si="2"/>
        <v>3.3636363636363638</v>
      </c>
      <c r="E18" s="20">
        <f t="shared" si="2"/>
        <v>3.0909090909090908</v>
      </c>
      <c r="F18" s="20">
        <f t="shared" si="1"/>
        <v>4.5</v>
      </c>
      <c r="G18" s="20">
        <f t="shared" si="1"/>
        <v>3.9545454545454546</v>
      </c>
      <c r="I18" s="21"/>
      <c r="J18" s="21">
        <v>166250210566</v>
      </c>
      <c r="K18" s="21"/>
      <c r="L18" s="21"/>
      <c r="M18" s="21"/>
    </row>
    <row r="19" spans="1:13" x14ac:dyDescent="0.2">
      <c r="A19" s="2" t="s">
        <v>93</v>
      </c>
      <c r="B19" s="20">
        <f t="shared" si="2"/>
        <v>1</v>
      </c>
      <c r="C19" s="20">
        <f t="shared" si="2"/>
        <v>1.5463379521324456</v>
      </c>
      <c r="D19" s="20">
        <f t="shared" si="2"/>
        <v>7.2513946373942773</v>
      </c>
      <c r="E19" s="20">
        <f t="shared" si="2"/>
        <v>6.1943494691380243</v>
      </c>
      <c r="F19" s="20">
        <f t="shared" si="1"/>
        <v>10.853158178873493</v>
      </c>
      <c r="G19" s="20">
        <f t="shared" si="1"/>
        <v>9.534640993341732</v>
      </c>
      <c r="I19" s="21"/>
      <c r="J19" s="21"/>
      <c r="K19" s="21"/>
      <c r="L19" s="21"/>
      <c r="M19" s="21"/>
    </row>
    <row r="20" spans="1:13" x14ac:dyDescent="0.2">
      <c r="A20" s="2" t="s">
        <v>94</v>
      </c>
      <c r="B20" s="20">
        <f t="shared" si="2"/>
        <v>1</v>
      </c>
      <c r="C20" s="20">
        <f t="shared" si="2"/>
        <v>1.2727272727272727</v>
      </c>
      <c r="D20" s="20">
        <f t="shared" si="2"/>
        <v>2.3409090909090908</v>
      </c>
      <c r="E20" s="20">
        <f t="shared" si="2"/>
        <v>2.1363636363636362</v>
      </c>
      <c r="F20" s="20">
        <f t="shared" si="1"/>
        <v>3.1363636363636362</v>
      </c>
      <c r="G20" s="20">
        <f t="shared" si="1"/>
        <v>2.7954545454545454</v>
      </c>
      <c r="I20" s="21"/>
      <c r="J20" s="21"/>
      <c r="K20" s="21"/>
      <c r="L20" s="21"/>
      <c r="M20" s="21"/>
    </row>
    <row r="21" spans="1:13" x14ac:dyDescent="0.2">
      <c r="A21" s="2" t="s">
        <v>95</v>
      </c>
      <c r="B21" s="20">
        <f t="shared" si="2"/>
        <v>1</v>
      </c>
      <c r="C21" s="20">
        <f t="shared" si="2"/>
        <v>1.0331428571428571</v>
      </c>
      <c r="D21" s="20">
        <f t="shared" si="2"/>
        <v>6.5039999999999996</v>
      </c>
      <c r="E21" s="20">
        <f t="shared" si="2"/>
        <v>5.7344761904761903</v>
      </c>
      <c r="F21" s="20">
        <f t="shared" si="1"/>
        <v>9.0712380952380958</v>
      </c>
      <c r="G21" s="20">
        <f t="shared" si="1"/>
        <v>6.8994285714285715</v>
      </c>
      <c r="I21" s="21"/>
      <c r="J21" s="21"/>
      <c r="K21" s="21"/>
      <c r="L21" s="21"/>
      <c r="M21" s="21"/>
    </row>
    <row r="22" spans="1:13" x14ac:dyDescent="0.2">
      <c r="A22" s="2" t="s">
        <v>96</v>
      </c>
      <c r="B22" s="20">
        <f t="shared" si="2"/>
        <v>1</v>
      </c>
      <c r="C22" s="20">
        <f t="shared" si="2"/>
        <v>1.0388098318240622</v>
      </c>
      <c r="D22" s="20">
        <f t="shared" si="2"/>
        <v>5.0623544631306601</v>
      </c>
      <c r="E22" s="20">
        <f t="shared" si="2"/>
        <v>4.5068564036222512</v>
      </c>
      <c r="F22" s="20">
        <f t="shared" si="1"/>
        <v>6.6631306597671411</v>
      </c>
      <c r="G22" s="20">
        <f t="shared" si="1"/>
        <v>5.0401034928848638</v>
      </c>
      <c r="I22" s="21"/>
      <c r="J22" s="21"/>
      <c r="K22" s="21"/>
      <c r="L22" s="21"/>
      <c r="M22" s="21"/>
    </row>
    <row r="23" spans="1:13" x14ac:dyDescent="0.2">
      <c r="A23" s="2" t="s">
        <v>97</v>
      </c>
      <c r="B23" s="20">
        <f t="shared" si="2"/>
        <v>1</v>
      </c>
      <c r="C23" s="20">
        <f t="shared" si="2"/>
        <v>1.0334821428571428</v>
      </c>
      <c r="D23" s="20">
        <f t="shared" si="2"/>
        <v>1.0758928571428572</v>
      </c>
      <c r="E23" s="20">
        <f t="shared" si="2"/>
        <v>1.0714285714285714</v>
      </c>
      <c r="F23" s="20">
        <f t="shared" si="1"/>
        <v>1.1551339285714286</v>
      </c>
      <c r="G23" s="20">
        <f t="shared" si="1"/>
        <v>1.1238839285714286</v>
      </c>
      <c r="I23" s="21"/>
      <c r="J23" s="21"/>
      <c r="K23" s="21"/>
      <c r="L23" s="21"/>
      <c r="M23" s="21"/>
    </row>
    <row r="24" spans="1:13" x14ac:dyDescent="0.2">
      <c r="A24" s="2" t="s">
        <v>98</v>
      </c>
      <c r="B24" s="20">
        <f t="shared" si="2"/>
        <v>1</v>
      </c>
      <c r="C24" s="20">
        <f t="shared" si="2"/>
        <v>1.0154091392136027</v>
      </c>
      <c r="D24" s="20">
        <f t="shared" si="2"/>
        <v>1.0162061636556854</v>
      </c>
      <c r="E24" s="20">
        <f t="shared" si="2"/>
        <v>1.0185972369819341</v>
      </c>
      <c r="F24" s="20">
        <f t="shared" si="1"/>
        <v>1.0209883103081827</v>
      </c>
      <c r="G24" s="20">
        <f t="shared" si="1"/>
        <v>0.99123273113708821</v>
      </c>
      <c r="I24" s="21"/>
      <c r="J24" s="21"/>
      <c r="K24" s="21"/>
      <c r="L24" s="21"/>
      <c r="M24" s="21"/>
    </row>
    <row r="25" spans="1:13" x14ac:dyDescent="0.2">
      <c r="A25" s="2" t="s">
        <v>99</v>
      </c>
      <c r="B25" s="20">
        <f t="shared" si="2"/>
        <v>1</v>
      </c>
      <c r="C25" s="20">
        <f t="shared" si="2"/>
        <v>1.3225806451612903</v>
      </c>
      <c r="D25" s="20">
        <f t="shared" si="2"/>
        <v>14</v>
      </c>
      <c r="E25" s="20">
        <f t="shared" si="2"/>
        <v>12.096774193548388</v>
      </c>
      <c r="F25" s="20">
        <f t="shared" si="1"/>
        <v>21.516129032258064</v>
      </c>
      <c r="G25" s="20">
        <f t="shared" si="1"/>
        <v>16.903225806451612</v>
      </c>
      <c r="I25" s="21"/>
      <c r="J25" s="21"/>
      <c r="K25" s="21"/>
      <c r="L25" s="21"/>
      <c r="M25" s="21"/>
    </row>
    <row r="26" spans="1:13" x14ac:dyDescent="0.2">
      <c r="A26" s="2" t="s">
        <v>100</v>
      </c>
      <c r="B26" s="20">
        <f t="shared" si="2"/>
        <v>1</v>
      </c>
      <c r="C26" s="20">
        <f t="shared" si="2"/>
        <v>1.0147523709167545</v>
      </c>
      <c r="D26" s="20">
        <f t="shared" si="2"/>
        <v>4.7692307692307692</v>
      </c>
      <c r="E26" s="20">
        <f t="shared" si="2"/>
        <v>4.3076923076923075</v>
      </c>
      <c r="F26" s="20">
        <f t="shared" si="1"/>
        <v>6.3308746048472075</v>
      </c>
      <c r="G26" s="20">
        <f t="shared" si="1"/>
        <v>5.8177028451001052</v>
      </c>
      <c r="I26" s="21"/>
      <c r="J26" s="21"/>
      <c r="K26" s="21"/>
      <c r="L26" s="21"/>
      <c r="M26" s="21"/>
    </row>
    <row r="27" spans="1:13" x14ac:dyDescent="0.2">
      <c r="A27" s="2" t="s">
        <v>101</v>
      </c>
      <c r="B27" s="20">
        <f t="shared" si="2"/>
        <v>1</v>
      </c>
      <c r="C27" s="20">
        <f t="shared" si="2"/>
        <v>1.097457627118644</v>
      </c>
      <c r="D27" s="20">
        <f t="shared" si="2"/>
        <v>4.6207627118644066</v>
      </c>
      <c r="E27" s="20">
        <f t="shared" si="2"/>
        <v>4.1716101694915251</v>
      </c>
      <c r="F27" s="20">
        <f t="shared" si="1"/>
        <v>6.1652542372881358</v>
      </c>
      <c r="G27" s="20">
        <f t="shared" si="1"/>
        <v>4.9110169491525424</v>
      </c>
      <c r="I27" s="21"/>
      <c r="J27" s="21"/>
      <c r="K27" s="21"/>
      <c r="L27" s="21"/>
      <c r="M27" s="21"/>
    </row>
    <row r="28" spans="1:13" x14ac:dyDescent="0.2">
      <c r="A28" s="2" t="s">
        <v>102</v>
      </c>
      <c r="B28" s="20">
        <f t="shared" si="2"/>
        <v>1</v>
      </c>
      <c r="C28" s="20">
        <f t="shared" si="2"/>
        <v>1.4259259259259258</v>
      </c>
      <c r="D28" s="20">
        <f t="shared" si="2"/>
        <v>6.4814814814814818</v>
      </c>
      <c r="E28" s="20">
        <f t="shared" si="2"/>
        <v>5.7777777777777777</v>
      </c>
      <c r="F28" s="20">
        <f t="shared" si="1"/>
        <v>9.3148148148148149</v>
      </c>
      <c r="G28" s="20">
        <f t="shared" si="1"/>
        <v>7.5185185185185182</v>
      </c>
      <c r="I28" s="21"/>
      <c r="J28" s="21"/>
      <c r="K28" s="21"/>
      <c r="L28" s="21"/>
      <c r="M28" s="21"/>
    </row>
    <row r="29" spans="1:13" x14ac:dyDescent="0.2">
      <c r="A29" s="2" t="s">
        <v>85</v>
      </c>
      <c r="B29" s="20">
        <f>GEOMEAN(B17:B28)</f>
        <v>1</v>
      </c>
      <c r="C29" s="20">
        <f t="shared" ref="C29:E29" si="3">GEOMEAN(C17:C28)</f>
        <v>1.1803910434964764</v>
      </c>
      <c r="D29" s="20">
        <f t="shared" si="3"/>
        <v>4.4524778925966091</v>
      </c>
      <c r="E29" s="20">
        <f t="shared" si="3"/>
        <v>4.0693476148817931</v>
      </c>
      <c r="F29" s="20">
        <f>GEOMEAN(F17:F28)</f>
        <v>5.9003939039676796</v>
      </c>
      <c r="G29" s="20">
        <f>GEOMEAN(G17:G28)</f>
        <v>5.0309069677068088</v>
      </c>
      <c r="H29" s="1">
        <f>E29/G29</f>
        <v>0.80886958176781509</v>
      </c>
    </row>
    <row r="33" spans="1:13" x14ac:dyDescent="0.2">
      <c r="A33" s="2" t="s">
        <v>88</v>
      </c>
      <c r="B33" s="23" t="s">
        <v>86</v>
      </c>
      <c r="C33" s="23" t="s">
        <v>104</v>
      </c>
      <c r="D33" s="2" t="s">
        <v>109</v>
      </c>
      <c r="E33" s="2" t="s">
        <v>124</v>
      </c>
      <c r="F33" s="2" t="s">
        <v>113</v>
      </c>
      <c r="G33" s="2" t="s">
        <v>123</v>
      </c>
      <c r="H33" s="2" t="s">
        <v>104</v>
      </c>
      <c r="I33" s="2" t="s">
        <v>109</v>
      </c>
      <c r="J33" s="2" t="s">
        <v>124</v>
      </c>
      <c r="K33" s="2" t="s">
        <v>113</v>
      </c>
      <c r="L33" s="2" t="s">
        <v>123</v>
      </c>
    </row>
    <row r="34" spans="1:13" x14ac:dyDescent="0.2">
      <c r="A34" s="2" t="s">
        <v>91</v>
      </c>
      <c r="B34" s="3">
        <v>5360</v>
      </c>
      <c r="C34" s="3">
        <v>13144</v>
      </c>
      <c r="D34" s="3">
        <v>62824</v>
      </c>
      <c r="E34" s="3">
        <v>63072</v>
      </c>
      <c r="F34" s="3">
        <v>13904</v>
      </c>
      <c r="G34" s="3">
        <v>13916</v>
      </c>
      <c r="H34" s="26">
        <f>(C34-$B34)/1024</f>
        <v>7.6015625</v>
      </c>
      <c r="I34" s="26">
        <f>(D34-$B34)/1024</f>
        <v>56.1171875</v>
      </c>
      <c r="J34" s="26">
        <f>(E34-$B34)/1024</f>
        <v>56.359375</v>
      </c>
      <c r="K34" s="26">
        <f>(F34-$B34)/1024</f>
        <v>8.34375</v>
      </c>
      <c r="L34" s="26">
        <f>(G34-$B34)/1024</f>
        <v>8.35546875</v>
      </c>
      <c r="M34" s="25">
        <f>J34-L34</f>
        <v>48.00390625</v>
      </c>
    </row>
    <row r="35" spans="1:13" x14ac:dyDescent="0.2">
      <c r="A35" s="2" t="s">
        <v>92</v>
      </c>
      <c r="B35" s="3">
        <v>41536</v>
      </c>
      <c r="C35" s="3">
        <v>50052</v>
      </c>
      <c r="D35" s="3">
        <v>108036</v>
      </c>
      <c r="E35" s="3">
        <v>108204</v>
      </c>
      <c r="F35" s="3">
        <v>51204</v>
      </c>
      <c r="G35" s="3">
        <v>51220</v>
      </c>
      <c r="H35" s="26">
        <f t="shared" ref="H35:H45" si="4">(C35-$B35)/1024</f>
        <v>8.31640625</v>
      </c>
      <c r="I35" s="26">
        <f t="shared" ref="I35:I45" si="5">(D35-$B35)/1024</f>
        <v>64.94140625</v>
      </c>
      <c r="J35" s="26">
        <f t="shared" ref="J35:J45" si="6">(E35-$B35)/1024</f>
        <v>65.10546875</v>
      </c>
      <c r="K35" s="26">
        <f t="shared" ref="K35:K45" si="7">(F35-$B35)/1024</f>
        <v>9.44140625</v>
      </c>
      <c r="L35" s="26">
        <f t="shared" ref="L35:L45" si="8">(G35-$B35)/1024</f>
        <v>9.45703125</v>
      </c>
      <c r="M35" s="25">
        <f t="shared" ref="M35:M45" si="9">J35-L35</f>
        <v>55.6484375</v>
      </c>
    </row>
    <row r="36" spans="1:13" x14ac:dyDescent="0.2">
      <c r="A36" s="2" t="s">
        <v>93</v>
      </c>
      <c r="B36" s="3">
        <v>12587144</v>
      </c>
      <c r="C36" s="3">
        <v>12594744</v>
      </c>
      <c r="D36" s="3">
        <v>12641892</v>
      </c>
      <c r="E36" s="3">
        <v>12641952</v>
      </c>
      <c r="F36" s="3">
        <v>12595580</v>
      </c>
      <c r="G36" s="3">
        <v>12595564</v>
      </c>
      <c r="H36" s="26">
        <f t="shared" si="4"/>
        <v>7.421875</v>
      </c>
      <c r="I36" s="26">
        <f t="shared" si="5"/>
        <v>53.46484375</v>
      </c>
      <c r="J36" s="26">
        <f t="shared" si="6"/>
        <v>53.5234375</v>
      </c>
      <c r="K36" s="26">
        <f t="shared" si="7"/>
        <v>8.23828125</v>
      </c>
      <c r="L36" s="26">
        <f t="shared" si="8"/>
        <v>8.22265625</v>
      </c>
      <c r="M36" s="25">
        <f t="shared" si="9"/>
        <v>45.30078125</v>
      </c>
    </row>
    <row r="37" spans="1:13" x14ac:dyDescent="0.2">
      <c r="A37" s="2" t="s">
        <v>94</v>
      </c>
      <c r="B37" s="3">
        <v>26204</v>
      </c>
      <c r="C37" s="3">
        <v>34308</v>
      </c>
      <c r="D37" s="3">
        <v>90500</v>
      </c>
      <c r="E37" s="3">
        <v>90780</v>
      </c>
      <c r="F37" s="3">
        <v>35160</v>
      </c>
      <c r="G37" s="3">
        <v>35204</v>
      </c>
      <c r="H37" s="26">
        <f t="shared" si="4"/>
        <v>7.9140625</v>
      </c>
      <c r="I37" s="26">
        <f t="shared" si="5"/>
        <v>62.7890625</v>
      </c>
      <c r="J37" s="26">
        <f t="shared" si="6"/>
        <v>63.0625</v>
      </c>
      <c r="K37" s="26">
        <f t="shared" si="7"/>
        <v>8.74609375</v>
      </c>
      <c r="L37" s="26">
        <f t="shared" si="8"/>
        <v>8.7890625</v>
      </c>
      <c r="M37" s="25">
        <f t="shared" si="9"/>
        <v>54.2734375</v>
      </c>
    </row>
    <row r="38" spans="1:13" x14ac:dyDescent="0.2">
      <c r="A38" s="2" t="s">
        <v>95</v>
      </c>
      <c r="B38" s="3">
        <v>133964</v>
      </c>
      <c r="C38" s="3">
        <v>141596</v>
      </c>
      <c r="D38" s="3">
        <v>189824</v>
      </c>
      <c r="E38" s="3">
        <v>190160</v>
      </c>
      <c r="F38" s="3">
        <v>142304</v>
      </c>
      <c r="G38" s="3">
        <v>142360</v>
      </c>
      <c r="H38" s="26">
        <f t="shared" si="4"/>
        <v>7.453125</v>
      </c>
      <c r="I38" s="26">
        <f t="shared" si="5"/>
        <v>54.55078125</v>
      </c>
      <c r="J38" s="26">
        <f t="shared" si="6"/>
        <v>54.87890625</v>
      </c>
      <c r="K38" s="26">
        <f t="shared" si="7"/>
        <v>8.14453125</v>
      </c>
      <c r="L38" s="26">
        <f t="shared" si="8"/>
        <v>8.19921875</v>
      </c>
      <c r="M38" s="25">
        <f t="shared" si="9"/>
        <v>46.6796875</v>
      </c>
    </row>
    <row r="39" spans="1:13" x14ac:dyDescent="0.2">
      <c r="A39" s="2" t="s">
        <v>96</v>
      </c>
      <c r="B39" s="3">
        <v>133440</v>
      </c>
      <c r="C39" s="3">
        <v>141076</v>
      </c>
      <c r="D39" s="3">
        <v>189404</v>
      </c>
      <c r="E39" s="3">
        <v>189292</v>
      </c>
      <c r="F39" s="3">
        <v>141808</v>
      </c>
      <c r="G39" s="3">
        <v>141944</v>
      </c>
      <c r="H39" s="26">
        <f t="shared" si="4"/>
        <v>7.45703125</v>
      </c>
      <c r="I39" s="26">
        <f t="shared" si="5"/>
        <v>54.65234375</v>
      </c>
      <c r="J39" s="26">
        <f t="shared" si="6"/>
        <v>54.54296875</v>
      </c>
      <c r="K39" s="26">
        <f t="shared" si="7"/>
        <v>8.171875</v>
      </c>
      <c r="L39" s="26">
        <f t="shared" si="8"/>
        <v>8.3046875</v>
      </c>
      <c r="M39" s="25">
        <f t="shared" si="9"/>
        <v>46.23828125</v>
      </c>
    </row>
    <row r="40" spans="1:13" x14ac:dyDescent="0.2">
      <c r="A40" s="2" t="s">
        <v>97</v>
      </c>
      <c r="B40" s="3">
        <v>3629736</v>
      </c>
      <c r="C40" s="3">
        <v>3638004</v>
      </c>
      <c r="D40" s="3">
        <v>3689212</v>
      </c>
      <c r="E40" s="3">
        <v>3689200</v>
      </c>
      <c r="F40" s="3">
        <v>3639052</v>
      </c>
      <c r="G40" s="3">
        <v>3639068</v>
      </c>
      <c r="H40" s="26">
        <f t="shared" si="4"/>
        <v>8.07421875</v>
      </c>
      <c r="I40" s="26">
        <f t="shared" si="5"/>
        <v>58.08203125</v>
      </c>
      <c r="J40" s="26">
        <f t="shared" si="6"/>
        <v>58.0703125</v>
      </c>
      <c r="K40" s="26">
        <f t="shared" si="7"/>
        <v>9.09765625</v>
      </c>
      <c r="L40" s="26">
        <f t="shared" si="8"/>
        <v>9.11328125</v>
      </c>
      <c r="M40" s="25">
        <f t="shared" si="9"/>
        <v>48.95703125</v>
      </c>
    </row>
    <row r="41" spans="1:13" x14ac:dyDescent="0.2">
      <c r="A41" s="2" t="s">
        <v>98</v>
      </c>
      <c r="B41" s="3">
        <v>4092668</v>
      </c>
      <c r="C41" s="3">
        <v>4100588</v>
      </c>
      <c r="D41" s="3">
        <v>4150416</v>
      </c>
      <c r="E41" s="3">
        <v>4150508</v>
      </c>
      <c r="F41" s="3">
        <v>4101716</v>
      </c>
      <c r="G41" s="3">
        <v>4101748</v>
      </c>
      <c r="H41" s="26">
        <f t="shared" si="4"/>
        <v>7.734375</v>
      </c>
      <c r="I41" s="26">
        <f t="shared" si="5"/>
        <v>56.39453125</v>
      </c>
      <c r="J41" s="26">
        <f t="shared" si="6"/>
        <v>56.484375</v>
      </c>
      <c r="K41" s="26">
        <f t="shared" si="7"/>
        <v>8.8359375</v>
      </c>
      <c r="L41" s="26">
        <f t="shared" si="8"/>
        <v>8.8671875</v>
      </c>
      <c r="M41" s="25">
        <f t="shared" si="9"/>
        <v>47.6171875</v>
      </c>
    </row>
    <row r="42" spans="1:13" x14ac:dyDescent="0.2">
      <c r="A42" s="2" t="s">
        <v>99</v>
      </c>
      <c r="B42" s="3">
        <v>219128</v>
      </c>
      <c r="C42" s="3">
        <v>227168</v>
      </c>
      <c r="D42" s="3">
        <v>530128</v>
      </c>
      <c r="E42" s="3">
        <v>530852</v>
      </c>
      <c r="F42" s="3">
        <v>228484</v>
      </c>
      <c r="G42" s="3">
        <v>228536</v>
      </c>
      <c r="H42" s="26">
        <f t="shared" si="4"/>
        <v>7.8515625</v>
      </c>
      <c r="I42" s="26">
        <f t="shared" si="5"/>
        <v>303.7109375</v>
      </c>
      <c r="J42" s="26">
        <f t="shared" si="6"/>
        <v>304.41796875</v>
      </c>
      <c r="K42" s="26">
        <f t="shared" si="7"/>
        <v>9.13671875</v>
      </c>
      <c r="L42" s="26">
        <f t="shared" si="8"/>
        <v>9.1875</v>
      </c>
      <c r="M42" s="25">
        <f t="shared" si="9"/>
        <v>295.23046875</v>
      </c>
    </row>
    <row r="43" spans="1:13" x14ac:dyDescent="0.2">
      <c r="A43" s="2" t="s">
        <v>100</v>
      </c>
      <c r="B43" s="3">
        <v>1440684</v>
      </c>
      <c r="C43" s="3">
        <v>1448396</v>
      </c>
      <c r="D43" s="3">
        <v>1494912</v>
      </c>
      <c r="E43" s="3">
        <v>1495092</v>
      </c>
      <c r="F43" s="3">
        <v>1449048</v>
      </c>
      <c r="G43" s="3">
        <v>1449148</v>
      </c>
      <c r="H43" s="26">
        <f t="shared" si="4"/>
        <v>7.53125</v>
      </c>
      <c r="I43" s="26">
        <f t="shared" si="5"/>
        <v>52.95703125</v>
      </c>
      <c r="J43" s="26">
        <f t="shared" si="6"/>
        <v>53.1328125</v>
      </c>
      <c r="K43" s="26">
        <f t="shared" si="7"/>
        <v>8.16796875</v>
      </c>
      <c r="L43" s="26">
        <f t="shared" si="8"/>
        <v>8.265625</v>
      </c>
      <c r="M43" s="25">
        <f t="shared" si="9"/>
        <v>44.8671875</v>
      </c>
    </row>
    <row r="44" spans="1:13" x14ac:dyDescent="0.2">
      <c r="A44" s="2" t="s">
        <v>101</v>
      </c>
      <c r="B44" s="3">
        <v>6708</v>
      </c>
      <c r="C44" s="3">
        <v>14652</v>
      </c>
      <c r="D44" s="3">
        <v>65744</v>
      </c>
      <c r="E44" s="3">
        <v>65864</v>
      </c>
      <c r="F44" s="3">
        <v>15340</v>
      </c>
      <c r="G44" s="3">
        <v>15520</v>
      </c>
      <c r="H44" s="26">
        <f t="shared" si="4"/>
        <v>7.7578125</v>
      </c>
      <c r="I44" s="26">
        <f t="shared" si="5"/>
        <v>57.65234375</v>
      </c>
      <c r="J44" s="26">
        <f t="shared" si="6"/>
        <v>57.76953125</v>
      </c>
      <c r="K44" s="26">
        <f t="shared" si="7"/>
        <v>8.4296875</v>
      </c>
      <c r="L44" s="26">
        <f t="shared" si="8"/>
        <v>8.60546875</v>
      </c>
      <c r="M44" s="25">
        <f t="shared" si="9"/>
        <v>49.1640625</v>
      </c>
    </row>
    <row r="45" spans="1:13" x14ac:dyDescent="0.2">
      <c r="A45" s="2" t="s">
        <v>102</v>
      </c>
      <c r="B45" s="3">
        <v>5508</v>
      </c>
      <c r="C45" s="3">
        <v>13740</v>
      </c>
      <c r="D45" s="3">
        <v>65380</v>
      </c>
      <c r="E45" s="3">
        <v>65616</v>
      </c>
      <c r="F45" s="3">
        <v>14548</v>
      </c>
      <c r="G45" s="3">
        <v>14544</v>
      </c>
      <c r="H45" s="26">
        <f t="shared" si="4"/>
        <v>8.0390625</v>
      </c>
      <c r="I45" s="26">
        <f t="shared" si="5"/>
        <v>58.46875</v>
      </c>
      <c r="J45" s="26">
        <f t="shared" si="6"/>
        <v>58.69921875</v>
      </c>
      <c r="K45" s="26">
        <f t="shared" si="7"/>
        <v>8.828125</v>
      </c>
      <c r="L45" s="26">
        <f t="shared" si="8"/>
        <v>8.82421875</v>
      </c>
      <c r="M45" s="25">
        <f t="shared" si="9"/>
        <v>49.875</v>
      </c>
    </row>
    <row r="46" spans="1:13" x14ac:dyDescent="0.2">
      <c r="A46" s="1" t="s">
        <v>66</v>
      </c>
      <c r="H46" s="28">
        <f>GEOMEAN(H34:H45)</f>
        <v>7.7579290223578559</v>
      </c>
      <c r="I46" s="28">
        <f t="shared" ref="I46:L46" si="10">GEOMEAN(I34:I45)</f>
        <v>65.707549857590024</v>
      </c>
      <c r="J46" s="28">
        <f t="shared" si="10"/>
        <v>65.867950232364592</v>
      </c>
      <c r="K46" s="28">
        <f t="shared" si="10"/>
        <v>8.6215148237372947</v>
      </c>
      <c r="L46" s="28">
        <f t="shared" si="10"/>
        <v>8.6732137773689146</v>
      </c>
    </row>
    <row r="48" spans="1:13" x14ac:dyDescent="0.2">
      <c r="A48" s="2" t="s">
        <v>88</v>
      </c>
      <c r="B48" s="23" t="s">
        <v>86</v>
      </c>
      <c r="C48" s="23" t="s">
        <v>104</v>
      </c>
      <c r="D48" s="2" t="s">
        <v>109</v>
      </c>
      <c r="E48" s="2" t="s">
        <v>124</v>
      </c>
      <c r="F48" s="2" t="s">
        <v>113</v>
      </c>
      <c r="G48" s="2" t="s">
        <v>123</v>
      </c>
    </row>
    <row r="49" spans="1:7" x14ac:dyDescent="0.2">
      <c r="A49" s="2" t="s">
        <v>91</v>
      </c>
      <c r="B49" s="32">
        <f t="shared" ref="B49:G60" si="11">B34/$B34</f>
        <v>1</v>
      </c>
      <c r="C49" s="32">
        <f t="shared" si="11"/>
        <v>2.4522388059701492</v>
      </c>
      <c r="D49" s="32">
        <f t="shared" si="11"/>
        <v>11.72089552238806</v>
      </c>
      <c r="E49" s="32">
        <f t="shared" si="11"/>
        <v>11.767164179104478</v>
      </c>
      <c r="F49" s="32">
        <f t="shared" si="11"/>
        <v>2.5940298507462685</v>
      </c>
      <c r="G49" s="32">
        <f t="shared" si="11"/>
        <v>2.5962686567164179</v>
      </c>
    </row>
    <row r="50" spans="1:7" x14ac:dyDescent="0.2">
      <c r="A50" s="2" t="s">
        <v>92</v>
      </c>
      <c r="B50" s="32">
        <f t="shared" si="11"/>
        <v>1</v>
      </c>
      <c r="C50" s="32">
        <f t="shared" si="11"/>
        <v>1.2050269645608629</v>
      </c>
      <c r="D50" s="32">
        <f t="shared" si="11"/>
        <v>2.6010208012326657</v>
      </c>
      <c r="E50" s="32">
        <f t="shared" si="11"/>
        <v>2.6050654853620956</v>
      </c>
      <c r="F50" s="32">
        <f t="shared" si="11"/>
        <v>1.2327619414483821</v>
      </c>
      <c r="G50" s="32">
        <f t="shared" si="11"/>
        <v>1.2331471494607087</v>
      </c>
    </row>
    <row r="51" spans="1:7" x14ac:dyDescent="0.2">
      <c r="A51" s="2" t="s">
        <v>93</v>
      </c>
      <c r="B51" s="32">
        <f t="shared" si="11"/>
        <v>1</v>
      </c>
      <c r="C51" s="32">
        <f t="shared" si="11"/>
        <v>1.0006037906613288</v>
      </c>
      <c r="D51" s="32">
        <f t="shared" si="11"/>
        <v>1.0043495172534771</v>
      </c>
      <c r="E51" s="32">
        <f t="shared" si="11"/>
        <v>1.004354284021856</v>
      </c>
      <c r="F51" s="32">
        <f t="shared" si="11"/>
        <v>1.000670207634075</v>
      </c>
      <c r="G51" s="32">
        <f t="shared" si="11"/>
        <v>1.0006689364958405</v>
      </c>
    </row>
    <row r="52" spans="1:7" x14ac:dyDescent="0.2">
      <c r="A52" s="2" t="s">
        <v>94</v>
      </c>
      <c r="B52" s="32">
        <f t="shared" si="11"/>
        <v>1</v>
      </c>
      <c r="C52" s="32">
        <f t="shared" si="11"/>
        <v>1.3092657609525262</v>
      </c>
      <c r="D52" s="32">
        <f t="shared" si="11"/>
        <v>3.4536711952373684</v>
      </c>
      <c r="E52" s="32">
        <f t="shared" si="11"/>
        <v>3.4643565867806441</v>
      </c>
      <c r="F52" s="32">
        <f t="shared" si="11"/>
        <v>1.3417798809342085</v>
      </c>
      <c r="G52" s="32">
        <f t="shared" si="11"/>
        <v>1.343459013891009</v>
      </c>
    </row>
    <row r="53" spans="1:7" x14ac:dyDescent="0.2">
      <c r="A53" s="2" t="s">
        <v>95</v>
      </c>
      <c r="B53" s="32">
        <f t="shared" si="11"/>
        <v>1</v>
      </c>
      <c r="C53" s="32">
        <f t="shared" si="11"/>
        <v>1.056970529395957</v>
      </c>
      <c r="D53" s="32">
        <f t="shared" si="11"/>
        <v>1.4169776955002837</v>
      </c>
      <c r="E53" s="32">
        <f t="shared" si="11"/>
        <v>1.4194858320145711</v>
      </c>
      <c r="F53" s="32">
        <f t="shared" si="11"/>
        <v>1.062255531336777</v>
      </c>
      <c r="G53" s="32">
        <f t="shared" si="11"/>
        <v>1.0626735540891583</v>
      </c>
    </row>
    <row r="54" spans="1:7" x14ac:dyDescent="0.2">
      <c r="A54" s="2" t="s">
        <v>96</v>
      </c>
      <c r="B54" s="32">
        <f t="shared" si="11"/>
        <v>1</v>
      </c>
      <c r="C54" s="32">
        <f t="shared" si="11"/>
        <v>1.0572242206235012</v>
      </c>
      <c r="D54" s="32">
        <f t="shared" si="11"/>
        <v>1.41939448441247</v>
      </c>
      <c r="E54" s="32">
        <f t="shared" si="11"/>
        <v>1.4185551558752998</v>
      </c>
      <c r="F54" s="32">
        <f t="shared" si="11"/>
        <v>1.0627098321342925</v>
      </c>
      <c r="G54" s="32">
        <f t="shared" si="11"/>
        <v>1.0637290167865707</v>
      </c>
    </row>
    <row r="55" spans="1:7" x14ac:dyDescent="0.2">
      <c r="A55" s="2" t="s">
        <v>97</v>
      </c>
      <c r="B55" s="32">
        <f t="shared" si="11"/>
        <v>1</v>
      </c>
      <c r="C55" s="32">
        <f t="shared" si="11"/>
        <v>1.0022778516123487</v>
      </c>
      <c r="D55" s="32">
        <f t="shared" si="11"/>
        <v>1.0163857646947325</v>
      </c>
      <c r="E55" s="32">
        <f t="shared" si="11"/>
        <v>1.0163824586691705</v>
      </c>
      <c r="F55" s="32">
        <f t="shared" si="11"/>
        <v>1.0025665778447799</v>
      </c>
      <c r="G55" s="32">
        <f t="shared" si="11"/>
        <v>1.0025709858788627</v>
      </c>
    </row>
    <row r="56" spans="1:7" x14ac:dyDescent="0.2">
      <c r="A56" s="2" t="s">
        <v>98</v>
      </c>
      <c r="B56" s="32">
        <f t="shared" si="11"/>
        <v>1</v>
      </c>
      <c r="C56" s="32">
        <f t="shared" si="11"/>
        <v>1.0019351679637831</v>
      </c>
      <c r="D56" s="32">
        <f t="shared" si="11"/>
        <v>1.0141101110571393</v>
      </c>
      <c r="E56" s="32">
        <f t="shared" si="11"/>
        <v>1.014132590280961</v>
      </c>
      <c r="F56" s="32">
        <f t="shared" si="11"/>
        <v>1.0022107827949884</v>
      </c>
      <c r="G56" s="32">
        <f t="shared" si="11"/>
        <v>1.0022186016554482</v>
      </c>
    </row>
    <row r="57" spans="1:7" x14ac:dyDescent="0.2">
      <c r="A57" s="2" t="s">
        <v>99</v>
      </c>
      <c r="B57" s="32">
        <f t="shared" si="11"/>
        <v>1</v>
      </c>
      <c r="C57" s="32">
        <f t="shared" si="11"/>
        <v>1.0366908838669635</v>
      </c>
      <c r="D57" s="32">
        <f t="shared" si="11"/>
        <v>2.4192618013216021</v>
      </c>
      <c r="E57" s="32">
        <f t="shared" si="11"/>
        <v>2.4225658062867366</v>
      </c>
      <c r="F57" s="32">
        <f t="shared" si="11"/>
        <v>1.0426965061516555</v>
      </c>
      <c r="G57" s="32">
        <f t="shared" si="11"/>
        <v>1.0429338103756709</v>
      </c>
    </row>
    <row r="58" spans="1:7" x14ac:dyDescent="0.2">
      <c r="A58" s="2" t="s">
        <v>100</v>
      </c>
      <c r="B58" s="32">
        <f t="shared" si="11"/>
        <v>1</v>
      </c>
      <c r="C58" s="32">
        <f t="shared" si="11"/>
        <v>1.0053530128744401</v>
      </c>
      <c r="D58" s="32">
        <f t="shared" si="11"/>
        <v>1.0376404541176274</v>
      </c>
      <c r="E58" s="32">
        <f t="shared" si="11"/>
        <v>1.0377653947708172</v>
      </c>
      <c r="F58" s="32">
        <f t="shared" si="11"/>
        <v>1.0058055756848829</v>
      </c>
      <c r="G58" s="32">
        <f t="shared" si="11"/>
        <v>1.0058749871588772</v>
      </c>
    </row>
    <row r="59" spans="1:7" x14ac:dyDescent="0.2">
      <c r="A59" s="2" t="s">
        <v>101</v>
      </c>
      <c r="B59" s="32">
        <f t="shared" si="11"/>
        <v>1</v>
      </c>
      <c r="C59" s="32">
        <f t="shared" si="11"/>
        <v>2.184257602862254</v>
      </c>
      <c r="D59" s="32">
        <f t="shared" si="11"/>
        <v>9.8008348240906376</v>
      </c>
      <c r="E59" s="32">
        <f t="shared" si="11"/>
        <v>9.818723911747167</v>
      </c>
      <c r="F59" s="32">
        <f t="shared" si="11"/>
        <v>2.2868217054263567</v>
      </c>
      <c r="G59" s="32">
        <f t="shared" si="11"/>
        <v>2.3136553369111508</v>
      </c>
    </row>
    <row r="60" spans="1:7" x14ac:dyDescent="0.2">
      <c r="A60" s="2" t="s">
        <v>102</v>
      </c>
      <c r="B60" s="32">
        <f t="shared" si="11"/>
        <v>1</v>
      </c>
      <c r="C60" s="32">
        <f t="shared" si="11"/>
        <v>2.494553376906318</v>
      </c>
      <c r="D60" s="32">
        <f t="shared" si="11"/>
        <v>11.870007262164124</v>
      </c>
      <c r="E60" s="32">
        <f t="shared" si="11"/>
        <v>11.912854030501089</v>
      </c>
      <c r="F60" s="32">
        <f t="shared" si="11"/>
        <v>2.6412490922294842</v>
      </c>
      <c r="G60" s="32">
        <f t="shared" si="11"/>
        <v>2.6405228758169934</v>
      </c>
    </row>
    <row r="61" spans="1:7" x14ac:dyDescent="0.2">
      <c r="A61" s="2" t="s">
        <v>85</v>
      </c>
      <c r="B61" s="32">
        <f>GEOMEAN(B49:B60)</f>
        <v>1</v>
      </c>
      <c r="C61" s="32">
        <f t="shared" ref="C61:E61" si="12">GEOMEAN(C49:C60)</f>
        <v>1.3062139315258672</v>
      </c>
      <c r="D61" s="32">
        <f t="shared" si="12"/>
        <v>2.5149364170687911</v>
      </c>
      <c r="E61" s="32">
        <f t="shared" si="12"/>
        <v>2.5184378277716348</v>
      </c>
      <c r="F61" s="32">
        <f>GEOMEAN(F49:F60)</f>
        <v>1.3307751141660851</v>
      </c>
      <c r="G61" s="32">
        <f>GEOMEAN(G49:G60)</f>
        <v>1.3324924789728769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672B7-3141-764F-8839-FE1737BC8DEB}">
  <dimension ref="A1:G29"/>
  <sheetViews>
    <sheetView workbookViewId="0">
      <selection activeCell="G39" sqref="G39"/>
    </sheetView>
  </sheetViews>
  <sheetFormatPr baseColWidth="10" defaultColWidth="11.1640625" defaultRowHeight="16" x14ac:dyDescent="0.2"/>
  <cols>
    <col min="1" max="1" width="24.33203125" bestFit="1" customWidth="1"/>
    <col min="2" max="2" width="8.33203125" bestFit="1" customWidth="1"/>
    <col min="3" max="3" width="12.1640625" bestFit="1" customWidth="1"/>
    <col min="4" max="4" width="20.6640625" bestFit="1" customWidth="1"/>
    <col min="5" max="5" width="31.5" bestFit="1" customWidth="1"/>
    <col min="6" max="6" width="25.6640625" bestFit="1" customWidth="1"/>
    <col min="7" max="7" width="36.5" bestFit="1" customWidth="1"/>
  </cols>
  <sheetData>
    <row r="1" spans="1:7" ht="18" x14ac:dyDescent="0.2">
      <c r="A1" s="2" t="s">
        <v>103</v>
      </c>
      <c r="B1" s="2" t="s">
        <v>86</v>
      </c>
      <c r="C1" s="2" t="s">
        <v>104</v>
      </c>
      <c r="D1" s="2" t="s">
        <v>109</v>
      </c>
      <c r="E1" s="2" t="s">
        <v>110</v>
      </c>
      <c r="F1" s="2" t="s">
        <v>113</v>
      </c>
      <c r="G1" s="2" t="s">
        <v>114</v>
      </c>
    </row>
    <row r="2" spans="1:7" ht="18" x14ac:dyDescent="0.2">
      <c r="A2" s="2" t="s">
        <v>69</v>
      </c>
      <c r="B2" s="3">
        <v>26</v>
      </c>
      <c r="C2" s="3">
        <v>29</v>
      </c>
      <c r="D2" s="3">
        <v>384</v>
      </c>
      <c r="E2" s="3">
        <v>370</v>
      </c>
      <c r="F2" s="3">
        <v>542</v>
      </c>
      <c r="G2" s="3">
        <v>461</v>
      </c>
    </row>
    <row r="3" spans="1:7" ht="18" x14ac:dyDescent="0.2">
      <c r="A3" s="2" t="s">
        <v>70</v>
      </c>
      <c r="B3" s="3">
        <v>22</v>
      </c>
      <c r="C3" s="3">
        <v>31</v>
      </c>
      <c r="D3" s="3">
        <v>74</v>
      </c>
      <c r="E3" s="3">
        <v>68</v>
      </c>
      <c r="F3" s="3">
        <v>99</v>
      </c>
      <c r="G3" s="3">
        <v>87</v>
      </c>
    </row>
    <row r="4" spans="1:7" ht="18" x14ac:dyDescent="0.2">
      <c r="A4" s="2" t="s">
        <v>71</v>
      </c>
      <c r="B4" s="3">
        <v>5557</v>
      </c>
      <c r="C4" s="3">
        <v>8593</v>
      </c>
      <c r="D4" s="3">
        <v>40296</v>
      </c>
      <c r="E4" s="3">
        <v>34422</v>
      </c>
      <c r="F4" s="3">
        <v>60311</v>
      </c>
      <c r="G4" s="3">
        <v>52984</v>
      </c>
    </row>
    <row r="5" spans="1:7" ht="18" x14ac:dyDescent="0.2">
      <c r="A5" s="2" t="s">
        <v>72</v>
      </c>
      <c r="B5" s="3">
        <v>44</v>
      </c>
      <c r="C5" s="3">
        <v>56</v>
      </c>
      <c r="D5" s="3">
        <v>103</v>
      </c>
      <c r="E5" s="3">
        <v>94</v>
      </c>
      <c r="F5" s="3">
        <v>138</v>
      </c>
      <c r="G5" s="3">
        <v>123</v>
      </c>
    </row>
    <row r="6" spans="1:7" ht="18" x14ac:dyDescent="0.2">
      <c r="A6" s="2" t="s">
        <v>73</v>
      </c>
      <c r="B6" s="3">
        <v>2625</v>
      </c>
      <c r="C6" s="3">
        <v>2712</v>
      </c>
      <c r="D6" s="3">
        <v>17073</v>
      </c>
      <c r="E6" s="3">
        <v>15053</v>
      </c>
      <c r="F6" s="3">
        <v>23812</v>
      </c>
      <c r="G6" s="3">
        <v>18111</v>
      </c>
    </row>
    <row r="7" spans="1:7" ht="18" x14ac:dyDescent="0.2">
      <c r="A7" s="2" t="s">
        <v>74</v>
      </c>
      <c r="B7" s="3">
        <v>3865</v>
      </c>
      <c r="C7" s="3">
        <v>4015</v>
      </c>
      <c r="D7" s="3">
        <v>19566</v>
      </c>
      <c r="E7" s="3">
        <v>17419</v>
      </c>
      <c r="F7" s="3">
        <v>25753</v>
      </c>
      <c r="G7" s="3">
        <v>19480</v>
      </c>
    </row>
    <row r="8" spans="1:7" ht="18" x14ac:dyDescent="0.2">
      <c r="A8" s="2" t="s">
        <v>75</v>
      </c>
      <c r="B8" s="3">
        <v>1792</v>
      </c>
      <c r="C8" s="3">
        <v>1852</v>
      </c>
      <c r="D8" s="3">
        <v>1928</v>
      </c>
      <c r="E8" s="3">
        <v>1920</v>
      </c>
      <c r="F8" s="3">
        <v>2070</v>
      </c>
      <c r="G8" s="3">
        <v>2014</v>
      </c>
    </row>
    <row r="9" spans="1:7" ht="18" x14ac:dyDescent="0.2">
      <c r="A9" s="2" t="s">
        <v>76</v>
      </c>
      <c r="B9" s="3">
        <v>3764</v>
      </c>
      <c r="C9" s="3">
        <v>3822</v>
      </c>
      <c r="D9" s="3">
        <v>3825</v>
      </c>
      <c r="E9" s="3">
        <v>3834</v>
      </c>
      <c r="F9" s="3">
        <v>3843</v>
      </c>
      <c r="G9" s="3">
        <v>3731</v>
      </c>
    </row>
    <row r="10" spans="1:7" ht="18" x14ac:dyDescent="0.2">
      <c r="A10" s="2" t="s">
        <v>77</v>
      </c>
      <c r="B10" s="3">
        <v>31</v>
      </c>
      <c r="C10" s="3">
        <v>41</v>
      </c>
      <c r="D10" s="3">
        <v>434</v>
      </c>
      <c r="E10" s="3">
        <v>375</v>
      </c>
      <c r="F10" s="3">
        <v>667</v>
      </c>
      <c r="G10" s="3">
        <v>524</v>
      </c>
    </row>
    <row r="11" spans="1:7" ht="18" x14ac:dyDescent="0.2">
      <c r="A11" s="2" t="s">
        <v>78</v>
      </c>
      <c r="B11" s="3">
        <v>949</v>
      </c>
      <c r="C11" s="3">
        <v>963</v>
      </c>
      <c r="D11" s="3">
        <v>4526</v>
      </c>
      <c r="E11" s="3">
        <v>4088</v>
      </c>
      <c r="F11" s="3">
        <v>6008</v>
      </c>
      <c r="G11" s="3">
        <v>5521</v>
      </c>
    </row>
    <row r="12" spans="1:7" ht="18" x14ac:dyDescent="0.2">
      <c r="A12" s="2" t="s">
        <v>79</v>
      </c>
      <c r="B12" s="3">
        <v>472</v>
      </c>
      <c r="C12" s="3">
        <v>518</v>
      </c>
      <c r="D12" s="3">
        <v>2181</v>
      </c>
      <c r="E12" s="3">
        <v>1969</v>
      </c>
      <c r="F12" s="3">
        <v>2910</v>
      </c>
      <c r="G12" s="3">
        <v>2318</v>
      </c>
    </row>
    <row r="13" spans="1:7" ht="18" x14ac:dyDescent="0.2">
      <c r="A13" s="2" t="s">
        <v>80</v>
      </c>
      <c r="B13" s="3">
        <v>54</v>
      </c>
      <c r="C13" s="3">
        <v>77</v>
      </c>
      <c r="D13" s="3">
        <v>350</v>
      </c>
      <c r="E13" s="3">
        <v>312</v>
      </c>
      <c r="F13" s="3">
        <v>503</v>
      </c>
      <c r="G13" s="3">
        <v>406</v>
      </c>
    </row>
    <row r="14" spans="1:7" ht="18" x14ac:dyDescent="0.2">
      <c r="A14" s="1"/>
      <c r="B14" s="1"/>
      <c r="C14" s="1"/>
      <c r="D14" s="1"/>
      <c r="E14" s="1"/>
      <c r="F14" s="1"/>
      <c r="G14" s="1"/>
    </row>
    <row r="15" spans="1:7" ht="18" x14ac:dyDescent="0.2">
      <c r="A15" s="1"/>
      <c r="B15" s="1"/>
      <c r="C15" s="1"/>
      <c r="D15" s="1"/>
      <c r="E15" s="1"/>
      <c r="F15" s="1"/>
      <c r="G15" s="1"/>
    </row>
    <row r="16" spans="1:7" ht="18" x14ac:dyDescent="0.2">
      <c r="A16" s="2" t="s">
        <v>87</v>
      </c>
      <c r="B16" s="2" t="s">
        <v>86</v>
      </c>
      <c r="C16" s="2" t="s">
        <v>104</v>
      </c>
      <c r="D16" s="2" t="s">
        <v>109</v>
      </c>
      <c r="E16" s="2" t="s">
        <v>124</v>
      </c>
      <c r="F16" s="2" t="s">
        <v>113</v>
      </c>
      <c r="G16" s="2" t="s">
        <v>123</v>
      </c>
    </row>
    <row r="17" spans="1:7" ht="18" x14ac:dyDescent="0.2">
      <c r="A17" s="2" t="s">
        <v>91</v>
      </c>
      <c r="B17" s="20">
        <f>B2/$B2</f>
        <v>1</v>
      </c>
      <c r="C17" s="20">
        <f t="shared" ref="C17:G28" si="0">C2/$B2</f>
        <v>1.1153846153846154</v>
      </c>
      <c r="D17" s="20">
        <f>D2/$B2</f>
        <v>14.76923076923077</v>
      </c>
      <c r="E17" s="20">
        <f t="shared" si="0"/>
        <v>14.23076923076923</v>
      </c>
      <c r="F17" s="20">
        <f t="shared" si="0"/>
        <v>20.846153846153847</v>
      </c>
      <c r="G17" s="20">
        <f t="shared" si="0"/>
        <v>17.73076923076923</v>
      </c>
    </row>
    <row r="18" spans="1:7" ht="18" x14ac:dyDescent="0.2">
      <c r="A18" s="2" t="s">
        <v>92</v>
      </c>
      <c r="B18" s="20">
        <f t="shared" ref="B18:E28" si="1">B3/$B3</f>
        <v>1</v>
      </c>
      <c r="C18" s="20">
        <f t="shared" si="1"/>
        <v>1.4090909090909092</v>
      </c>
      <c r="D18" s="20">
        <f t="shared" si="1"/>
        <v>3.3636363636363638</v>
      </c>
      <c r="E18" s="20">
        <f t="shared" si="1"/>
        <v>3.0909090909090908</v>
      </c>
      <c r="F18" s="20">
        <f t="shared" si="0"/>
        <v>4.5</v>
      </c>
      <c r="G18" s="20">
        <f t="shared" si="0"/>
        <v>3.9545454545454546</v>
      </c>
    </row>
    <row r="19" spans="1:7" ht="18" x14ac:dyDescent="0.2">
      <c r="A19" s="2" t="s">
        <v>93</v>
      </c>
      <c r="B19" s="20">
        <f t="shared" si="1"/>
        <v>1</v>
      </c>
      <c r="C19" s="20">
        <f t="shared" si="1"/>
        <v>1.5463379521324456</v>
      </c>
      <c r="D19" s="20">
        <f t="shared" si="1"/>
        <v>7.2513946373942773</v>
      </c>
      <c r="E19" s="20">
        <f t="shared" si="1"/>
        <v>6.1943494691380243</v>
      </c>
      <c r="F19" s="20">
        <f t="shared" si="0"/>
        <v>10.853158178873493</v>
      </c>
      <c r="G19" s="20">
        <f t="shared" si="0"/>
        <v>9.534640993341732</v>
      </c>
    </row>
    <row r="20" spans="1:7" ht="18" x14ac:dyDescent="0.2">
      <c r="A20" s="2" t="s">
        <v>94</v>
      </c>
      <c r="B20" s="20">
        <f t="shared" si="1"/>
        <v>1</v>
      </c>
      <c r="C20" s="20">
        <f t="shared" si="1"/>
        <v>1.2727272727272727</v>
      </c>
      <c r="D20" s="20">
        <f t="shared" si="1"/>
        <v>2.3409090909090908</v>
      </c>
      <c r="E20" s="20">
        <f t="shared" si="1"/>
        <v>2.1363636363636362</v>
      </c>
      <c r="F20" s="20">
        <f t="shared" si="0"/>
        <v>3.1363636363636362</v>
      </c>
      <c r="G20" s="20">
        <f t="shared" si="0"/>
        <v>2.7954545454545454</v>
      </c>
    </row>
    <row r="21" spans="1:7" ht="18" x14ac:dyDescent="0.2">
      <c r="A21" s="2" t="s">
        <v>95</v>
      </c>
      <c r="B21" s="20">
        <f t="shared" si="1"/>
        <v>1</v>
      </c>
      <c r="C21" s="20">
        <f t="shared" si="1"/>
        <v>1.0331428571428571</v>
      </c>
      <c r="D21" s="20">
        <f t="shared" si="1"/>
        <v>6.5039999999999996</v>
      </c>
      <c r="E21" s="20">
        <f t="shared" si="1"/>
        <v>5.7344761904761903</v>
      </c>
      <c r="F21" s="20">
        <f t="shared" si="0"/>
        <v>9.0712380952380958</v>
      </c>
      <c r="G21" s="20">
        <f t="shared" si="0"/>
        <v>6.8994285714285715</v>
      </c>
    </row>
    <row r="22" spans="1:7" ht="18" x14ac:dyDescent="0.2">
      <c r="A22" s="2" t="s">
        <v>96</v>
      </c>
      <c r="B22" s="20">
        <f t="shared" si="1"/>
        <v>1</v>
      </c>
      <c r="C22" s="20">
        <f t="shared" si="1"/>
        <v>1.0388098318240622</v>
      </c>
      <c r="D22" s="20">
        <f t="shared" si="1"/>
        <v>5.0623544631306601</v>
      </c>
      <c r="E22" s="20">
        <f t="shared" si="1"/>
        <v>4.5068564036222512</v>
      </c>
      <c r="F22" s="20">
        <f t="shared" si="0"/>
        <v>6.6631306597671411</v>
      </c>
      <c r="G22" s="20">
        <f t="shared" si="0"/>
        <v>5.0401034928848638</v>
      </c>
    </row>
    <row r="23" spans="1:7" ht="18" x14ac:dyDescent="0.2">
      <c r="A23" s="2" t="s">
        <v>97</v>
      </c>
      <c r="B23" s="20">
        <f t="shared" si="1"/>
        <v>1</v>
      </c>
      <c r="C23" s="20">
        <f t="shared" si="1"/>
        <v>1.0334821428571428</v>
      </c>
      <c r="D23" s="20">
        <f t="shared" si="1"/>
        <v>1.0758928571428572</v>
      </c>
      <c r="E23" s="20">
        <f t="shared" si="1"/>
        <v>1.0714285714285714</v>
      </c>
      <c r="F23" s="20">
        <f t="shared" si="0"/>
        <v>1.1551339285714286</v>
      </c>
      <c r="G23" s="20">
        <f t="shared" si="0"/>
        <v>1.1238839285714286</v>
      </c>
    </row>
    <row r="24" spans="1:7" ht="18" x14ac:dyDescent="0.2">
      <c r="A24" s="2" t="s">
        <v>98</v>
      </c>
      <c r="B24" s="20">
        <f t="shared" si="1"/>
        <v>1</v>
      </c>
      <c r="C24" s="20">
        <f t="shared" si="1"/>
        <v>1.0154091392136027</v>
      </c>
      <c r="D24" s="20">
        <f t="shared" si="1"/>
        <v>1.0162061636556854</v>
      </c>
      <c r="E24" s="20">
        <f t="shared" si="1"/>
        <v>1.0185972369819341</v>
      </c>
      <c r="F24" s="20">
        <f t="shared" si="0"/>
        <v>1.0209883103081827</v>
      </c>
      <c r="G24" s="20">
        <f t="shared" si="0"/>
        <v>0.99123273113708821</v>
      </c>
    </row>
    <row r="25" spans="1:7" ht="18" x14ac:dyDescent="0.2">
      <c r="A25" s="2" t="s">
        <v>99</v>
      </c>
      <c r="B25" s="20">
        <f t="shared" si="1"/>
        <v>1</v>
      </c>
      <c r="C25" s="20">
        <f t="shared" si="1"/>
        <v>1.3225806451612903</v>
      </c>
      <c r="D25" s="20">
        <f t="shared" si="1"/>
        <v>14</v>
      </c>
      <c r="E25" s="20">
        <f t="shared" si="1"/>
        <v>12.096774193548388</v>
      </c>
      <c r="F25" s="20">
        <f t="shared" si="0"/>
        <v>21.516129032258064</v>
      </c>
      <c r="G25" s="20">
        <f t="shared" si="0"/>
        <v>16.903225806451612</v>
      </c>
    </row>
    <row r="26" spans="1:7" ht="18" x14ac:dyDescent="0.2">
      <c r="A26" s="2" t="s">
        <v>100</v>
      </c>
      <c r="B26" s="20">
        <f t="shared" si="1"/>
        <v>1</v>
      </c>
      <c r="C26" s="20">
        <f t="shared" si="1"/>
        <v>1.0147523709167545</v>
      </c>
      <c r="D26" s="20">
        <f t="shared" si="1"/>
        <v>4.7692307692307692</v>
      </c>
      <c r="E26" s="20">
        <f t="shared" si="1"/>
        <v>4.3076923076923075</v>
      </c>
      <c r="F26" s="20">
        <f t="shared" si="0"/>
        <v>6.3308746048472075</v>
      </c>
      <c r="G26" s="20">
        <f t="shared" si="0"/>
        <v>5.8177028451001052</v>
      </c>
    </row>
    <row r="27" spans="1:7" ht="18" x14ac:dyDescent="0.2">
      <c r="A27" s="2" t="s">
        <v>101</v>
      </c>
      <c r="B27" s="20">
        <f t="shared" si="1"/>
        <v>1</v>
      </c>
      <c r="C27" s="20">
        <f t="shared" si="1"/>
        <v>1.097457627118644</v>
      </c>
      <c r="D27" s="20">
        <f t="shared" si="1"/>
        <v>4.6207627118644066</v>
      </c>
      <c r="E27" s="20">
        <f t="shared" si="1"/>
        <v>4.1716101694915251</v>
      </c>
      <c r="F27" s="20">
        <f t="shared" si="0"/>
        <v>6.1652542372881358</v>
      </c>
      <c r="G27" s="20">
        <f t="shared" si="0"/>
        <v>4.9110169491525424</v>
      </c>
    </row>
    <row r="28" spans="1:7" ht="18" x14ac:dyDescent="0.2">
      <c r="A28" s="2" t="s">
        <v>102</v>
      </c>
      <c r="B28" s="20">
        <f t="shared" si="1"/>
        <v>1</v>
      </c>
      <c r="C28" s="20">
        <f t="shared" si="1"/>
        <v>1.4259259259259258</v>
      </c>
      <c r="D28" s="20">
        <f t="shared" si="1"/>
        <v>6.4814814814814818</v>
      </c>
      <c r="E28" s="20">
        <f t="shared" si="1"/>
        <v>5.7777777777777777</v>
      </c>
      <c r="F28" s="20">
        <f t="shared" si="0"/>
        <v>9.3148148148148149</v>
      </c>
      <c r="G28" s="20">
        <f t="shared" si="0"/>
        <v>7.5185185185185182</v>
      </c>
    </row>
    <row r="29" spans="1:7" ht="18" x14ac:dyDescent="0.2">
      <c r="A29" s="2" t="s">
        <v>85</v>
      </c>
      <c r="B29" s="20">
        <f>GEOMEAN(B17:B28)</f>
        <v>1</v>
      </c>
      <c r="C29" s="20">
        <f t="shared" ref="C29:E29" si="2">GEOMEAN(C17:C28)</f>
        <v>1.1803910434964764</v>
      </c>
      <c r="D29" s="20">
        <f t="shared" si="2"/>
        <v>4.4524778925966091</v>
      </c>
      <c r="E29" s="20">
        <f t="shared" si="2"/>
        <v>4.0693476148817931</v>
      </c>
      <c r="F29" s="20">
        <f>GEOMEAN(F17:F28)</f>
        <v>5.9003939039676796</v>
      </c>
      <c r="G29" s="20">
        <f>GEOMEAN(G17:G28)</f>
        <v>5.0309069677068088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F4C2A-913D-8646-8556-196DD650FBFC}">
  <dimension ref="A1:M61"/>
  <sheetViews>
    <sheetView zoomScale="70" zoomScaleNormal="70" workbookViewId="0">
      <selection activeCell="B17" sqref="B17"/>
    </sheetView>
  </sheetViews>
  <sheetFormatPr baseColWidth="10" defaultRowHeight="18" x14ac:dyDescent="0.2"/>
  <cols>
    <col min="1" max="1" width="27.83203125" style="1" customWidth="1"/>
    <col min="2" max="3" width="15.33203125" style="1" bestFit="1" customWidth="1"/>
    <col min="4" max="4" width="25.6640625" style="1" bestFit="1" customWidth="1"/>
    <col min="5" max="5" width="35.1640625" style="1" bestFit="1" customWidth="1"/>
    <col min="6" max="6" width="20.6640625" style="1" bestFit="1" customWidth="1"/>
    <col min="7" max="7" width="30.1640625" style="1" bestFit="1" customWidth="1"/>
    <col min="8" max="8" width="14.1640625" style="1" bestFit="1" customWidth="1"/>
    <col min="9" max="9" width="25.6640625" style="1" bestFit="1" customWidth="1"/>
    <col min="10" max="10" width="35.1640625" style="1" bestFit="1" customWidth="1"/>
    <col min="11" max="11" width="20.6640625" style="1" bestFit="1" customWidth="1"/>
    <col min="12" max="12" width="32.83203125" style="1" bestFit="1" customWidth="1"/>
    <col min="13" max="16384" width="10.83203125" style="1"/>
  </cols>
  <sheetData>
    <row r="1" spans="1:13" x14ac:dyDescent="0.2">
      <c r="A1" s="2" t="s">
        <v>103</v>
      </c>
      <c r="B1" s="2" t="s">
        <v>86</v>
      </c>
      <c r="C1" s="2" t="s">
        <v>104</v>
      </c>
      <c r="D1" s="2" t="s">
        <v>109</v>
      </c>
      <c r="E1" s="2" t="s">
        <v>110</v>
      </c>
      <c r="F1" s="2" t="s">
        <v>113</v>
      </c>
      <c r="G1" s="2" t="s">
        <v>114</v>
      </c>
    </row>
    <row r="2" spans="1:13" x14ac:dyDescent="0.2">
      <c r="A2" s="2" t="s">
        <v>69</v>
      </c>
      <c r="B2" s="3">
        <v>26</v>
      </c>
      <c r="C2" s="3">
        <v>29</v>
      </c>
      <c r="D2" s="3">
        <v>384</v>
      </c>
      <c r="E2" s="3">
        <v>370</v>
      </c>
      <c r="F2" s="3">
        <v>542</v>
      </c>
      <c r="G2" s="3">
        <v>461</v>
      </c>
      <c r="I2" s="3">
        <v>12286</v>
      </c>
      <c r="J2" s="3">
        <v>2340</v>
      </c>
      <c r="K2" s="3"/>
      <c r="L2" s="3"/>
      <c r="M2" s="3"/>
    </row>
    <row r="3" spans="1:13" x14ac:dyDescent="0.2">
      <c r="A3" s="2" t="s">
        <v>70</v>
      </c>
      <c r="B3" s="3">
        <v>22</v>
      </c>
      <c r="C3" s="3">
        <v>31</v>
      </c>
      <c r="D3" s="3">
        <v>74</v>
      </c>
      <c r="E3" s="3">
        <v>68</v>
      </c>
      <c r="F3" s="3">
        <v>99</v>
      </c>
      <c r="G3" s="3">
        <v>87</v>
      </c>
      <c r="I3" s="3">
        <v>776</v>
      </c>
      <c r="J3" s="3">
        <v>2054</v>
      </c>
      <c r="K3" s="3"/>
      <c r="L3" s="3"/>
    </row>
    <row r="4" spans="1:13" x14ac:dyDescent="0.2">
      <c r="A4" s="2" t="s">
        <v>71</v>
      </c>
      <c r="B4" s="3">
        <v>5557</v>
      </c>
      <c r="C4" s="3">
        <v>8593</v>
      </c>
      <c r="D4" s="3">
        <v>40296</v>
      </c>
      <c r="E4" s="3">
        <v>34422</v>
      </c>
      <c r="F4" s="3">
        <v>60311</v>
      </c>
      <c r="G4" s="3">
        <v>52984</v>
      </c>
      <c r="I4" s="3">
        <v>1018815</v>
      </c>
      <c r="J4" s="3">
        <v>616100</v>
      </c>
      <c r="K4" s="3"/>
      <c r="L4" s="3"/>
    </row>
    <row r="5" spans="1:13" x14ac:dyDescent="0.2">
      <c r="A5" s="2" t="s">
        <v>72</v>
      </c>
      <c r="B5" s="3">
        <v>44</v>
      </c>
      <c r="C5" s="3">
        <v>56</v>
      </c>
      <c r="D5" s="3">
        <v>103</v>
      </c>
      <c r="E5" s="3">
        <v>94</v>
      </c>
      <c r="F5" s="3">
        <v>138</v>
      </c>
      <c r="G5" s="3">
        <v>123</v>
      </c>
      <c r="I5" s="3">
        <v>1588</v>
      </c>
      <c r="J5" s="3">
        <v>6215</v>
      </c>
      <c r="K5" s="3"/>
      <c r="L5" s="3"/>
    </row>
    <row r="6" spans="1:13" x14ac:dyDescent="0.2">
      <c r="A6" s="2" t="s">
        <v>73</v>
      </c>
      <c r="B6" s="3">
        <v>2625</v>
      </c>
      <c r="C6" s="3">
        <v>2712</v>
      </c>
      <c r="D6" s="3">
        <v>17073</v>
      </c>
      <c r="E6" s="3">
        <v>15053</v>
      </c>
      <c r="F6" s="3">
        <v>23812</v>
      </c>
      <c r="G6" s="3">
        <v>18111</v>
      </c>
      <c r="I6" s="3">
        <v>555971</v>
      </c>
      <c r="J6" s="3">
        <v>258108</v>
      </c>
      <c r="K6" s="3"/>
      <c r="L6" s="3"/>
    </row>
    <row r="7" spans="1:13" x14ac:dyDescent="0.2">
      <c r="A7" s="2" t="s">
        <v>74</v>
      </c>
      <c r="B7" s="3">
        <v>3865</v>
      </c>
      <c r="C7" s="3">
        <v>4015</v>
      </c>
      <c r="D7" s="3">
        <v>19566</v>
      </c>
      <c r="E7" s="3">
        <v>17419</v>
      </c>
      <c r="F7" s="3">
        <v>25753</v>
      </c>
      <c r="G7" s="3">
        <v>19480</v>
      </c>
      <c r="I7" s="3">
        <v>559271</v>
      </c>
      <c r="J7" s="3">
        <v>258602</v>
      </c>
      <c r="K7" s="3"/>
      <c r="L7" s="3"/>
    </row>
    <row r="8" spans="1:13" x14ac:dyDescent="0.2">
      <c r="A8" s="2" t="s">
        <v>75</v>
      </c>
      <c r="B8" s="3">
        <v>1792</v>
      </c>
      <c r="C8" s="3">
        <v>1852</v>
      </c>
      <c r="D8" s="3">
        <v>1928</v>
      </c>
      <c r="E8" s="3">
        <v>1920</v>
      </c>
      <c r="F8" s="3">
        <v>2070</v>
      </c>
      <c r="G8" s="3">
        <v>2014</v>
      </c>
      <c r="I8" s="3">
        <v>6335</v>
      </c>
      <c r="J8" s="3">
        <v>143173</v>
      </c>
      <c r="K8" s="3"/>
      <c r="L8" s="3"/>
    </row>
    <row r="9" spans="1:13" x14ac:dyDescent="0.2">
      <c r="A9" s="2" t="s">
        <v>76</v>
      </c>
      <c r="B9" s="3">
        <v>3764</v>
      </c>
      <c r="C9" s="3">
        <v>3822</v>
      </c>
      <c r="D9" s="3">
        <v>3825</v>
      </c>
      <c r="E9" s="3">
        <v>3834</v>
      </c>
      <c r="F9" s="3">
        <v>3843</v>
      </c>
      <c r="G9" s="3">
        <v>3731</v>
      </c>
      <c r="I9" s="3">
        <v>34</v>
      </c>
      <c r="J9" s="3">
        <v>246210</v>
      </c>
      <c r="K9" s="3"/>
      <c r="L9" s="3"/>
    </row>
    <row r="10" spans="1:13" x14ac:dyDescent="0.2">
      <c r="A10" s="2" t="s">
        <v>77</v>
      </c>
      <c r="B10" s="3">
        <v>31</v>
      </c>
      <c r="C10" s="3">
        <v>41</v>
      </c>
      <c r="D10" s="3">
        <v>434</v>
      </c>
      <c r="E10" s="3">
        <v>375</v>
      </c>
      <c r="F10" s="3">
        <v>667</v>
      </c>
      <c r="G10" s="3">
        <v>524</v>
      </c>
      <c r="I10" s="3">
        <v>16838</v>
      </c>
      <c r="J10" s="3">
        <v>3634</v>
      </c>
      <c r="K10" s="3"/>
      <c r="L10" s="3"/>
    </row>
    <row r="11" spans="1:13" x14ac:dyDescent="0.2">
      <c r="A11" s="2" t="s">
        <v>78</v>
      </c>
      <c r="B11" s="3">
        <v>949</v>
      </c>
      <c r="C11" s="3">
        <v>963</v>
      </c>
      <c r="D11" s="3">
        <v>4526</v>
      </c>
      <c r="E11" s="3">
        <v>4088</v>
      </c>
      <c r="F11" s="3">
        <v>6008</v>
      </c>
      <c r="G11" s="3">
        <v>5521</v>
      </c>
      <c r="I11" s="3">
        <v>143159</v>
      </c>
      <c r="J11" s="3">
        <v>57661</v>
      </c>
      <c r="K11" s="3"/>
      <c r="L11" s="3"/>
    </row>
    <row r="12" spans="1:13" x14ac:dyDescent="0.2">
      <c r="A12" s="2" t="s">
        <v>79</v>
      </c>
      <c r="B12" s="3">
        <v>472</v>
      </c>
      <c r="C12" s="3">
        <v>518</v>
      </c>
      <c r="D12" s="3">
        <v>2181</v>
      </c>
      <c r="E12" s="3">
        <v>1969</v>
      </c>
      <c r="F12" s="3">
        <v>2910</v>
      </c>
      <c r="G12" s="3">
        <v>2318</v>
      </c>
      <c r="I12" s="3"/>
      <c r="J12" s="3">
        <v>56153</v>
      </c>
      <c r="K12" s="3"/>
      <c r="L12" s="3"/>
    </row>
    <row r="13" spans="1:13" x14ac:dyDescent="0.2">
      <c r="A13" s="2" t="s">
        <v>80</v>
      </c>
      <c r="B13" s="3">
        <v>54</v>
      </c>
      <c r="C13" s="3">
        <v>77</v>
      </c>
      <c r="D13" s="3">
        <v>350</v>
      </c>
      <c r="E13" s="3">
        <v>312</v>
      </c>
      <c r="F13" s="3">
        <v>503</v>
      </c>
      <c r="G13" s="3">
        <v>406</v>
      </c>
      <c r="I13" s="3"/>
      <c r="J13" s="3">
        <v>6908</v>
      </c>
      <c r="K13" s="3"/>
      <c r="L13" s="3"/>
    </row>
    <row r="16" spans="1:13" x14ac:dyDescent="0.2">
      <c r="A16" s="2" t="s">
        <v>87</v>
      </c>
      <c r="B16" s="2" t="s">
        <v>86</v>
      </c>
      <c r="C16" s="2" t="s">
        <v>104</v>
      </c>
      <c r="D16" s="2" t="s">
        <v>109</v>
      </c>
      <c r="E16" s="2" t="s">
        <v>124</v>
      </c>
      <c r="F16" s="2" t="s">
        <v>113</v>
      </c>
      <c r="G16" s="2" t="s">
        <v>123</v>
      </c>
    </row>
    <row r="17" spans="1:13" x14ac:dyDescent="0.2">
      <c r="A17" s="2" t="s">
        <v>91</v>
      </c>
      <c r="B17" s="20">
        <f>B2/$B2</f>
        <v>1</v>
      </c>
      <c r="C17" s="20">
        <f t="shared" ref="C17:G28" si="0">C2/$B2</f>
        <v>1.1153846153846154</v>
      </c>
      <c r="D17" s="20">
        <f>D2/$B2</f>
        <v>14.76923076923077</v>
      </c>
      <c r="E17" s="20">
        <f t="shared" si="0"/>
        <v>14.23076923076923</v>
      </c>
      <c r="F17" s="20">
        <f t="shared" si="0"/>
        <v>20.846153846153847</v>
      </c>
      <c r="G17" s="20">
        <f t="shared" si="0"/>
        <v>17.73076923076923</v>
      </c>
      <c r="I17" s="21"/>
      <c r="J17" s="21">
        <v>110745362652</v>
      </c>
      <c r="K17" s="21"/>
      <c r="L17" s="21"/>
      <c r="M17" s="21"/>
    </row>
    <row r="18" spans="1:13" x14ac:dyDescent="0.2">
      <c r="A18" s="2" t="s">
        <v>92</v>
      </c>
      <c r="B18" s="20">
        <f t="shared" ref="B18:E28" si="1">B3/$B3</f>
        <v>1</v>
      </c>
      <c r="C18" s="20">
        <f t="shared" si="1"/>
        <v>1.4090909090909092</v>
      </c>
      <c r="D18" s="20">
        <f t="shared" si="1"/>
        <v>3.3636363636363638</v>
      </c>
      <c r="E18" s="20">
        <f t="shared" si="1"/>
        <v>3.0909090909090908</v>
      </c>
      <c r="F18" s="20">
        <f t="shared" si="0"/>
        <v>4.5</v>
      </c>
      <c r="G18" s="20">
        <f t="shared" si="0"/>
        <v>3.9545454545454546</v>
      </c>
      <c r="I18" s="21"/>
      <c r="J18" s="21">
        <v>166250210566</v>
      </c>
      <c r="K18" s="21"/>
      <c r="L18" s="21"/>
      <c r="M18" s="21"/>
    </row>
    <row r="19" spans="1:13" x14ac:dyDescent="0.2">
      <c r="A19" s="2" t="s">
        <v>93</v>
      </c>
      <c r="B19" s="20">
        <f t="shared" si="1"/>
        <v>1</v>
      </c>
      <c r="C19" s="20">
        <f t="shared" si="1"/>
        <v>1.5463379521324456</v>
      </c>
      <c r="D19" s="20">
        <f t="shared" si="1"/>
        <v>7.2513946373942773</v>
      </c>
      <c r="E19" s="20">
        <f t="shared" si="1"/>
        <v>6.1943494691380243</v>
      </c>
      <c r="F19" s="20">
        <f t="shared" si="0"/>
        <v>10.853158178873493</v>
      </c>
      <c r="G19" s="20">
        <f t="shared" si="0"/>
        <v>9.534640993341732</v>
      </c>
      <c r="I19" s="21"/>
      <c r="J19" s="21"/>
      <c r="K19" s="21"/>
      <c r="L19" s="21"/>
      <c r="M19" s="21"/>
    </row>
    <row r="20" spans="1:13" x14ac:dyDescent="0.2">
      <c r="A20" s="2" t="s">
        <v>94</v>
      </c>
      <c r="B20" s="20">
        <f t="shared" si="1"/>
        <v>1</v>
      </c>
      <c r="C20" s="20">
        <f t="shared" si="1"/>
        <v>1.2727272727272727</v>
      </c>
      <c r="D20" s="20">
        <f t="shared" si="1"/>
        <v>2.3409090909090908</v>
      </c>
      <c r="E20" s="20">
        <f t="shared" si="1"/>
        <v>2.1363636363636362</v>
      </c>
      <c r="F20" s="20">
        <f t="shared" si="0"/>
        <v>3.1363636363636362</v>
      </c>
      <c r="G20" s="20">
        <f t="shared" si="0"/>
        <v>2.7954545454545454</v>
      </c>
      <c r="I20" s="21"/>
      <c r="J20" s="21"/>
      <c r="K20" s="21"/>
      <c r="L20" s="21"/>
      <c r="M20" s="21"/>
    </row>
    <row r="21" spans="1:13" x14ac:dyDescent="0.2">
      <c r="A21" s="2" t="s">
        <v>95</v>
      </c>
      <c r="B21" s="20">
        <f t="shared" si="1"/>
        <v>1</v>
      </c>
      <c r="C21" s="20">
        <f t="shared" si="1"/>
        <v>1.0331428571428571</v>
      </c>
      <c r="D21" s="20">
        <f t="shared" si="1"/>
        <v>6.5039999999999996</v>
      </c>
      <c r="E21" s="20">
        <f t="shared" si="1"/>
        <v>5.7344761904761903</v>
      </c>
      <c r="F21" s="20">
        <f t="shared" si="0"/>
        <v>9.0712380952380958</v>
      </c>
      <c r="G21" s="20">
        <f t="shared" si="0"/>
        <v>6.8994285714285715</v>
      </c>
      <c r="I21" s="21"/>
      <c r="J21" s="21"/>
      <c r="K21" s="21"/>
      <c r="L21" s="21"/>
      <c r="M21" s="21"/>
    </row>
    <row r="22" spans="1:13" x14ac:dyDescent="0.2">
      <c r="A22" s="2" t="s">
        <v>96</v>
      </c>
      <c r="B22" s="20">
        <f t="shared" si="1"/>
        <v>1</v>
      </c>
      <c r="C22" s="20">
        <f t="shared" si="1"/>
        <v>1.0388098318240622</v>
      </c>
      <c r="D22" s="20">
        <f t="shared" si="1"/>
        <v>5.0623544631306601</v>
      </c>
      <c r="E22" s="20">
        <f t="shared" si="1"/>
        <v>4.5068564036222512</v>
      </c>
      <c r="F22" s="20">
        <f t="shared" si="0"/>
        <v>6.6631306597671411</v>
      </c>
      <c r="G22" s="20">
        <f t="shared" si="0"/>
        <v>5.0401034928848638</v>
      </c>
      <c r="I22" s="21"/>
      <c r="J22" s="21"/>
      <c r="K22" s="21"/>
      <c r="L22" s="21"/>
      <c r="M22" s="21"/>
    </row>
    <row r="23" spans="1:13" x14ac:dyDescent="0.2">
      <c r="A23" s="2" t="s">
        <v>97</v>
      </c>
      <c r="B23" s="20">
        <f t="shared" si="1"/>
        <v>1</v>
      </c>
      <c r="C23" s="20">
        <f t="shared" si="1"/>
        <v>1.0334821428571428</v>
      </c>
      <c r="D23" s="20">
        <f t="shared" si="1"/>
        <v>1.0758928571428572</v>
      </c>
      <c r="E23" s="20">
        <f t="shared" si="1"/>
        <v>1.0714285714285714</v>
      </c>
      <c r="F23" s="20">
        <f t="shared" si="0"/>
        <v>1.1551339285714286</v>
      </c>
      <c r="G23" s="20">
        <f t="shared" si="0"/>
        <v>1.1238839285714286</v>
      </c>
      <c r="I23" s="21"/>
      <c r="J23" s="21"/>
      <c r="K23" s="21"/>
      <c r="L23" s="21"/>
      <c r="M23" s="21"/>
    </row>
    <row r="24" spans="1:13" x14ac:dyDescent="0.2">
      <c r="A24" s="2" t="s">
        <v>98</v>
      </c>
      <c r="B24" s="20">
        <f t="shared" si="1"/>
        <v>1</v>
      </c>
      <c r="C24" s="20">
        <f t="shared" si="1"/>
        <v>1.0154091392136027</v>
      </c>
      <c r="D24" s="20">
        <f t="shared" si="1"/>
        <v>1.0162061636556854</v>
      </c>
      <c r="E24" s="20">
        <f t="shared" si="1"/>
        <v>1.0185972369819341</v>
      </c>
      <c r="F24" s="20">
        <f t="shared" si="0"/>
        <v>1.0209883103081827</v>
      </c>
      <c r="G24" s="20">
        <f t="shared" si="0"/>
        <v>0.99123273113708821</v>
      </c>
      <c r="I24" s="21"/>
      <c r="J24" s="21"/>
      <c r="K24" s="21"/>
      <c r="L24" s="21"/>
      <c r="M24" s="21"/>
    </row>
    <row r="25" spans="1:13" x14ac:dyDescent="0.2">
      <c r="A25" s="2" t="s">
        <v>99</v>
      </c>
      <c r="B25" s="20">
        <f t="shared" si="1"/>
        <v>1</v>
      </c>
      <c r="C25" s="20">
        <f t="shared" si="1"/>
        <v>1.3225806451612903</v>
      </c>
      <c r="D25" s="20">
        <f t="shared" si="1"/>
        <v>14</v>
      </c>
      <c r="E25" s="20">
        <f t="shared" si="1"/>
        <v>12.096774193548388</v>
      </c>
      <c r="F25" s="20">
        <f t="shared" si="0"/>
        <v>21.516129032258064</v>
      </c>
      <c r="G25" s="20">
        <f t="shared" si="0"/>
        <v>16.903225806451612</v>
      </c>
      <c r="I25" s="21"/>
      <c r="J25" s="21"/>
      <c r="K25" s="21"/>
      <c r="L25" s="21"/>
      <c r="M25" s="21"/>
    </row>
    <row r="26" spans="1:13" x14ac:dyDescent="0.2">
      <c r="A26" s="2" t="s">
        <v>100</v>
      </c>
      <c r="B26" s="20">
        <f t="shared" si="1"/>
        <v>1</v>
      </c>
      <c r="C26" s="20">
        <f t="shared" si="1"/>
        <v>1.0147523709167545</v>
      </c>
      <c r="D26" s="20">
        <f t="shared" si="1"/>
        <v>4.7692307692307692</v>
      </c>
      <c r="E26" s="20">
        <f t="shared" si="1"/>
        <v>4.3076923076923075</v>
      </c>
      <c r="F26" s="20">
        <f t="shared" si="0"/>
        <v>6.3308746048472075</v>
      </c>
      <c r="G26" s="20">
        <f t="shared" si="0"/>
        <v>5.8177028451001052</v>
      </c>
      <c r="I26" s="21"/>
      <c r="J26" s="21"/>
      <c r="K26" s="21"/>
      <c r="L26" s="21"/>
      <c r="M26" s="21"/>
    </row>
    <row r="27" spans="1:13" x14ac:dyDescent="0.2">
      <c r="A27" s="2" t="s">
        <v>101</v>
      </c>
      <c r="B27" s="20">
        <f t="shared" si="1"/>
        <v>1</v>
      </c>
      <c r="C27" s="20">
        <f t="shared" si="1"/>
        <v>1.097457627118644</v>
      </c>
      <c r="D27" s="20">
        <f t="shared" si="1"/>
        <v>4.6207627118644066</v>
      </c>
      <c r="E27" s="20">
        <f t="shared" si="1"/>
        <v>4.1716101694915251</v>
      </c>
      <c r="F27" s="20">
        <f t="shared" si="0"/>
        <v>6.1652542372881358</v>
      </c>
      <c r="G27" s="20">
        <f t="shared" si="0"/>
        <v>4.9110169491525424</v>
      </c>
      <c r="I27" s="21"/>
      <c r="J27" s="21"/>
      <c r="K27" s="21"/>
      <c r="L27" s="21"/>
      <c r="M27" s="21"/>
    </row>
    <row r="28" spans="1:13" x14ac:dyDescent="0.2">
      <c r="A28" s="2" t="s">
        <v>102</v>
      </c>
      <c r="B28" s="20">
        <f t="shared" si="1"/>
        <v>1</v>
      </c>
      <c r="C28" s="20">
        <f t="shared" si="1"/>
        <v>1.4259259259259258</v>
      </c>
      <c r="D28" s="20">
        <f t="shared" si="1"/>
        <v>6.4814814814814818</v>
      </c>
      <c r="E28" s="20">
        <f t="shared" si="1"/>
        <v>5.7777777777777777</v>
      </c>
      <c r="F28" s="20">
        <f t="shared" si="0"/>
        <v>9.3148148148148149</v>
      </c>
      <c r="G28" s="20">
        <f t="shared" si="0"/>
        <v>7.5185185185185182</v>
      </c>
      <c r="I28" s="21"/>
      <c r="J28" s="21"/>
      <c r="K28" s="21"/>
      <c r="L28" s="21"/>
      <c r="M28" s="21"/>
    </row>
    <row r="29" spans="1:13" x14ac:dyDescent="0.2">
      <c r="A29" s="2" t="s">
        <v>85</v>
      </c>
      <c r="B29" s="20">
        <f>GEOMEAN(B17:B28)</f>
        <v>1</v>
      </c>
      <c r="C29" s="20">
        <f t="shared" ref="C29:E29" si="2">GEOMEAN(C17:C28)</f>
        <v>1.1803910434964764</v>
      </c>
      <c r="D29" s="20">
        <f t="shared" si="2"/>
        <v>4.4524778925966091</v>
      </c>
      <c r="E29" s="20">
        <f t="shared" si="2"/>
        <v>4.0693476148817931</v>
      </c>
      <c r="F29" s="20">
        <f>GEOMEAN(F17:F28)</f>
        <v>5.9003939039676796</v>
      </c>
      <c r="G29" s="20">
        <f>GEOMEAN(G17:G28)</f>
        <v>5.0309069677068088</v>
      </c>
      <c r="H29" s="1">
        <f>E29/G29</f>
        <v>0.80886958176781509</v>
      </c>
    </row>
    <row r="33" spans="1:13" x14ac:dyDescent="0.2">
      <c r="A33" s="2" t="s">
        <v>88</v>
      </c>
      <c r="B33" s="23" t="s">
        <v>86</v>
      </c>
      <c r="C33" s="23" t="s">
        <v>104</v>
      </c>
      <c r="D33" s="2" t="s">
        <v>109</v>
      </c>
      <c r="E33" s="2" t="s">
        <v>124</v>
      </c>
      <c r="F33" s="2" t="s">
        <v>113</v>
      </c>
      <c r="G33" s="2" t="s">
        <v>123</v>
      </c>
      <c r="H33" s="2" t="s">
        <v>104</v>
      </c>
      <c r="I33" s="2" t="s">
        <v>109</v>
      </c>
      <c r="J33" s="2" t="s">
        <v>124</v>
      </c>
      <c r="K33" s="2" t="s">
        <v>113</v>
      </c>
      <c r="L33" s="2" t="s">
        <v>123</v>
      </c>
    </row>
    <row r="34" spans="1:13" x14ac:dyDescent="0.2">
      <c r="A34" s="2" t="s">
        <v>91</v>
      </c>
      <c r="B34" s="3">
        <v>5360</v>
      </c>
      <c r="C34" s="3">
        <v>13144</v>
      </c>
      <c r="D34" s="3">
        <v>62824</v>
      </c>
      <c r="E34" s="3">
        <v>63072</v>
      </c>
      <c r="F34" s="3">
        <v>13904</v>
      </c>
      <c r="G34" s="3">
        <v>13916</v>
      </c>
      <c r="H34" s="26">
        <f>(C34-$B34)/1024</f>
        <v>7.6015625</v>
      </c>
      <c r="I34" s="26">
        <f>(D34-$B34)/1024</f>
        <v>56.1171875</v>
      </c>
      <c r="J34" s="26">
        <f>(E34-$B34)/1024</f>
        <v>56.359375</v>
      </c>
      <c r="K34" s="26">
        <f>(F34-$B34)/1024</f>
        <v>8.34375</v>
      </c>
      <c r="L34" s="26">
        <f>(G34-$B34)/1024</f>
        <v>8.35546875</v>
      </c>
      <c r="M34" s="25">
        <f>J34-L34</f>
        <v>48.00390625</v>
      </c>
    </row>
    <row r="35" spans="1:13" x14ac:dyDescent="0.2">
      <c r="A35" s="2" t="s">
        <v>92</v>
      </c>
      <c r="B35" s="3">
        <v>41536</v>
      </c>
      <c r="C35" s="3">
        <v>50052</v>
      </c>
      <c r="D35" s="3">
        <v>108036</v>
      </c>
      <c r="E35" s="3">
        <v>108204</v>
      </c>
      <c r="F35" s="3">
        <v>51204</v>
      </c>
      <c r="G35" s="3">
        <v>51220</v>
      </c>
      <c r="H35" s="26">
        <f t="shared" ref="H35:L45" si="3">(C35-$B35)/1024</f>
        <v>8.31640625</v>
      </c>
      <c r="I35" s="26">
        <f t="shared" si="3"/>
        <v>64.94140625</v>
      </c>
      <c r="J35" s="26">
        <f t="shared" si="3"/>
        <v>65.10546875</v>
      </c>
      <c r="K35" s="26">
        <f t="shared" si="3"/>
        <v>9.44140625</v>
      </c>
      <c r="L35" s="26">
        <f t="shared" si="3"/>
        <v>9.45703125</v>
      </c>
      <c r="M35" s="25">
        <f t="shared" ref="M35:M45" si="4">J35-L35</f>
        <v>55.6484375</v>
      </c>
    </row>
    <row r="36" spans="1:13" x14ac:dyDescent="0.2">
      <c r="A36" s="2" t="s">
        <v>93</v>
      </c>
      <c r="B36" s="3">
        <v>12587144</v>
      </c>
      <c r="C36" s="3">
        <v>12594744</v>
      </c>
      <c r="D36" s="3">
        <v>12641892</v>
      </c>
      <c r="E36" s="3">
        <v>12641952</v>
      </c>
      <c r="F36" s="3">
        <v>12595580</v>
      </c>
      <c r="G36" s="3">
        <v>12595564</v>
      </c>
      <c r="H36" s="26">
        <f t="shared" si="3"/>
        <v>7.421875</v>
      </c>
      <c r="I36" s="26">
        <f t="shared" si="3"/>
        <v>53.46484375</v>
      </c>
      <c r="J36" s="26">
        <f t="shared" si="3"/>
        <v>53.5234375</v>
      </c>
      <c r="K36" s="26">
        <f t="shared" si="3"/>
        <v>8.23828125</v>
      </c>
      <c r="L36" s="26">
        <f t="shared" si="3"/>
        <v>8.22265625</v>
      </c>
      <c r="M36" s="25">
        <f t="shared" si="4"/>
        <v>45.30078125</v>
      </c>
    </row>
    <row r="37" spans="1:13" x14ac:dyDescent="0.2">
      <c r="A37" s="2" t="s">
        <v>94</v>
      </c>
      <c r="B37" s="3">
        <v>26204</v>
      </c>
      <c r="C37" s="3">
        <v>34308</v>
      </c>
      <c r="D37" s="3">
        <v>90500</v>
      </c>
      <c r="E37" s="3">
        <v>90780</v>
      </c>
      <c r="F37" s="3">
        <v>35160</v>
      </c>
      <c r="G37" s="3">
        <v>35204</v>
      </c>
      <c r="H37" s="26">
        <f t="shared" si="3"/>
        <v>7.9140625</v>
      </c>
      <c r="I37" s="26">
        <f t="shared" si="3"/>
        <v>62.7890625</v>
      </c>
      <c r="J37" s="26">
        <f t="shared" si="3"/>
        <v>63.0625</v>
      </c>
      <c r="K37" s="26">
        <f t="shared" si="3"/>
        <v>8.74609375</v>
      </c>
      <c r="L37" s="26">
        <f t="shared" si="3"/>
        <v>8.7890625</v>
      </c>
      <c r="M37" s="25">
        <f t="shared" si="4"/>
        <v>54.2734375</v>
      </c>
    </row>
    <row r="38" spans="1:13" x14ac:dyDescent="0.2">
      <c r="A38" s="2" t="s">
        <v>95</v>
      </c>
      <c r="B38" s="3">
        <v>133964</v>
      </c>
      <c r="C38" s="3">
        <v>141596</v>
      </c>
      <c r="D38" s="3">
        <v>189824</v>
      </c>
      <c r="E38" s="3">
        <v>190160</v>
      </c>
      <c r="F38" s="3">
        <v>142304</v>
      </c>
      <c r="G38" s="3">
        <v>142360</v>
      </c>
      <c r="H38" s="26">
        <f t="shared" si="3"/>
        <v>7.453125</v>
      </c>
      <c r="I38" s="26">
        <f t="shared" si="3"/>
        <v>54.55078125</v>
      </c>
      <c r="J38" s="26">
        <f t="shared" si="3"/>
        <v>54.87890625</v>
      </c>
      <c r="K38" s="26">
        <f t="shared" si="3"/>
        <v>8.14453125</v>
      </c>
      <c r="L38" s="26">
        <f t="shared" si="3"/>
        <v>8.19921875</v>
      </c>
      <c r="M38" s="25">
        <f t="shared" si="4"/>
        <v>46.6796875</v>
      </c>
    </row>
    <row r="39" spans="1:13" x14ac:dyDescent="0.2">
      <c r="A39" s="2" t="s">
        <v>96</v>
      </c>
      <c r="B39" s="3">
        <v>133440</v>
      </c>
      <c r="C39" s="3">
        <v>141076</v>
      </c>
      <c r="D39" s="3">
        <v>189404</v>
      </c>
      <c r="E39" s="3">
        <v>189292</v>
      </c>
      <c r="F39" s="3">
        <v>141808</v>
      </c>
      <c r="G39" s="3">
        <v>141944</v>
      </c>
      <c r="H39" s="26">
        <f t="shared" si="3"/>
        <v>7.45703125</v>
      </c>
      <c r="I39" s="26">
        <f t="shared" si="3"/>
        <v>54.65234375</v>
      </c>
      <c r="J39" s="26">
        <f t="shared" si="3"/>
        <v>54.54296875</v>
      </c>
      <c r="K39" s="26">
        <f t="shared" si="3"/>
        <v>8.171875</v>
      </c>
      <c r="L39" s="26">
        <f t="shared" si="3"/>
        <v>8.3046875</v>
      </c>
      <c r="M39" s="25">
        <f t="shared" si="4"/>
        <v>46.23828125</v>
      </c>
    </row>
    <row r="40" spans="1:13" x14ac:dyDescent="0.2">
      <c r="A40" s="2" t="s">
        <v>97</v>
      </c>
      <c r="B40" s="3">
        <v>3629736</v>
      </c>
      <c r="C40" s="3">
        <v>3638004</v>
      </c>
      <c r="D40" s="3">
        <v>3689212</v>
      </c>
      <c r="E40" s="3">
        <v>3689200</v>
      </c>
      <c r="F40" s="3">
        <v>3639052</v>
      </c>
      <c r="G40" s="3">
        <v>3639068</v>
      </c>
      <c r="H40" s="26">
        <f t="shared" si="3"/>
        <v>8.07421875</v>
      </c>
      <c r="I40" s="26">
        <f t="shared" si="3"/>
        <v>58.08203125</v>
      </c>
      <c r="J40" s="26">
        <f t="shared" si="3"/>
        <v>58.0703125</v>
      </c>
      <c r="K40" s="26">
        <f t="shared" si="3"/>
        <v>9.09765625</v>
      </c>
      <c r="L40" s="26">
        <f t="shared" si="3"/>
        <v>9.11328125</v>
      </c>
      <c r="M40" s="25">
        <f t="shared" si="4"/>
        <v>48.95703125</v>
      </c>
    </row>
    <row r="41" spans="1:13" x14ac:dyDescent="0.2">
      <c r="A41" s="2" t="s">
        <v>98</v>
      </c>
      <c r="B41" s="3">
        <v>4092668</v>
      </c>
      <c r="C41" s="3">
        <v>4100588</v>
      </c>
      <c r="D41" s="3">
        <v>4150416</v>
      </c>
      <c r="E41" s="3">
        <v>4150508</v>
      </c>
      <c r="F41" s="3">
        <v>4101716</v>
      </c>
      <c r="G41" s="3">
        <v>4101748</v>
      </c>
      <c r="H41" s="26">
        <f t="shared" si="3"/>
        <v>7.734375</v>
      </c>
      <c r="I41" s="26">
        <f t="shared" si="3"/>
        <v>56.39453125</v>
      </c>
      <c r="J41" s="26">
        <f t="shared" si="3"/>
        <v>56.484375</v>
      </c>
      <c r="K41" s="26">
        <f t="shared" si="3"/>
        <v>8.8359375</v>
      </c>
      <c r="L41" s="26">
        <f t="shared" si="3"/>
        <v>8.8671875</v>
      </c>
      <c r="M41" s="25">
        <f t="shared" si="4"/>
        <v>47.6171875</v>
      </c>
    </row>
    <row r="42" spans="1:13" x14ac:dyDescent="0.2">
      <c r="A42" s="2" t="s">
        <v>99</v>
      </c>
      <c r="B42" s="3">
        <v>219128</v>
      </c>
      <c r="C42" s="3">
        <v>227168</v>
      </c>
      <c r="D42" s="3">
        <v>530128</v>
      </c>
      <c r="E42" s="3">
        <v>530852</v>
      </c>
      <c r="F42" s="3">
        <v>228484</v>
      </c>
      <c r="G42" s="3">
        <v>228536</v>
      </c>
      <c r="H42" s="26">
        <f t="shared" si="3"/>
        <v>7.8515625</v>
      </c>
      <c r="I42" s="26">
        <f t="shared" si="3"/>
        <v>303.7109375</v>
      </c>
      <c r="J42" s="26">
        <f t="shared" si="3"/>
        <v>304.41796875</v>
      </c>
      <c r="K42" s="26">
        <f t="shared" si="3"/>
        <v>9.13671875</v>
      </c>
      <c r="L42" s="26">
        <f t="shared" si="3"/>
        <v>9.1875</v>
      </c>
      <c r="M42" s="25">
        <f t="shared" si="4"/>
        <v>295.23046875</v>
      </c>
    </row>
    <row r="43" spans="1:13" x14ac:dyDescent="0.2">
      <c r="A43" s="2" t="s">
        <v>100</v>
      </c>
      <c r="B43" s="3">
        <v>1440684</v>
      </c>
      <c r="C43" s="3">
        <v>1448396</v>
      </c>
      <c r="D43" s="3">
        <v>1494912</v>
      </c>
      <c r="E43" s="3">
        <v>1495092</v>
      </c>
      <c r="F43" s="3">
        <v>1449048</v>
      </c>
      <c r="G43" s="3">
        <v>1449148</v>
      </c>
      <c r="H43" s="26">
        <f t="shared" si="3"/>
        <v>7.53125</v>
      </c>
      <c r="I43" s="26">
        <f t="shared" si="3"/>
        <v>52.95703125</v>
      </c>
      <c r="J43" s="26">
        <f t="shared" si="3"/>
        <v>53.1328125</v>
      </c>
      <c r="K43" s="26">
        <f t="shared" si="3"/>
        <v>8.16796875</v>
      </c>
      <c r="L43" s="26">
        <f t="shared" si="3"/>
        <v>8.265625</v>
      </c>
      <c r="M43" s="25">
        <f t="shared" si="4"/>
        <v>44.8671875</v>
      </c>
    </row>
    <row r="44" spans="1:13" x14ac:dyDescent="0.2">
      <c r="A44" s="2" t="s">
        <v>101</v>
      </c>
      <c r="B44" s="3">
        <v>6708</v>
      </c>
      <c r="C44" s="3">
        <v>14652</v>
      </c>
      <c r="D44" s="3">
        <v>65744</v>
      </c>
      <c r="E44" s="3">
        <v>65864</v>
      </c>
      <c r="F44" s="3">
        <v>15340</v>
      </c>
      <c r="G44" s="3">
        <v>15520</v>
      </c>
      <c r="H44" s="26">
        <f t="shared" si="3"/>
        <v>7.7578125</v>
      </c>
      <c r="I44" s="26">
        <f t="shared" si="3"/>
        <v>57.65234375</v>
      </c>
      <c r="J44" s="26">
        <f t="shared" si="3"/>
        <v>57.76953125</v>
      </c>
      <c r="K44" s="26">
        <f t="shared" si="3"/>
        <v>8.4296875</v>
      </c>
      <c r="L44" s="26">
        <f t="shared" si="3"/>
        <v>8.60546875</v>
      </c>
      <c r="M44" s="25">
        <f t="shared" si="4"/>
        <v>49.1640625</v>
      </c>
    </row>
    <row r="45" spans="1:13" x14ac:dyDescent="0.2">
      <c r="A45" s="2" t="s">
        <v>102</v>
      </c>
      <c r="B45" s="3">
        <v>5508</v>
      </c>
      <c r="C45" s="3">
        <v>13740</v>
      </c>
      <c r="D45" s="3">
        <v>65380</v>
      </c>
      <c r="E45" s="3">
        <v>65616</v>
      </c>
      <c r="F45" s="3">
        <v>14548</v>
      </c>
      <c r="G45" s="3">
        <v>14544</v>
      </c>
      <c r="H45" s="26">
        <f t="shared" si="3"/>
        <v>8.0390625</v>
      </c>
      <c r="I45" s="26">
        <f t="shared" si="3"/>
        <v>58.46875</v>
      </c>
      <c r="J45" s="26">
        <f t="shared" si="3"/>
        <v>58.69921875</v>
      </c>
      <c r="K45" s="26">
        <f t="shared" si="3"/>
        <v>8.828125</v>
      </c>
      <c r="L45" s="26">
        <f t="shared" si="3"/>
        <v>8.82421875</v>
      </c>
      <c r="M45" s="25">
        <f t="shared" si="4"/>
        <v>49.875</v>
      </c>
    </row>
    <row r="46" spans="1:13" x14ac:dyDescent="0.2">
      <c r="A46" s="1" t="s">
        <v>66</v>
      </c>
      <c r="H46" s="28">
        <f>GEOMEAN(H34:H45)</f>
        <v>7.7579290223578559</v>
      </c>
      <c r="I46" s="28">
        <f t="shared" ref="I46:L46" si="5">GEOMEAN(I34:I45)</f>
        <v>65.707549857590024</v>
      </c>
      <c r="J46" s="28">
        <f t="shared" si="5"/>
        <v>65.867950232364592</v>
      </c>
      <c r="K46" s="28">
        <f t="shared" si="5"/>
        <v>8.6215148237372947</v>
      </c>
      <c r="L46" s="28">
        <f t="shared" si="5"/>
        <v>8.6732137773689146</v>
      </c>
    </row>
    <row r="48" spans="1:13" x14ac:dyDescent="0.2">
      <c r="A48" s="2" t="s">
        <v>88</v>
      </c>
      <c r="B48" s="23" t="s">
        <v>86</v>
      </c>
      <c r="C48" s="23" t="s">
        <v>104</v>
      </c>
      <c r="D48" s="2" t="s">
        <v>109</v>
      </c>
      <c r="E48" s="2" t="s">
        <v>124</v>
      </c>
      <c r="F48" s="2" t="s">
        <v>113</v>
      </c>
      <c r="G48" s="2" t="s">
        <v>123</v>
      </c>
    </row>
    <row r="49" spans="1:7" x14ac:dyDescent="0.2">
      <c r="A49" s="2" t="s">
        <v>91</v>
      </c>
      <c r="B49" s="32">
        <f t="shared" ref="B49:G60" si="6">B34/$B34</f>
        <v>1</v>
      </c>
      <c r="C49" s="32">
        <f t="shared" si="6"/>
        <v>2.4522388059701492</v>
      </c>
      <c r="D49" s="32">
        <f t="shared" si="6"/>
        <v>11.72089552238806</v>
      </c>
      <c r="E49" s="32">
        <f t="shared" si="6"/>
        <v>11.767164179104478</v>
      </c>
      <c r="F49" s="32">
        <f t="shared" si="6"/>
        <v>2.5940298507462685</v>
      </c>
      <c r="G49" s="32">
        <f t="shared" si="6"/>
        <v>2.5962686567164179</v>
      </c>
    </row>
    <row r="50" spans="1:7" x14ac:dyDescent="0.2">
      <c r="A50" s="2" t="s">
        <v>92</v>
      </c>
      <c r="B50" s="32">
        <f t="shared" si="6"/>
        <v>1</v>
      </c>
      <c r="C50" s="32">
        <f t="shared" si="6"/>
        <v>1.2050269645608629</v>
      </c>
      <c r="D50" s="32">
        <f t="shared" si="6"/>
        <v>2.6010208012326657</v>
      </c>
      <c r="E50" s="32">
        <f t="shared" si="6"/>
        <v>2.6050654853620956</v>
      </c>
      <c r="F50" s="32">
        <f t="shared" si="6"/>
        <v>1.2327619414483821</v>
      </c>
      <c r="G50" s="32">
        <f t="shared" si="6"/>
        <v>1.2331471494607087</v>
      </c>
    </row>
    <row r="51" spans="1:7" x14ac:dyDescent="0.2">
      <c r="A51" s="2" t="s">
        <v>93</v>
      </c>
      <c r="B51" s="32">
        <f t="shared" si="6"/>
        <v>1</v>
      </c>
      <c r="C51" s="32">
        <f t="shared" si="6"/>
        <v>1.0006037906613288</v>
      </c>
      <c r="D51" s="32">
        <f t="shared" si="6"/>
        <v>1.0043495172534771</v>
      </c>
      <c r="E51" s="32">
        <f t="shared" si="6"/>
        <v>1.004354284021856</v>
      </c>
      <c r="F51" s="32">
        <f t="shared" si="6"/>
        <v>1.000670207634075</v>
      </c>
      <c r="G51" s="32">
        <f t="shared" si="6"/>
        <v>1.0006689364958405</v>
      </c>
    </row>
    <row r="52" spans="1:7" x14ac:dyDescent="0.2">
      <c r="A52" s="2" t="s">
        <v>94</v>
      </c>
      <c r="B52" s="32">
        <f t="shared" si="6"/>
        <v>1</v>
      </c>
      <c r="C52" s="32">
        <f t="shared" si="6"/>
        <v>1.3092657609525262</v>
      </c>
      <c r="D52" s="32">
        <f t="shared" si="6"/>
        <v>3.4536711952373684</v>
      </c>
      <c r="E52" s="32">
        <f t="shared" si="6"/>
        <v>3.4643565867806441</v>
      </c>
      <c r="F52" s="32">
        <f t="shared" si="6"/>
        <v>1.3417798809342085</v>
      </c>
      <c r="G52" s="32">
        <f t="shared" si="6"/>
        <v>1.343459013891009</v>
      </c>
    </row>
    <row r="53" spans="1:7" x14ac:dyDescent="0.2">
      <c r="A53" s="2" t="s">
        <v>95</v>
      </c>
      <c r="B53" s="32">
        <f t="shared" si="6"/>
        <v>1</v>
      </c>
      <c r="C53" s="32">
        <f t="shared" si="6"/>
        <v>1.056970529395957</v>
      </c>
      <c r="D53" s="32">
        <f t="shared" si="6"/>
        <v>1.4169776955002837</v>
      </c>
      <c r="E53" s="32">
        <f t="shared" si="6"/>
        <v>1.4194858320145711</v>
      </c>
      <c r="F53" s="32">
        <f t="shared" si="6"/>
        <v>1.062255531336777</v>
      </c>
      <c r="G53" s="32">
        <f t="shared" si="6"/>
        <v>1.0626735540891583</v>
      </c>
    </row>
    <row r="54" spans="1:7" x14ac:dyDescent="0.2">
      <c r="A54" s="2" t="s">
        <v>96</v>
      </c>
      <c r="B54" s="32">
        <f t="shared" si="6"/>
        <v>1</v>
      </c>
      <c r="C54" s="32">
        <f t="shared" si="6"/>
        <v>1.0572242206235012</v>
      </c>
      <c r="D54" s="32">
        <f t="shared" si="6"/>
        <v>1.41939448441247</v>
      </c>
      <c r="E54" s="32">
        <f t="shared" si="6"/>
        <v>1.4185551558752998</v>
      </c>
      <c r="F54" s="32">
        <f t="shared" si="6"/>
        <v>1.0627098321342925</v>
      </c>
      <c r="G54" s="32">
        <f t="shared" si="6"/>
        <v>1.0637290167865707</v>
      </c>
    </row>
    <row r="55" spans="1:7" x14ac:dyDescent="0.2">
      <c r="A55" s="2" t="s">
        <v>97</v>
      </c>
      <c r="B55" s="32">
        <f t="shared" si="6"/>
        <v>1</v>
      </c>
      <c r="C55" s="32">
        <f t="shared" si="6"/>
        <v>1.0022778516123487</v>
      </c>
      <c r="D55" s="32">
        <f t="shared" si="6"/>
        <v>1.0163857646947325</v>
      </c>
      <c r="E55" s="32">
        <f t="shared" si="6"/>
        <v>1.0163824586691705</v>
      </c>
      <c r="F55" s="32">
        <f t="shared" si="6"/>
        <v>1.0025665778447799</v>
      </c>
      <c r="G55" s="32">
        <f t="shared" si="6"/>
        <v>1.0025709858788627</v>
      </c>
    </row>
    <row r="56" spans="1:7" x14ac:dyDescent="0.2">
      <c r="A56" s="2" t="s">
        <v>98</v>
      </c>
      <c r="B56" s="32">
        <f t="shared" si="6"/>
        <v>1</v>
      </c>
      <c r="C56" s="32">
        <f t="shared" si="6"/>
        <v>1.0019351679637831</v>
      </c>
      <c r="D56" s="32">
        <f t="shared" si="6"/>
        <v>1.0141101110571393</v>
      </c>
      <c r="E56" s="32">
        <f t="shared" si="6"/>
        <v>1.014132590280961</v>
      </c>
      <c r="F56" s="32">
        <f t="shared" si="6"/>
        <v>1.0022107827949884</v>
      </c>
      <c r="G56" s="32">
        <f t="shared" si="6"/>
        <v>1.0022186016554482</v>
      </c>
    </row>
    <row r="57" spans="1:7" x14ac:dyDescent="0.2">
      <c r="A57" s="2" t="s">
        <v>99</v>
      </c>
      <c r="B57" s="32">
        <f t="shared" si="6"/>
        <v>1</v>
      </c>
      <c r="C57" s="32">
        <f t="shared" si="6"/>
        <v>1.0366908838669635</v>
      </c>
      <c r="D57" s="32">
        <f t="shared" si="6"/>
        <v>2.4192618013216021</v>
      </c>
      <c r="E57" s="32">
        <f t="shared" si="6"/>
        <v>2.4225658062867366</v>
      </c>
      <c r="F57" s="32">
        <f t="shared" si="6"/>
        <v>1.0426965061516555</v>
      </c>
      <c r="G57" s="32">
        <f t="shared" si="6"/>
        <v>1.0429338103756709</v>
      </c>
    </row>
    <row r="58" spans="1:7" x14ac:dyDescent="0.2">
      <c r="A58" s="2" t="s">
        <v>100</v>
      </c>
      <c r="B58" s="32">
        <f t="shared" si="6"/>
        <v>1</v>
      </c>
      <c r="C58" s="32">
        <f t="shared" si="6"/>
        <v>1.0053530128744401</v>
      </c>
      <c r="D58" s="32">
        <f t="shared" si="6"/>
        <v>1.0376404541176274</v>
      </c>
      <c r="E58" s="32">
        <f t="shared" si="6"/>
        <v>1.0377653947708172</v>
      </c>
      <c r="F58" s="32">
        <f t="shared" si="6"/>
        <v>1.0058055756848829</v>
      </c>
      <c r="G58" s="32">
        <f t="shared" si="6"/>
        <v>1.0058749871588772</v>
      </c>
    </row>
    <row r="59" spans="1:7" x14ac:dyDescent="0.2">
      <c r="A59" s="2" t="s">
        <v>101</v>
      </c>
      <c r="B59" s="32">
        <f t="shared" si="6"/>
        <v>1</v>
      </c>
      <c r="C59" s="32">
        <f t="shared" si="6"/>
        <v>2.184257602862254</v>
      </c>
      <c r="D59" s="32">
        <f t="shared" si="6"/>
        <v>9.8008348240906376</v>
      </c>
      <c r="E59" s="32">
        <f t="shared" si="6"/>
        <v>9.818723911747167</v>
      </c>
      <c r="F59" s="32">
        <f t="shared" si="6"/>
        <v>2.2868217054263567</v>
      </c>
      <c r="G59" s="32">
        <f t="shared" si="6"/>
        <v>2.3136553369111508</v>
      </c>
    </row>
    <row r="60" spans="1:7" x14ac:dyDescent="0.2">
      <c r="A60" s="2" t="s">
        <v>102</v>
      </c>
      <c r="B60" s="32">
        <f t="shared" si="6"/>
        <v>1</v>
      </c>
      <c r="C60" s="32">
        <f t="shared" si="6"/>
        <v>2.494553376906318</v>
      </c>
      <c r="D60" s="32">
        <f t="shared" si="6"/>
        <v>11.870007262164124</v>
      </c>
      <c r="E60" s="32">
        <f t="shared" si="6"/>
        <v>11.912854030501089</v>
      </c>
      <c r="F60" s="32">
        <f t="shared" si="6"/>
        <v>2.6412490922294842</v>
      </c>
      <c r="G60" s="32">
        <f t="shared" si="6"/>
        <v>2.6405228758169934</v>
      </c>
    </row>
    <row r="61" spans="1:7" x14ac:dyDescent="0.2">
      <c r="A61" s="2" t="s">
        <v>85</v>
      </c>
      <c r="B61" s="32">
        <f>GEOMEAN(B49:B60)</f>
        <v>1</v>
      </c>
      <c r="C61" s="32">
        <f t="shared" ref="C61:E61" si="7">GEOMEAN(C49:C60)</f>
        <v>1.3062139315258672</v>
      </c>
      <c r="D61" s="32">
        <f t="shared" si="7"/>
        <v>2.5149364170687911</v>
      </c>
      <c r="E61" s="32">
        <f t="shared" si="7"/>
        <v>2.5184378277716348</v>
      </c>
      <c r="F61" s="32">
        <f>GEOMEAN(F49:F60)</f>
        <v>1.3307751141660851</v>
      </c>
      <c r="G61" s="32">
        <f>GEOMEAN(G49:G60)</f>
        <v>1.3324924789728769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F6DC6-DA32-8C43-88B0-AC0B6B69FBC5}">
  <dimension ref="A1:F99"/>
  <sheetViews>
    <sheetView topLeftCell="A36" zoomScale="120" zoomScaleNormal="120" workbookViewId="0">
      <selection activeCell="F30" sqref="F30"/>
    </sheetView>
  </sheetViews>
  <sheetFormatPr baseColWidth="10" defaultRowHeight="16" x14ac:dyDescent="0.2"/>
  <cols>
    <col min="1" max="1" width="19.33203125" customWidth="1"/>
    <col min="2" max="3" width="37.1640625" bestFit="1" customWidth="1"/>
    <col min="4" max="4" width="35.33203125" bestFit="1" customWidth="1"/>
    <col min="5" max="5" width="24" customWidth="1"/>
    <col min="6" max="6" width="24.5" bestFit="1" customWidth="1"/>
  </cols>
  <sheetData>
    <row r="1" spans="1:6" x14ac:dyDescent="0.2">
      <c r="A1" t="s">
        <v>142</v>
      </c>
    </row>
    <row r="2" spans="1:6" x14ac:dyDescent="0.2">
      <c r="A2" s="8"/>
      <c r="B2" s="8" t="s">
        <v>140</v>
      </c>
      <c r="C2" s="8" t="s">
        <v>141</v>
      </c>
      <c r="D2" s="8" t="s">
        <v>149</v>
      </c>
      <c r="E2" s="8" t="s">
        <v>137</v>
      </c>
      <c r="F2" s="8" t="s">
        <v>138</v>
      </c>
    </row>
    <row r="3" spans="1:6" x14ac:dyDescent="0.2">
      <c r="A3" s="8" t="s">
        <v>69</v>
      </c>
      <c r="B3" s="35">
        <v>24200</v>
      </c>
      <c r="C3" s="35">
        <v>12372</v>
      </c>
      <c r="D3" s="36">
        <f>C3/B3</f>
        <v>0.51123966942148757</v>
      </c>
      <c r="E3" s="35">
        <v>32341351</v>
      </c>
      <c r="F3" s="8">
        <v>3</v>
      </c>
    </row>
    <row r="4" spans="1:6" x14ac:dyDescent="0.2">
      <c r="A4" s="8" t="s">
        <v>70</v>
      </c>
      <c r="B4" s="35">
        <v>23436</v>
      </c>
      <c r="C4" s="35">
        <v>797</v>
      </c>
      <c r="D4" s="36">
        <f t="shared" ref="D4:D14" si="0">C4/B4</f>
        <v>3.4007509813961424E-2</v>
      </c>
      <c r="E4" s="35">
        <v>2036469</v>
      </c>
      <c r="F4" s="8">
        <v>7</v>
      </c>
    </row>
    <row r="5" spans="1:6" x14ac:dyDescent="0.2">
      <c r="A5" s="8" t="s">
        <v>71</v>
      </c>
      <c r="B5" s="35">
        <v>5894398</v>
      </c>
      <c r="C5" s="35">
        <v>1024192</v>
      </c>
      <c r="D5" s="36">
        <f t="shared" si="0"/>
        <v>0.17375684505864722</v>
      </c>
      <c r="E5" s="35">
        <v>2684481413</v>
      </c>
      <c r="F5" s="8">
        <v>2</v>
      </c>
    </row>
    <row r="6" spans="1:6" x14ac:dyDescent="0.2">
      <c r="A6" s="37" t="s">
        <v>72</v>
      </c>
      <c r="B6" s="38">
        <v>60663</v>
      </c>
      <c r="C6" s="38">
        <v>1685</v>
      </c>
      <c r="D6" s="39">
        <f t="shared" si="0"/>
        <v>2.7776404068377759E-2</v>
      </c>
      <c r="E6" s="38">
        <v>4142440</v>
      </c>
      <c r="F6" s="37">
        <v>29</v>
      </c>
    </row>
    <row r="7" spans="1:6" x14ac:dyDescent="0.2">
      <c r="A7" s="8" t="s">
        <v>73</v>
      </c>
      <c r="B7" s="35">
        <v>2590648</v>
      </c>
      <c r="C7" s="35">
        <v>569742</v>
      </c>
      <c r="D7" s="36">
        <f t="shared" si="0"/>
        <v>0.21992258307574011</v>
      </c>
      <c r="E7" s="35">
        <v>1503084782</v>
      </c>
      <c r="F7" s="8">
        <v>18</v>
      </c>
    </row>
    <row r="8" spans="1:6" x14ac:dyDescent="0.2">
      <c r="A8" s="8" t="s">
        <v>74</v>
      </c>
      <c r="B8" s="35">
        <v>2583431</v>
      </c>
      <c r="C8" s="35">
        <v>565469</v>
      </c>
      <c r="D8" s="36">
        <f t="shared" si="0"/>
        <v>0.21888295061877017</v>
      </c>
      <c r="E8" s="35">
        <v>1502953689</v>
      </c>
      <c r="F8" s="8">
        <v>5</v>
      </c>
    </row>
    <row r="9" spans="1:6" x14ac:dyDescent="0.2">
      <c r="A9" s="40" t="s">
        <v>75</v>
      </c>
      <c r="B9" s="41">
        <v>1470245</v>
      </c>
      <c r="C9" s="41">
        <v>6825</v>
      </c>
      <c r="D9" s="42">
        <f t="shared" si="0"/>
        <v>4.6420834622800961E-3</v>
      </c>
      <c r="E9" s="41">
        <v>16827280</v>
      </c>
      <c r="F9" s="40">
        <v>11</v>
      </c>
    </row>
    <row r="10" spans="1:6" x14ac:dyDescent="0.2">
      <c r="A10" s="40" t="s">
        <v>76</v>
      </c>
      <c r="B10" s="41">
        <v>2775259</v>
      </c>
      <c r="C10" s="41">
        <v>24</v>
      </c>
      <c r="D10" s="53">
        <f t="shared" si="0"/>
        <v>8.6478415167737501E-6</v>
      </c>
      <c r="E10" s="41">
        <v>56492</v>
      </c>
      <c r="F10" s="40">
        <v>13</v>
      </c>
    </row>
    <row r="11" spans="1:6" x14ac:dyDescent="0.2">
      <c r="A11" s="8" t="s">
        <v>77</v>
      </c>
      <c r="B11" s="35">
        <v>35996</v>
      </c>
      <c r="C11" s="35">
        <v>16939</v>
      </c>
      <c r="D11" s="36">
        <f t="shared" si="0"/>
        <v>0.47058006445160572</v>
      </c>
      <c r="E11" s="35">
        <v>43927705</v>
      </c>
      <c r="F11" s="8">
        <v>17</v>
      </c>
    </row>
    <row r="12" spans="1:6" x14ac:dyDescent="0.2">
      <c r="A12" s="8" t="s">
        <v>78</v>
      </c>
      <c r="B12" s="35">
        <v>555364</v>
      </c>
      <c r="C12" s="35">
        <v>142950</v>
      </c>
      <c r="D12" s="36">
        <f t="shared" si="0"/>
        <v>0.2573987510893756</v>
      </c>
      <c r="E12" s="35">
        <v>368206619</v>
      </c>
      <c r="F12" s="8">
        <v>24</v>
      </c>
    </row>
    <row r="13" spans="1:6" x14ac:dyDescent="0.2">
      <c r="A13" s="8" t="s">
        <v>143</v>
      </c>
      <c r="B13" s="35">
        <v>615755</v>
      </c>
      <c r="C13" s="35">
        <v>63471</v>
      </c>
      <c r="D13" s="36">
        <f t="shared" si="0"/>
        <v>0.10307833472728602</v>
      </c>
      <c r="E13" s="35">
        <v>161904693</v>
      </c>
      <c r="F13" s="8">
        <v>17</v>
      </c>
    </row>
    <row r="14" spans="1:6" x14ac:dyDescent="0.2">
      <c r="A14" s="8" t="s">
        <v>144</v>
      </c>
      <c r="B14" s="35">
        <v>69773</v>
      </c>
      <c r="C14" s="35">
        <v>10669</v>
      </c>
      <c r="D14" s="36">
        <f t="shared" si="0"/>
        <v>0.15291015149126452</v>
      </c>
      <c r="E14" s="35">
        <v>27427550</v>
      </c>
      <c r="F14" s="8">
        <v>16</v>
      </c>
    </row>
    <row r="18" spans="1:3" x14ac:dyDescent="0.2">
      <c r="A18" t="s">
        <v>139</v>
      </c>
    </row>
    <row r="19" spans="1:3" x14ac:dyDescent="0.2">
      <c r="A19" s="34"/>
      <c r="B19" s="43" t="s">
        <v>141</v>
      </c>
      <c r="C19" s="43" t="s">
        <v>137</v>
      </c>
    </row>
    <row r="20" spans="1:3" x14ac:dyDescent="0.2">
      <c r="A20" s="40" t="s">
        <v>76</v>
      </c>
      <c r="B20" s="41">
        <v>24</v>
      </c>
      <c r="C20" s="41">
        <v>56492</v>
      </c>
    </row>
    <row r="21" spans="1:3" x14ac:dyDescent="0.2">
      <c r="A21" s="8" t="s">
        <v>70</v>
      </c>
      <c r="B21" s="35">
        <v>797</v>
      </c>
      <c r="C21" s="35">
        <v>2036469</v>
      </c>
    </row>
    <row r="22" spans="1:3" x14ac:dyDescent="0.2">
      <c r="A22" s="37" t="s">
        <v>72</v>
      </c>
      <c r="B22" s="38">
        <v>1685</v>
      </c>
      <c r="C22" s="38">
        <v>4142440</v>
      </c>
    </row>
    <row r="23" spans="1:3" x14ac:dyDescent="0.2">
      <c r="A23" s="40" t="s">
        <v>75</v>
      </c>
      <c r="B23" s="41">
        <v>6825</v>
      </c>
      <c r="C23" s="41">
        <v>16827280</v>
      </c>
    </row>
    <row r="24" spans="1:3" x14ac:dyDescent="0.2">
      <c r="A24" s="8" t="s">
        <v>144</v>
      </c>
      <c r="B24" s="35">
        <v>10669</v>
      </c>
      <c r="C24" s="35">
        <v>27427550</v>
      </c>
    </row>
    <row r="25" spans="1:3" x14ac:dyDescent="0.2">
      <c r="A25" s="8" t="s">
        <v>69</v>
      </c>
      <c r="B25" s="35">
        <v>12372</v>
      </c>
      <c r="C25" s="35">
        <v>32341351</v>
      </c>
    </row>
    <row r="26" spans="1:3" x14ac:dyDescent="0.2">
      <c r="A26" s="8" t="s">
        <v>77</v>
      </c>
      <c r="B26" s="35">
        <v>16939</v>
      </c>
      <c r="C26" s="35">
        <v>43927705</v>
      </c>
    </row>
    <row r="27" spans="1:3" x14ac:dyDescent="0.2">
      <c r="A27" s="8" t="s">
        <v>143</v>
      </c>
      <c r="B27" s="35">
        <v>63471</v>
      </c>
      <c r="C27" s="35">
        <v>161904693</v>
      </c>
    </row>
    <row r="28" spans="1:3" x14ac:dyDescent="0.2">
      <c r="A28" s="8" t="s">
        <v>78</v>
      </c>
      <c r="B28" s="35">
        <v>142950</v>
      </c>
      <c r="C28" s="35">
        <v>368206619</v>
      </c>
    </row>
    <row r="29" spans="1:3" x14ac:dyDescent="0.2">
      <c r="A29" s="8" t="s">
        <v>74</v>
      </c>
      <c r="B29" s="35">
        <v>565469</v>
      </c>
      <c r="C29" s="35">
        <v>1502953689</v>
      </c>
    </row>
    <row r="30" spans="1:3" x14ac:dyDescent="0.2">
      <c r="A30" s="8" t="s">
        <v>73</v>
      </c>
      <c r="B30" s="35">
        <v>569742</v>
      </c>
      <c r="C30" s="35">
        <v>1503084782</v>
      </c>
    </row>
    <row r="31" spans="1:3" x14ac:dyDescent="0.2">
      <c r="A31" s="8" t="s">
        <v>71</v>
      </c>
      <c r="B31" s="35">
        <v>1024192</v>
      </c>
      <c r="C31" s="35">
        <v>2684481413</v>
      </c>
    </row>
    <row r="35" spans="1:6" x14ac:dyDescent="0.2">
      <c r="B35" s="8" t="s">
        <v>140</v>
      </c>
      <c r="C35" s="8" t="s">
        <v>141</v>
      </c>
      <c r="D35" s="8" t="s">
        <v>136</v>
      </c>
      <c r="E35" s="8" t="s">
        <v>137</v>
      </c>
      <c r="F35" s="8" t="s">
        <v>138</v>
      </c>
    </row>
    <row r="36" spans="1:6" ht="18" x14ac:dyDescent="0.2">
      <c r="A36" s="12" t="s">
        <v>28</v>
      </c>
    </row>
    <row r="37" spans="1:6" ht="18" x14ac:dyDescent="0.2">
      <c r="A37" s="12" t="s">
        <v>6</v>
      </c>
    </row>
    <row r="38" spans="1:6" ht="18" x14ac:dyDescent="0.2">
      <c r="A38" s="12" t="s">
        <v>7</v>
      </c>
    </row>
    <row r="39" spans="1:6" ht="18" x14ac:dyDescent="0.2">
      <c r="A39" s="12" t="s">
        <v>31</v>
      </c>
    </row>
    <row r="40" spans="1:6" ht="18" x14ac:dyDescent="0.2">
      <c r="A40" s="12" t="s">
        <v>30</v>
      </c>
    </row>
    <row r="41" spans="1:6" ht="18" x14ac:dyDescent="0.2">
      <c r="A41" s="12" t="s">
        <v>32</v>
      </c>
    </row>
    <row r="42" spans="1:6" ht="18" x14ac:dyDescent="0.2">
      <c r="A42" s="12" t="s">
        <v>34</v>
      </c>
    </row>
    <row r="43" spans="1:6" ht="18" x14ac:dyDescent="0.2">
      <c r="A43" s="12" t="s">
        <v>36</v>
      </c>
    </row>
    <row r="44" spans="1:6" ht="18" x14ac:dyDescent="0.2">
      <c r="A44" s="12" t="s">
        <v>11</v>
      </c>
    </row>
    <row r="45" spans="1:6" ht="18" x14ac:dyDescent="0.2">
      <c r="A45" s="12" t="s">
        <v>13</v>
      </c>
    </row>
    <row r="46" spans="1:6" ht="18" x14ac:dyDescent="0.2">
      <c r="A46" s="12" t="s">
        <v>15</v>
      </c>
    </row>
    <row r="47" spans="1:6" ht="18" x14ac:dyDescent="0.2">
      <c r="A47" s="12" t="s">
        <v>16</v>
      </c>
    </row>
    <row r="48" spans="1:6" ht="18" x14ac:dyDescent="0.2">
      <c r="A48" s="12" t="s">
        <v>19</v>
      </c>
    </row>
    <row r="49" spans="1:6" ht="18" x14ac:dyDescent="0.2">
      <c r="A49" s="12" t="s">
        <v>21</v>
      </c>
    </row>
    <row r="53" spans="1:6" ht="38" x14ac:dyDescent="0.2">
      <c r="B53" s="30" t="s">
        <v>127</v>
      </c>
      <c r="C53" s="30" t="s">
        <v>133</v>
      </c>
      <c r="D53" s="30" t="s">
        <v>145</v>
      </c>
      <c r="E53" s="30" t="s">
        <v>146</v>
      </c>
      <c r="F53" s="30"/>
    </row>
    <row r="54" spans="1:6" ht="18" x14ac:dyDescent="0.2">
      <c r="A54" s="12" t="s">
        <v>115</v>
      </c>
      <c r="B54" s="26">
        <v>2.6</v>
      </c>
      <c r="C54" s="3">
        <v>5</v>
      </c>
      <c r="D54" s="3">
        <v>388900</v>
      </c>
      <c r="E54" s="44">
        <f>C54/D54</f>
        <v>1.2856775520699408E-5</v>
      </c>
      <c r="F54" s="33"/>
    </row>
    <row r="55" spans="1:6" ht="18" x14ac:dyDescent="0.2">
      <c r="A55" s="12" t="s">
        <v>116</v>
      </c>
      <c r="B55" s="26">
        <v>36</v>
      </c>
      <c r="C55" s="3">
        <v>32</v>
      </c>
      <c r="D55" s="3">
        <v>52843</v>
      </c>
      <c r="E55" s="44">
        <f t="shared" ref="E55:E79" si="1">C55/D55</f>
        <v>6.0556743561115001E-4</v>
      </c>
      <c r="F55" s="33"/>
    </row>
    <row r="56" spans="1:6" ht="18" x14ac:dyDescent="0.2">
      <c r="A56" s="12" t="s">
        <v>117</v>
      </c>
      <c r="B56" s="26">
        <v>179</v>
      </c>
      <c r="C56" s="3">
        <v>127</v>
      </c>
      <c r="D56" s="3">
        <v>157595</v>
      </c>
      <c r="E56" s="44">
        <f t="shared" si="1"/>
        <v>8.0586313017544972E-4</v>
      </c>
      <c r="F56" s="33"/>
    </row>
    <row r="57" spans="1:6" ht="18" x14ac:dyDescent="0.2">
      <c r="A57" s="12" t="s">
        <v>118</v>
      </c>
      <c r="B57" s="26">
        <v>1.1000000000000001</v>
      </c>
      <c r="C57" s="3">
        <v>9</v>
      </c>
      <c r="D57" s="3">
        <v>41701</v>
      </c>
      <c r="E57" s="44">
        <f t="shared" si="1"/>
        <v>2.1582216253806862E-4</v>
      </c>
      <c r="F57" s="33"/>
    </row>
    <row r="58" spans="1:6" ht="18" x14ac:dyDescent="0.2">
      <c r="A58" s="12" t="s">
        <v>119</v>
      </c>
      <c r="B58" s="26">
        <v>70</v>
      </c>
      <c r="C58" s="3">
        <v>76</v>
      </c>
      <c r="D58" s="3">
        <v>176264</v>
      </c>
      <c r="E58" s="44">
        <f t="shared" si="1"/>
        <v>4.3117142468116008E-4</v>
      </c>
      <c r="F58" s="33"/>
    </row>
    <row r="59" spans="1:6" ht="18" x14ac:dyDescent="0.2">
      <c r="A59" s="12" t="s">
        <v>120</v>
      </c>
      <c r="B59" s="26">
        <v>310</v>
      </c>
      <c r="C59" s="3">
        <v>107</v>
      </c>
      <c r="D59" s="3">
        <v>73311</v>
      </c>
      <c r="E59" s="44">
        <f t="shared" si="1"/>
        <v>1.4595354039639344E-3</v>
      </c>
      <c r="F59" s="33"/>
    </row>
    <row r="60" spans="1:6" ht="18" x14ac:dyDescent="0.2">
      <c r="A60" s="12" t="s">
        <v>121</v>
      </c>
      <c r="B60" s="26">
        <v>11</v>
      </c>
      <c r="C60" s="3">
        <v>14</v>
      </c>
      <c r="D60" s="3">
        <v>196404</v>
      </c>
      <c r="E60" s="44">
        <f t="shared" si="1"/>
        <v>7.1281643958371515E-5</v>
      </c>
      <c r="F60" s="33"/>
    </row>
    <row r="61" spans="1:6" ht="18" x14ac:dyDescent="0.2">
      <c r="A61" s="12" t="s">
        <v>122</v>
      </c>
      <c r="B61" s="26">
        <v>31</v>
      </c>
      <c r="C61" s="3">
        <v>28</v>
      </c>
      <c r="D61" s="3">
        <v>25916</v>
      </c>
      <c r="E61" s="44">
        <f t="shared" si="1"/>
        <v>1.0804136440808766E-3</v>
      </c>
      <c r="F61" s="33"/>
    </row>
    <row r="62" spans="1:6" ht="18" x14ac:dyDescent="0.2">
      <c r="A62" s="12" t="s">
        <v>0</v>
      </c>
      <c r="B62" s="26">
        <v>2.6</v>
      </c>
      <c r="C62" s="3">
        <v>7</v>
      </c>
      <c r="D62" s="3">
        <v>754600</v>
      </c>
      <c r="E62" s="44">
        <f t="shared" si="1"/>
        <v>9.2764378478664186E-6</v>
      </c>
      <c r="F62" s="33"/>
    </row>
    <row r="63" spans="1:6" ht="18" x14ac:dyDescent="0.2">
      <c r="A63" s="45" t="s">
        <v>1</v>
      </c>
      <c r="B63" s="46">
        <v>1.2</v>
      </c>
      <c r="C63" s="7">
        <v>7</v>
      </c>
      <c r="D63" s="7">
        <v>118523</v>
      </c>
      <c r="E63" s="47">
        <f t="shared" si="1"/>
        <v>5.906026678366224E-5</v>
      </c>
      <c r="F63" s="33"/>
    </row>
    <row r="64" spans="1:6" ht="18" x14ac:dyDescent="0.2">
      <c r="A64" s="12" t="s">
        <v>2</v>
      </c>
      <c r="B64" s="26">
        <v>70</v>
      </c>
      <c r="C64" s="3">
        <v>61</v>
      </c>
      <c r="D64" s="3">
        <v>174995</v>
      </c>
      <c r="E64" s="44">
        <f t="shared" si="1"/>
        <v>3.4858138803965828E-4</v>
      </c>
      <c r="F64" s="33"/>
    </row>
    <row r="65" spans="1:6" ht="18" x14ac:dyDescent="0.2">
      <c r="A65" s="12" t="s">
        <v>3</v>
      </c>
      <c r="B65" s="26">
        <v>310</v>
      </c>
      <c r="C65" s="3">
        <v>100</v>
      </c>
      <c r="D65" s="3">
        <v>73369</v>
      </c>
      <c r="E65" s="44">
        <f t="shared" si="1"/>
        <v>1.3629734629066771E-3</v>
      </c>
      <c r="F65" s="33"/>
    </row>
    <row r="66" spans="1:6" ht="18" x14ac:dyDescent="0.2">
      <c r="A66" s="12" t="s">
        <v>4</v>
      </c>
      <c r="B66" s="26">
        <v>11</v>
      </c>
      <c r="C66" s="3">
        <v>16</v>
      </c>
      <c r="D66" s="3">
        <v>197495</v>
      </c>
      <c r="E66" s="44">
        <f t="shared" si="1"/>
        <v>8.1014709233145148E-5</v>
      </c>
      <c r="F66" s="33"/>
    </row>
    <row r="67" spans="1:6" ht="18" x14ac:dyDescent="0.2">
      <c r="A67" s="12" t="s">
        <v>5</v>
      </c>
      <c r="B67" s="26">
        <v>31</v>
      </c>
      <c r="C67" s="3">
        <v>23</v>
      </c>
      <c r="D67" s="3">
        <v>80178</v>
      </c>
      <c r="E67" s="44">
        <f t="shared" si="1"/>
        <v>2.8686173264486515E-4</v>
      </c>
      <c r="F67" s="33"/>
    </row>
    <row r="68" spans="1:6" ht="18" x14ac:dyDescent="0.2">
      <c r="A68" s="2" t="s">
        <v>91</v>
      </c>
      <c r="B68" s="26">
        <v>5.4</v>
      </c>
      <c r="C68" s="3">
        <v>3</v>
      </c>
      <c r="D68" s="3">
        <v>461</v>
      </c>
      <c r="E68" s="44">
        <f t="shared" si="1"/>
        <v>6.5075921908893707E-3</v>
      </c>
      <c r="F68" s="33"/>
    </row>
    <row r="69" spans="1:6" ht="18" x14ac:dyDescent="0.2">
      <c r="A69" s="49" t="s">
        <v>92</v>
      </c>
      <c r="B69" s="50">
        <v>11</v>
      </c>
      <c r="C69" s="51">
        <v>16</v>
      </c>
      <c r="D69" s="51">
        <v>87</v>
      </c>
      <c r="E69" s="52">
        <f t="shared" si="1"/>
        <v>0.18390804597701149</v>
      </c>
      <c r="F69" s="33"/>
    </row>
    <row r="70" spans="1:6" ht="18" x14ac:dyDescent="0.2">
      <c r="A70" s="2" t="s">
        <v>93</v>
      </c>
      <c r="B70" s="26">
        <v>4.2</v>
      </c>
      <c r="C70" s="3">
        <v>23</v>
      </c>
      <c r="D70" s="3">
        <v>52984</v>
      </c>
      <c r="E70" s="44">
        <f t="shared" si="1"/>
        <v>4.3409331118828324E-4</v>
      </c>
      <c r="F70" s="33"/>
    </row>
    <row r="71" spans="1:6" ht="18" x14ac:dyDescent="0.2">
      <c r="A71" s="2" t="s">
        <v>94</v>
      </c>
      <c r="B71" s="26">
        <v>12</v>
      </c>
      <c r="C71" s="3">
        <v>9</v>
      </c>
      <c r="D71" s="3">
        <v>123</v>
      </c>
      <c r="E71" s="44">
        <f t="shared" si="1"/>
        <v>7.3170731707317069E-2</v>
      </c>
      <c r="F71" s="33"/>
    </row>
    <row r="72" spans="1:6" ht="18" x14ac:dyDescent="0.2">
      <c r="A72" s="2" t="s">
        <v>95</v>
      </c>
      <c r="B72" s="26">
        <v>3.7</v>
      </c>
      <c r="C72" s="3">
        <v>6</v>
      </c>
      <c r="D72" s="3">
        <v>18111</v>
      </c>
      <c r="E72" s="44">
        <f t="shared" si="1"/>
        <v>3.3129037601457677E-4</v>
      </c>
      <c r="F72" s="33"/>
    </row>
    <row r="73" spans="1:6" ht="18" x14ac:dyDescent="0.2">
      <c r="A73" s="2" t="s">
        <v>96</v>
      </c>
      <c r="B73" s="26">
        <v>3.4</v>
      </c>
      <c r="C73" s="3">
        <v>11</v>
      </c>
      <c r="D73" s="3">
        <v>19480</v>
      </c>
      <c r="E73" s="44">
        <f t="shared" si="1"/>
        <v>5.6468172484599587E-4</v>
      </c>
      <c r="F73" s="33"/>
    </row>
    <row r="74" spans="1:6" ht="18" x14ac:dyDescent="0.2">
      <c r="A74" s="23" t="s">
        <v>97</v>
      </c>
      <c r="B74" s="46">
        <v>8.1</v>
      </c>
      <c r="C74" s="7">
        <v>10</v>
      </c>
      <c r="D74" s="7">
        <v>2014</v>
      </c>
      <c r="E74" s="47">
        <f t="shared" si="1"/>
        <v>4.9652432969215492E-3</v>
      </c>
      <c r="F74" s="33"/>
    </row>
    <row r="75" spans="1:6" ht="18" x14ac:dyDescent="0.2">
      <c r="A75" s="23" t="s">
        <v>98</v>
      </c>
      <c r="B75" s="46">
        <v>6.5</v>
      </c>
      <c r="C75" s="7">
        <v>22</v>
      </c>
      <c r="D75" s="7">
        <v>3731</v>
      </c>
      <c r="E75" s="47">
        <f t="shared" si="1"/>
        <v>5.8965424819083356E-3</v>
      </c>
      <c r="F75" s="33"/>
    </row>
    <row r="76" spans="1:6" ht="18" x14ac:dyDescent="0.2">
      <c r="A76" s="49" t="s">
        <v>99</v>
      </c>
      <c r="B76" s="50">
        <v>13</v>
      </c>
      <c r="C76" s="51">
        <v>14</v>
      </c>
      <c r="D76" s="51">
        <v>524</v>
      </c>
      <c r="E76" s="52">
        <f t="shared" si="1"/>
        <v>2.6717557251908396E-2</v>
      </c>
      <c r="F76" s="33"/>
    </row>
    <row r="77" spans="1:6" ht="18" x14ac:dyDescent="0.2">
      <c r="A77" s="2" t="s">
        <v>100</v>
      </c>
      <c r="B77" s="26">
        <v>3.7</v>
      </c>
      <c r="C77" s="3">
        <v>3</v>
      </c>
      <c r="D77" s="3">
        <v>5521</v>
      </c>
      <c r="E77" s="44">
        <f t="shared" si="1"/>
        <v>5.4337982249592464E-4</v>
      </c>
      <c r="F77" s="33"/>
    </row>
    <row r="78" spans="1:6" ht="18" x14ac:dyDescent="0.2">
      <c r="A78" s="2" t="s">
        <v>101</v>
      </c>
      <c r="B78" s="26">
        <v>4.8</v>
      </c>
      <c r="C78" s="3">
        <v>3</v>
      </c>
      <c r="D78" s="3">
        <v>2318</v>
      </c>
      <c r="E78" s="44">
        <f t="shared" si="1"/>
        <v>1.2942191544434857E-3</v>
      </c>
      <c r="F78" s="33"/>
    </row>
    <row r="79" spans="1:6" ht="18" x14ac:dyDescent="0.2">
      <c r="A79" s="49" t="s">
        <v>102</v>
      </c>
      <c r="B79" s="50">
        <v>5.0999999999999996</v>
      </c>
      <c r="C79" s="51">
        <v>30</v>
      </c>
      <c r="D79" s="51">
        <v>406</v>
      </c>
      <c r="E79" s="52">
        <f t="shared" si="1"/>
        <v>7.3891625615763554E-2</v>
      </c>
      <c r="F79" s="33"/>
    </row>
    <row r="87" spans="1:3" x14ac:dyDescent="0.2">
      <c r="A87" s="18"/>
      <c r="B87" s="18" t="s">
        <v>147</v>
      </c>
      <c r="C87" s="18" t="s">
        <v>148</v>
      </c>
    </row>
    <row r="88" spans="1:3" x14ac:dyDescent="0.2">
      <c r="A88" s="18" t="s">
        <v>91</v>
      </c>
      <c r="B88" s="18">
        <v>32340810</v>
      </c>
      <c r="C88" s="18">
        <v>541</v>
      </c>
    </row>
    <row r="89" spans="1:3" x14ac:dyDescent="0.2">
      <c r="A89" s="18" t="s">
        <v>92</v>
      </c>
      <c r="B89" s="18">
        <v>2034828</v>
      </c>
      <c r="C89" s="18">
        <v>1641</v>
      </c>
    </row>
    <row r="90" spans="1:3" x14ac:dyDescent="0.2">
      <c r="A90" s="18" t="s">
        <v>93</v>
      </c>
      <c r="B90" s="18">
        <v>2684480738</v>
      </c>
      <c r="C90" s="18">
        <v>675</v>
      </c>
    </row>
    <row r="91" spans="1:3" x14ac:dyDescent="0.2">
      <c r="A91" s="18" t="s">
        <v>94</v>
      </c>
      <c r="B91" s="18">
        <v>3934863</v>
      </c>
      <c r="C91" s="18">
        <v>207577</v>
      </c>
    </row>
    <row r="92" spans="1:3" x14ac:dyDescent="0.2">
      <c r="A92" s="18" t="s">
        <v>95</v>
      </c>
      <c r="B92" s="18">
        <v>1503079099</v>
      </c>
      <c r="C92" s="18">
        <v>5683</v>
      </c>
    </row>
    <row r="93" spans="1:3" x14ac:dyDescent="0.2">
      <c r="A93" s="18" t="s">
        <v>96</v>
      </c>
      <c r="B93" s="18">
        <v>1502948006</v>
      </c>
      <c r="C93" s="18">
        <v>5683</v>
      </c>
    </row>
    <row r="94" spans="1:3" x14ac:dyDescent="0.2">
      <c r="A94" s="48" t="s">
        <v>97</v>
      </c>
      <c r="B94" s="18">
        <v>16820055</v>
      </c>
      <c r="C94" s="18">
        <v>7225</v>
      </c>
    </row>
    <row r="95" spans="1:3" x14ac:dyDescent="0.2">
      <c r="A95" s="48" t="s">
        <v>98</v>
      </c>
      <c r="B95" s="18">
        <v>49447</v>
      </c>
      <c r="C95" s="18">
        <v>7045</v>
      </c>
    </row>
    <row r="96" spans="1:3" x14ac:dyDescent="0.2">
      <c r="A96" s="18" t="s">
        <v>99</v>
      </c>
      <c r="B96" s="18">
        <v>43845604</v>
      </c>
      <c r="C96" s="18">
        <v>82101</v>
      </c>
    </row>
    <row r="97" spans="1:3" x14ac:dyDescent="0.2">
      <c r="A97" s="18" t="s">
        <v>100</v>
      </c>
      <c r="B97" s="18">
        <v>368205959</v>
      </c>
      <c r="C97" s="18">
        <v>660</v>
      </c>
    </row>
    <row r="98" spans="1:3" x14ac:dyDescent="0.2">
      <c r="A98" s="18" t="s">
        <v>101</v>
      </c>
      <c r="B98" s="18">
        <v>161798447</v>
      </c>
      <c r="C98" s="18">
        <v>106246</v>
      </c>
    </row>
    <row r="99" spans="1:3" x14ac:dyDescent="0.2">
      <c r="A99" s="18" t="s">
        <v>102</v>
      </c>
      <c r="B99" s="18">
        <v>27321287</v>
      </c>
      <c r="C99" s="18">
        <v>106263</v>
      </c>
    </row>
  </sheetData>
  <sortState xmlns:xlrd2="http://schemas.microsoft.com/office/spreadsheetml/2017/richdata2" ref="A20:C31">
    <sortCondition ref="C20:C31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47E61-5499-7241-8D93-4870A5537F5A}">
  <dimension ref="A2:W278"/>
  <sheetViews>
    <sheetView tabSelected="1" topLeftCell="A235" workbookViewId="0">
      <selection activeCell="R252" sqref="R252"/>
    </sheetView>
  </sheetViews>
  <sheetFormatPr baseColWidth="10" defaultRowHeight="16" x14ac:dyDescent="0.2"/>
  <cols>
    <col min="1" max="1" width="24.33203125" bestFit="1" customWidth="1"/>
    <col min="2" max="2" width="24" bestFit="1" customWidth="1"/>
    <col min="3" max="3" width="24.83203125" bestFit="1" customWidth="1"/>
    <col min="4" max="4" width="17.1640625" bestFit="1" customWidth="1"/>
    <col min="5" max="5" width="19.1640625" bestFit="1" customWidth="1"/>
    <col min="6" max="6" width="19.33203125" bestFit="1" customWidth="1"/>
    <col min="7" max="7" width="17.5" bestFit="1" customWidth="1"/>
    <col min="8" max="8" width="24.33203125" bestFit="1" customWidth="1"/>
    <col min="9" max="13" width="9.83203125" customWidth="1"/>
    <col min="14" max="17" width="9.6640625" customWidth="1"/>
    <col min="19" max="24" width="25" customWidth="1"/>
  </cols>
  <sheetData>
    <row r="2" spans="1:17" ht="18" x14ac:dyDescent="0.2">
      <c r="A2" s="2" t="s">
        <v>103</v>
      </c>
      <c r="B2" s="2" t="s">
        <v>86</v>
      </c>
      <c r="C2" s="2" t="s">
        <v>104</v>
      </c>
      <c r="D2" s="2" t="s">
        <v>161</v>
      </c>
      <c r="E2" s="68" t="s">
        <v>162</v>
      </c>
      <c r="F2" s="68"/>
      <c r="G2" s="1"/>
      <c r="N2" s="1"/>
      <c r="O2" s="1"/>
      <c r="P2" s="1"/>
      <c r="Q2" s="1"/>
    </row>
    <row r="3" spans="1:17" ht="18" x14ac:dyDescent="0.2">
      <c r="A3" s="12" t="s">
        <v>69</v>
      </c>
      <c r="B3" s="3">
        <v>20</v>
      </c>
      <c r="C3" s="3">
        <v>28</v>
      </c>
      <c r="D3" s="3">
        <v>251</v>
      </c>
      <c r="E3" s="3">
        <v>393</v>
      </c>
      <c r="F3" s="20"/>
      <c r="G3" s="21"/>
      <c r="N3" s="21"/>
      <c r="O3" s="21"/>
      <c r="P3" s="21"/>
      <c r="Q3" s="21"/>
    </row>
    <row r="4" spans="1:17" ht="18" x14ac:dyDescent="0.2">
      <c r="A4" s="12" t="s">
        <v>70</v>
      </c>
      <c r="B4" s="3">
        <v>22</v>
      </c>
      <c r="C4" s="3">
        <v>30</v>
      </c>
      <c r="D4" s="3">
        <v>63</v>
      </c>
      <c r="E4" s="3">
        <v>88</v>
      </c>
      <c r="F4" s="20"/>
      <c r="G4" s="21"/>
      <c r="N4" s="21"/>
      <c r="O4" s="21"/>
      <c r="P4" s="21"/>
      <c r="Q4" s="21"/>
    </row>
    <row r="5" spans="1:17" ht="18" x14ac:dyDescent="0.2">
      <c r="A5" s="12" t="s">
        <v>71</v>
      </c>
      <c r="B5" s="3">
        <v>5677</v>
      </c>
      <c r="C5" s="3">
        <v>8682</v>
      </c>
      <c r="D5" s="3">
        <v>32726</v>
      </c>
      <c r="E5" s="3">
        <v>53168</v>
      </c>
      <c r="F5" s="20"/>
      <c r="G5" s="21"/>
      <c r="N5" s="21"/>
      <c r="O5" s="21"/>
      <c r="P5" s="21"/>
      <c r="Q5" s="21"/>
    </row>
    <row r="6" spans="1:17" ht="18" x14ac:dyDescent="0.2">
      <c r="A6" s="12" t="s">
        <v>72</v>
      </c>
      <c r="B6" s="3">
        <v>41</v>
      </c>
      <c r="C6" s="3">
        <v>50</v>
      </c>
      <c r="D6" s="3">
        <v>89</v>
      </c>
      <c r="E6" s="3">
        <v>122</v>
      </c>
      <c r="F6" s="20"/>
      <c r="G6" s="21"/>
      <c r="N6" s="21"/>
      <c r="O6" s="21"/>
      <c r="P6" s="21"/>
      <c r="Q6" s="21"/>
    </row>
    <row r="7" spans="1:17" ht="18" x14ac:dyDescent="0.2">
      <c r="A7" s="12" t="s">
        <v>73</v>
      </c>
      <c r="B7" s="3">
        <v>2995</v>
      </c>
      <c r="C7" s="3">
        <v>3108</v>
      </c>
      <c r="D7" s="3">
        <v>14762</v>
      </c>
      <c r="E7" s="3">
        <v>18403</v>
      </c>
      <c r="F7" s="20"/>
      <c r="G7" s="21"/>
      <c r="N7" s="21"/>
      <c r="O7" s="21"/>
      <c r="P7" s="21"/>
      <c r="Q7" s="21"/>
    </row>
    <row r="8" spans="1:17" ht="18" x14ac:dyDescent="0.2">
      <c r="A8" s="12" t="s">
        <v>74</v>
      </c>
      <c r="B8" s="3">
        <v>3993</v>
      </c>
      <c r="C8" s="3">
        <v>4181</v>
      </c>
      <c r="D8" s="3">
        <v>16482</v>
      </c>
      <c r="E8" s="3">
        <v>19442</v>
      </c>
      <c r="F8" s="20"/>
      <c r="G8" s="21"/>
      <c r="N8" s="21"/>
      <c r="O8" s="21"/>
      <c r="P8" s="21"/>
      <c r="Q8" s="21"/>
    </row>
    <row r="9" spans="1:17" ht="18" x14ac:dyDescent="0.2">
      <c r="A9" s="12" t="s">
        <v>75</v>
      </c>
      <c r="B9" s="3">
        <v>3417</v>
      </c>
      <c r="C9" s="3">
        <v>3719</v>
      </c>
      <c r="D9" s="3">
        <v>4186</v>
      </c>
      <c r="E9" s="3">
        <v>4367</v>
      </c>
      <c r="F9" s="20"/>
      <c r="G9" s="21"/>
      <c r="N9" s="21"/>
      <c r="O9" s="21"/>
      <c r="P9" s="21"/>
      <c r="Q9" s="21"/>
    </row>
    <row r="10" spans="1:17" ht="18" x14ac:dyDescent="0.2">
      <c r="A10" s="12" t="s">
        <v>76</v>
      </c>
      <c r="B10" s="3">
        <v>5769</v>
      </c>
      <c r="C10" s="3">
        <v>5494</v>
      </c>
      <c r="D10" s="3">
        <v>5510</v>
      </c>
      <c r="E10" s="3">
        <v>6098</v>
      </c>
      <c r="F10" s="20"/>
      <c r="G10" s="21"/>
      <c r="N10" s="21"/>
      <c r="O10" s="21"/>
      <c r="P10" s="21"/>
      <c r="Q10" s="21"/>
    </row>
    <row r="11" spans="1:17" ht="18" x14ac:dyDescent="0.2">
      <c r="A11" s="12" t="s">
        <v>77</v>
      </c>
      <c r="B11" s="3">
        <v>29</v>
      </c>
      <c r="C11" s="3">
        <v>40</v>
      </c>
      <c r="D11" s="3">
        <v>354</v>
      </c>
      <c r="E11" s="3">
        <v>534</v>
      </c>
      <c r="F11" s="20"/>
      <c r="G11" s="21"/>
      <c r="N11" s="21"/>
      <c r="O11" s="21"/>
      <c r="P11" s="21"/>
      <c r="Q11" s="21"/>
    </row>
    <row r="12" spans="1:17" ht="18" x14ac:dyDescent="0.2">
      <c r="A12" s="12" t="s">
        <v>78</v>
      </c>
      <c r="B12" s="3">
        <v>1005</v>
      </c>
      <c r="C12" s="3">
        <v>1076</v>
      </c>
      <c r="D12" s="3">
        <v>3949</v>
      </c>
      <c r="E12" s="3">
        <v>5584</v>
      </c>
      <c r="F12" s="20"/>
      <c r="G12" s="21"/>
      <c r="N12" s="21"/>
      <c r="O12" s="21"/>
      <c r="P12" s="21"/>
      <c r="Q12" s="21"/>
    </row>
    <row r="13" spans="1:17" ht="18" x14ac:dyDescent="0.2">
      <c r="A13" s="12" t="s">
        <v>154</v>
      </c>
      <c r="B13" s="3">
        <v>5877</v>
      </c>
      <c r="C13" s="3">
        <v>7179</v>
      </c>
      <c r="D13" s="3">
        <v>59469</v>
      </c>
      <c r="E13" s="3">
        <v>84300</v>
      </c>
      <c r="F13" s="20"/>
      <c r="G13" s="21"/>
      <c r="N13" s="21"/>
      <c r="O13" s="21"/>
      <c r="P13" s="21"/>
      <c r="Q13" s="21"/>
    </row>
    <row r="14" spans="1:17" ht="18" x14ac:dyDescent="0.2">
      <c r="A14" s="12" t="s">
        <v>79</v>
      </c>
      <c r="B14" s="3">
        <v>464</v>
      </c>
      <c r="C14" s="3">
        <v>511</v>
      </c>
      <c r="D14" s="3">
        <v>2006</v>
      </c>
      <c r="E14" s="3">
        <v>2325</v>
      </c>
      <c r="F14" s="20"/>
      <c r="G14" s="21"/>
      <c r="N14" s="21"/>
      <c r="O14" s="21"/>
      <c r="P14" s="21"/>
      <c r="Q14" s="21"/>
    </row>
    <row r="15" spans="1:17" ht="18" x14ac:dyDescent="0.2">
      <c r="A15" s="12" t="s">
        <v>80</v>
      </c>
      <c r="B15" s="3">
        <v>52</v>
      </c>
      <c r="C15" s="3">
        <v>76</v>
      </c>
      <c r="D15" s="3">
        <v>314</v>
      </c>
      <c r="E15" s="3">
        <v>408</v>
      </c>
      <c r="F15" s="20"/>
      <c r="G15" s="21"/>
      <c r="N15" s="21"/>
      <c r="O15" s="21"/>
      <c r="P15" s="21"/>
      <c r="Q15" s="21"/>
    </row>
    <row r="17" spans="1:23" ht="18" x14ac:dyDescent="0.2">
      <c r="H17" s="1"/>
      <c r="I17" s="21"/>
      <c r="J17" s="21"/>
      <c r="K17" s="21"/>
      <c r="L17" s="21"/>
      <c r="M17" s="71"/>
      <c r="S17" s="1"/>
      <c r="T17" s="22"/>
      <c r="U17" s="22"/>
      <c r="V17" s="22"/>
      <c r="W17" s="22"/>
    </row>
    <row r="18" spans="1:23" ht="18" x14ac:dyDescent="0.2">
      <c r="A18" s="2" t="s">
        <v>87</v>
      </c>
      <c r="B18" s="2" t="s">
        <v>86</v>
      </c>
      <c r="C18" s="2" t="s">
        <v>104</v>
      </c>
      <c r="D18" s="2" t="s">
        <v>161</v>
      </c>
      <c r="E18" s="2" t="s">
        <v>162</v>
      </c>
      <c r="F18" s="2" t="s">
        <v>163</v>
      </c>
      <c r="H18" s="1"/>
      <c r="I18" s="21"/>
      <c r="J18" s="21"/>
      <c r="K18" s="21"/>
      <c r="L18" s="21"/>
      <c r="M18" s="71"/>
      <c r="S18" s="1"/>
      <c r="T18" s="22"/>
      <c r="U18" s="22"/>
      <c r="V18" s="22"/>
      <c r="W18" s="22"/>
    </row>
    <row r="19" spans="1:23" ht="18" x14ac:dyDescent="0.2">
      <c r="A19" s="12" t="s">
        <v>69</v>
      </c>
      <c r="B19" s="20">
        <f t="shared" ref="B19:E31" si="0">B3/$B3</f>
        <v>1</v>
      </c>
      <c r="C19" s="20">
        <f t="shared" si="0"/>
        <v>1.4</v>
      </c>
      <c r="D19" s="20">
        <f t="shared" si="0"/>
        <v>12.55</v>
      </c>
      <c r="E19" s="20">
        <f t="shared" si="0"/>
        <v>19.649999999999999</v>
      </c>
      <c r="F19" s="69">
        <f>E19/D19</f>
        <v>1.5657370517928284</v>
      </c>
      <c r="H19" s="1"/>
      <c r="I19" s="21"/>
      <c r="J19" s="21"/>
      <c r="K19" s="21"/>
      <c r="L19" s="21"/>
      <c r="M19" s="71"/>
      <c r="S19" s="1"/>
      <c r="T19" s="22"/>
      <c r="U19" s="22"/>
      <c r="V19" s="22"/>
      <c r="W19" s="22"/>
    </row>
    <row r="20" spans="1:23" ht="18" x14ac:dyDescent="0.2">
      <c r="A20" s="12" t="s">
        <v>70</v>
      </c>
      <c r="B20" s="20">
        <f t="shared" si="0"/>
        <v>1</v>
      </c>
      <c r="C20" s="20">
        <f t="shared" si="0"/>
        <v>1.3636363636363635</v>
      </c>
      <c r="D20" s="20">
        <f t="shared" si="0"/>
        <v>2.8636363636363638</v>
      </c>
      <c r="E20" s="20">
        <f t="shared" si="0"/>
        <v>4</v>
      </c>
      <c r="F20" s="69">
        <f t="shared" ref="F20:F32" si="1">E20/D20</f>
        <v>1.3968253968253967</v>
      </c>
      <c r="H20" s="1"/>
      <c r="I20" s="21"/>
      <c r="J20" s="21"/>
      <c r="K20" s="21"/>
      <c r="L20" s="21"/>
      <c r="M20" s="71"/>
      <c r="S20" s="1"/>
      <c r="T20" s="22"/>
      <c r="U20" s="22"/>
      <c r="V20" s="22"/>
      <c r="W20" s="22"/>
    </row>
    <row r="21" spans="1:23" ht="18" x14ac:dyDescent="0.2">
      <c r="A21" s="12" t="s">
        <v>71</v>
      </c>
      <c r="B21" s="20">
        <f t="shared" si="0"/>
        <v>1</v>
      </c>
      <c r="C21" s="20">
        <f t="shared" si="0"/>
        <v>1.5293288708825084</v>
      </c>
      <c r="D21" s="20">
        <f t="shared" si="0"/>
        <v>5.7646644354412544</v>
      </c>
      <c r="E21" s="20">
        <f t="shared" si="0"/>
        <v>9.3655099524396697</v>
      </c>
      <c r="F21" s="69">
        <f t="shared" si="1"/>
        <v>1.6246409582594878</v>
      </c>
      <c r="H21" s="1"/>
      <c r="I21" s="21"/>
      <c r="J21" s="21"/>
      <c r="K21" s="21"/>
      <c r="L21" s="21"/>
      <c r="M21" s="71"/>
      <c r="S21" s="1"/>
      <c r="T21" s="22"/>
      <c r="U21" s="22"/>
      <c r="V21" s="22"/>
      <c r="W21" s="22"/>
    </row>
    <row r="22" spans="1:23" ht="18" x14ac:dyDescent="0.2">
      <c r="A22" s="12" t="s">
        <v>72</v>
      </c>
      <c r="B22" s="20">
        <f t="shared" si="0"/>
        <v>1</v>
      </c>
      <c r="C22" s="20">
        <f t="shared" si="0"/>
        <v>1.2195121951219512</v>
      </c>
      <c r="D22" s="20">
        <f t="shared" si="0"/>
        <v>2.1707317073170733</v>
      </c>
      <c r="E22" s="20">
        <f t="shared" si="0"/>
        <v>2.975609756097561</v>
      </c>
      <c r="F22" s="69">
        <f t="shared" si="1"/>
        <v>1.3707865168539324</v>
      </c>
      <c r="H22" s="1"/>
      <c r="I22" s="21"/>
      <c r="J22" s="21"/>
      <c r="K22" s="21"/>
      <c r="L22" s="21"/>
      <c r="M22" s="71"/>
      <c r="S22" s="1"/>
      <c r="T22" s="22"/>
      <c r="U22" s="22"/>
      <c r="V22" s="22"/>
      <c r="W22" s="22"/>
    </row>
    <row r="23" spans="1:23" ht="18" x14ac:dyDescent="0.2">
      <c r="A23" s="12" t="s">
        <v>73</v>
      </c>
      <c r="B23" s="20">
        <f t="shared" si="0"/>
        <v>1</v>
      </c>
      <c r="C23" s="20">
        <f t="shared" si="0"/>
        <v>1.0377295492487479</v>
      </c>
      <c r="D23" s="20">
        <f t="shared" si="0"/>
        <v>4.9288814691151916</v>
      </c>
      <c r="E23" s="20">
        <f t="shared" si="0"/>
        <v>6.1445742904841403</v>
      </c>
      <c r="F23" s="69">
        <f t="shared" si="1"/>
        <v>1.2466467958271239</v>
      </c>
      <c r="H23" s="1"/>
      <c r="I23" s="21"/>
      <c r="J23" s="21"/>
      <c r="K23" s="21"/>
      <c r="L23" s="21"/>
      <c r="M23" s="71"/>
      <c r="S23" s="1"/>
      <c r="T23" s="22"/>
      <c r="U23" s="22"/>
      <c r="V23" s="22"/>
      <c r="W23" s="22"/>
    </row>
    <row r="24" spans="1:23" ht="18" x14ac:dyDescent="0.2">
      <c r="A24" s="12" t="s">
        <v>74</v>
      </c>
      <c r="B24" s="20">
        <f t="shared" si="0"/>
        <v>1</v>
      </c>
      <c r="C24" s="20">
        <f t="shared" si="0"/>
        <v>1.0470823941898322</v>
      </c>
      <c r="D24" s="20">
        <f t="shared" si="0"/>
        <v>4.1277235161532682</v>
      </c>
      <c r="E24" s="20">
        <f t="shared" si="0"/>
        <v>4.8690207863761579</v>
      </c>
      <c r="F24" s="69">
        <f t="shared" si="1"/>
        <v>1.1795898556000484</v>
      </c>
      <c r="H24" s="1"/>
      <c r="I24" s="21"/>
      <c r="J24" s="21"/>
      <c r="K24" s="21"/>
      <c r="L24" s="21"/>
      <c r="M24" s="71"/>
      <c r="S24" s="1"/>
      <c r="T24" s="22"/>
      <c r="U24" s="22"/>
      <c r="V24" s="22"/>
      <c r="W24" s="22"/>
    </row>
    <row r="25" spans="1:23" ht="18" x14ac:dyDescent="0.2">
      <c r="A25" s="12" t="s">
        <v>75</v>
      </c>
      <c r="B25" s="20">
        <f t="shared" si="0"/>
        <v>1</v>
      </c>
      <c r="C25" s="20">
        <f t="shared" si="0"/>
        <v>1.0883816213052384</v>
      </c>
      <c r="D25" s="20">
        <f t="shared" si="0"/>
        <v>1.2250512145156569</v>
      </c>
      <c r="E25" s="20">
        <f t="shared" si="0"/>
        <v>1.2780216564237636</v>
      </c>
      <c r="F25" s="69">
        <f t="shared" si="1"/>
        <v>1.043239369326326</v>
      </c>
      <c r="H25" s="1"/>
      <c r="I25" s="21"/>
      <c r="J25" s="21"/>
      <c r="K25" s="21"/>
      <c r="L25" s="21"/>
      <c r="M25" s="71"/>
      <c r="S25" s="1"/>
      <c r="T25" s="22"/>
      <c r="U25" s="22"/>
      <c r="V25" s="22"/>
      <c r="W25" s="22"/>
    </row>
    <row r="26" spans="1:23" ht="18" x14ac:dyDescent="0.2">
      <c r="A26" s="12" t="s">
        <v>76</v>
      </c>
      <c r="B26" s="20">
        <f t="shared" si="0"/>
        <v>1</v>
      </c>
      <c r="C26" s="20">
        <f t="shared" si="0"/>
        <v>0.95233142659039693</v>
      </c>
      <c r="D26" s="20">
        <f t="shared" si="0"/>
        <v>0.95510487086150109</v>
      </c>
      <c r="E26" s="20">
        <f t="shared" si="0"/>
        <v>1.0570289478245796</v>
      </c>
      <c r="F26" s="69">
        <f t="shared" si="1"/>
        <v>1.1067150635208711</v>
      </c>
      <c r="H26" s="1"/>
      <c r="I26" s="21"/>
      <c r="J26" s="21"/>
      <c r="K26" s="21"/>
      <c r="L26" s="21"/>
      <c r="M26" s="71"/>
      <c r="S26" s="1"/>
      <c r="T26" s="22"/>
      <c r="U26" s="22"/>
      <c r="V26" s="22"/>
      <c r="W26" s="22"/>
    </row>
    <row r="27" spans="1:23" ht="18" x14ac:dyDescent="0.2">
      <c r="A27" s="12" t="s">
        <v>77</v>
      </c>
      <c r="B27" s="20">
        <f t="shared" si="0"/>
        <v>1</v>
      </c>
      <c r="C27" s="20">
        <f t="shared" si="0"/>
        <v>1.3793103448275863</v>
      </c>
      <c r="D27" s="20">
        <f t="shared" si="0"/>
        <v>12.206896551724139</v>
      </c>
      <c r="E27" s="20">
        <f t="shared" si="0"/>
        <v>18.413793103448278</v>
      </c>
      <c r="F27" s="69">
        <f t="shared" si="1"/>
        <v>1.5084745762711864</v>
      </c>
      <c r="H27" s="1"/>
      <c r="I27" s="21"/>
      <c r="J27" s="21"/>
      <c r="K27" s="21"/>
      <c r="L27" s="21"/>
      <c r="M27" s="71"/>
      <c r="S27" s="1"/>
      <c r="T27" s="22"/>
      <c r="U27" s="22"/>
      <c r="V27" s="22"/>
      <c r="W27" s="22"/>
    </row>
    <row r="28" spans="1:23" ht="18" x14ac:dyDescent="0.2">
      <c r="A28" s="12" t="s">
        <v>78</v>
      </c>
      <c r="B28" s="20">
        <f t="shared" si="0"/>
        <v>1</v>
      </c>
      <c r="C28" s="20">
        <f t="shared" si="0"/>
        <v>1.0706467661691543</v>
      </c>
      <c r="D28" s="20">
        <f t="shared" si="0"/>
        <v>3.9293532338308457</v>
      </c>
      <c r="E28" s="20">
        <f t="shared" si="0"/>
        <v>5.5562189054726367</v>
      </c>
      <c r="F28" s="69">
        <f t="shared" si="1"/>
        <v>1.4140288680678652</v>
      </c>
      <c r="H28" s="1"/>
      <c r="I28" s="21"/>
      <c r="J28" s="21"/>
      <c r="K28" s="21"/>
      <c r="L28" s="21"/>
      <c r="M28" s="71"/>
      <c r="S28" s="1"/>
      <c r="T28" s="22"/>
      <c r="U28" s="22"/>
      <c r="V28" s="22"/>
      <c r="W28" s="22"/>
    </row>
    <row r="29" spans="1:23" ht="18" x14ac:dyDescent="0.2">
      <c r="A29" s="12" t="s">
        <v>154</v>
      </c>
      <c r="B29" s="20">
        <f t="shared" si="0"/>
        <v>1</v>
      </c>
      <c r="C29" s="20">
        <f t="shared" si="0"/>
        <v>1.2215416028586012</v>
      </c>
      <c r="D29" s="20">
        <f t="shared" si="0"/>
        <v>10.118938233792752</v>
      </c>
      <c r="E29" s="20">
        <f t="shared" si="0"/>
        <v>14.344053088310362</v>
      </c>
      <c r="F29" s="69">
        <f t="shared" si="1"/>
        <v>1.417545275689855</v>
      </c>
      <c r="H29" s="1"/>
      <c r="I29" s="21"/>
      <c r="J29" s="21"/>
      <c r="K29" s="21"/>
      <c r="L29" s="21"/>
      <c r="M29" s="71"/>
      <c r="S29" s="1"/>
      <c r="T29" s="22"/>
      <c r="U29" s="22"/>
      <c r="V29" s="22"/>
      <c r="W29" s="22"/>
    </row>
    <row r="30" spans="1:23" ht="18" x14ac:dyDescent="0.2">
      <c r="A30" s="12" t="s">
        <v>79</v>
      </c>
      <c r="B30" s="20">
        <f t="shared" si="0"/>
        <v>1</v>
      </c>
      <c r="C30" s="20">
        <f t="shared" si="0"/>
        <v>1.1012931034482758</v>
      </c>
      <c r="D30" s="20">
        <f t="shared" si="0"/>
        <v>4.3232758620689653</v>
      </c>
      <c r="E30" s="20">
        <f t="shared" si="0"/>
        <v>5.0107758620689653</v>
      </c>
      <c r="F30" s="69">
        <f t="shared" si="1"/>
        <v>1.1590229312063809</v>
      </c>
      <c r="H30" s="1"/>
      <c r="I30" s="21"/>
      <c r="J30" s="21"/>
      <c r="K30" s="21"/>
      <c r="L30" s="21"/>
      <c r="M30" s="71"/>
      <c r="S30" s="1"/>
      <c r="T30" s="22"/>
      <c r="U30" s="22"/>
      <c r="V30" s="22"/>
      <c r="W30" s="22"/>
    </row>
    <row r="31" spans="1:23" ht="18" x14ac:dyDescent="0.2">
      <c r="A31" s="12" t="s">
        <v>80</v>
      </c>
      <c r="B31" s="20">
        <f t="shared" si="0"/>
        <v>1</v>
      </c>
      <c r="C31" s="20">
        <f t="shared" si="0"/>
        <v>1.4615384615384615</v>
      </c>
      <c r="D31" s="20">
        <f t="shared" si="0"/>
        <v>6.0384615384615383</v>
      </c>
      <c r="E31" s="20">
        <f t="shared" si="0"/>
        <v>7.8461538461538458</v>
      </c>
      <c r="F31" s="69">
        <f t="shared" si="1"/>
        <v>1.2993630573248407</v>
      </c>
      <c r="H31" s="1"/>
      <c r="I31" s="21"/>
      <c r="J31" s="21"/>
      <c r="K31" s="21"/>
      <c r="L31" s="21"/>
      <c r="M31" s="71"/>
      <c r="S31" s="1"/>
      <c r="T31" s="22"/>
      <c r="U31" s="22"/>
      <c r="V31" s="22"/>
      <c r="W31" s="22"/>
    </row>
    <row r="32" spans="1:23" ht="18" x14ac:dyDescent="0.2">
      <c r="A32" s="2" t="s">
        <v>85</v>
      </c>
      <c r="B32" s="20">
        <f>GEOMEAN(B19:B31)</f>
        <v>1</v>
      </c>
      <c r="C32" s="20">
        <f>GEOMEAN(C19:C31)</f>
        <v>1.207830443650467</v>
      </c>
      <c r="D32" s="20">
        <f>GEOMEAN(D19:D31)</f>
        <v>4.2225007715773319</v>
      </c>
      <c r="E32" s="20">
        <f>GEOMEAN(E19:E31)</f>
        <v>5.5819772016716263</v>
      </c>
      <c r="F32" s="69">
        <f t="shared" si="1"/>
        <v>1.3219600193433372</v>
      </c>
      <c r="H32" s="1"/>
      <c r="I32" s="21"/>
      <c r="J32" s="21"/>
      <c r="K32" s="21"/>
      <c r="L32" s="21"/>
      <c r="M32" s="71"/>
      <c r="S32" s="1"/>
      <c r="T32" s="22"/>
      <c r="U32" s="22"/>
      <c r="V32" s="22"/>
      <c r="W32" s="22"/>
    </row>
    <row r="33" spans="1:23" ht="18" x14ac:dyDescent="0.2">
      <c r="H33" s="1"/>
      <c r="I33" s="21"/>
      <c r="J33" s="21"/>
      <c r="K33" s="21"/>
      <c r="L33" s="21"/>
      <c r="M33" s="71"/>
      <c r="S33" s="1"/>
      <c r="T33" s="22"/>
      <c r="U33" s="22"/>
      <c r="V33" s="22"/>
      <c r="W33" s="22"/>
    </row>
    <row r="34" spans="1:23" ht="18" x14ac:dyDescent="0.2">
      <c r="A34" s="2"/>
      <c r="B34" s="2" t="s">
        <v>161</v>
      </c>
      <c r="C34" s="2"/>
      <c r="D34" s="2" t="s">
        <v>162</v>
      </c>
      <c r="E34" s="70"/>
      <c r="H34" s="1"/>
      <c r="I34" s="21"/>
      <c r="J34" s="21"/>
      <c r="K34" s="21"/>
      <c r="L34" s="21"/>
      <c r="M34" s="71"/>
      <c r="S34" s="1"/>
      <c r="T34" s="22"/>
      <c r="U34" s="22"/>
      <c r="V34" s="22"/>
      <c r="W34" s="22"/>
    </row>
    <row r="35" spans="1:23" ht="18" x14ac:dyDescent="0.2">
      <c r="A35" s="2"/>
      <c r="B35" s="2" t="s">
        <v>164</v>
      </c>
      <c r="C35" s="2" t="s">
        <v>165</v>
      </c>
      <c r="D35" s="2" t="s">
        <v>164</v>
      </c>
      <c r="E35" s="2" t="s">
        <v>165</v>
      </c>
      <c r="F35" s="2" t="s">
        <v>166</v>
      </c>
      <c r="H35" s="1"/>
      <c r="I35" s="21"/>
      <c r="J35" s="21"/>
      <c r="K35" s="21"/>
      <c r="L35" s="21"/>
      <c r="M35" s="71"/>
      <c r="S35" s="1"/>
      <c r="T35" s="22"/>
      <c r="U35" s="22"/>
      <c r="V35" s="22"/>
      <c r="W35" s="22"/>
    </row>
    <row r="36" spans="1:23" ht="18" x14ac:dyDescent="0.2">
      <c r="A36" s="2" t="s">
        <v>69</v>
      </c>
      <c r="B36" s="3">
        <v>34</v>
      </c>
      <c r="C36" s="3">
        <v>0</v>
      </c>
      <c r="D36" s="3">
        <v>34</v>
      </c>
      <c r="E36" s="3">
        <v>9</v>
      </c>
      <c r="F36" s="8"/>
      <c r="H36" s="1"/>
      <c r="I36" s="21"/>
      <c r="J36" s="21"/>
      <c r="K36" s="21"/>
      <c r="L36" s="21"/>
      <c r="M36" s="71"/>
      <c r="S36" s="1"/>
      <c r="T36" s="22"/>
      <c r="U36" s="22"/>
      <c r="V36" s="22"/>
      <c r="W36" s="22"/>
    </row>
    <row r="37" spans="1:23" ht="18" x14ac:dyDescent="0.2">
      <c r="A37" s="2" t="s">
        <v>70</v>
      </c>
      <c r="B37" s="3">
        <v>8</v>
      </c>
      <c r="C37" s="3">
        <v>0</v>
      </c>
      <c r="D37" s="3">
        <v>8</v>
      </c>
      <c r="E37" s="3">
        <v>4</v>
      </c>
      <c r="F37" s="8"/>
      <c r="H37" s="1"/>
      <c r="I37" s="21"/>
      <c r="J37" s="21"/>
      <c r="K37" s="21"/>
      <c r="L37" s="21"/>
      <c r="M37" s="71"/>
      <c r="S37" s="1"/>
      <c r="T37" s="22"/>
      <c r="U37" s="22"/>
      <c r="V37" s="22"/>
      <c r="W37" s="22"/>
    </row>
    <row r="38" spans="1:23" ht="18" x14ac:dyDescent="0.2">
      <c r="A38" s="2" t="s">
        <v>71</v>
      </c>
      <c r="B38" s="3">
        <v>14</v>
      </c>
      <c r="C38" s="3">
        <v>0</v>
      </c>
      <c r="D38" s="3">
        <v>14</v>
      </c>
      <c r="E38" s="3">
        <v>5</v>
      </c>
      <c r="F38" s="8"/>
      <c r="H38" s="1"/>
      <c r="I38" s="21"/>
      <c r="J38" s="21"/>
      <c r="K38" s="21"/>
      <c r="L38" s="21"/>
      <c r="M38" s="71"/>
      <c r="S38" s="1"/>
      <c r="T38" s="22"/>
      <c r="U38" s="22"/>
      <c r="V38" s="22"/>
      <c r="W38" s="22"/>
    </row>
    <row r="39" spans="1:23" ht="18" x14ac:dyDescent="0.2">
      <c r="A39" s="2" t="s">
        <v>72</v>
      </c>
      <c r="B39" s="3">
        <v>68</v>
      </c>
      <c r="C39" s="3">
        <v>0</v>
      </c>
      <c r="D39" s="3">
        <v>68</v>
      </c>
      <c r="E39" s="3">
        <v>26</v>
      </c>
      <c r="F39" s="8"/>
      <c r="H39" s="1"/>
      <c r="I39" s="21"/>
      <c r="J39" s="21"/>
      <c r="K39" s="21"/>
      <c r="L39" s="21"/>
      <c r="M39" s="71"/>
      <c r="S39" s="1"/>
      <c r="T39" s="22"/>
      <c r="U39" s="22"/>
      <c r="V39" s="22"/>
      <c r="W39" s="22"/>
    </row>
    <row r="40" spans="1:23" ht="18" x14ac:dyDescent="0.2">
      <c r="A40" s="2" t="s">
        <v>73</v>
      </c>
      <c r="B40" s="3">
        <v>1030</v>
      </c>
      <c r="C40" s="3">
        <v>0</v>
      </c>
      <c r="D40" s="3">
        <v>1030</v>
      </c>
      <c r="E40" s="3">
        <v>524</v>
      </c>
      <c r="F40" s="8"/>
      <c r="H40" s="1"/>
      <c r="I40" s="21"/>
      <c r="J40" s="21"/>
      <c r="K40" s="21"/>
      <c r="L40" s="21"/>
      <c r="M40" s="71"/>
      <c r="S40" s="1"/>
      <c r="T40" s="22"/>
      <c r="U40" s="22"/>
      <c r="V40" s="22"/>
      <c r="W40" s="22"/>
    </row>
    <row r="41" spans="1:23" ht="18" x14ac:dyDescent="0.2">
      <c r="A41" s="2" t="s">
        <v>74</v>
      </c>
      <c r="B41" s="3">
        <v>1030</v>
      </c>
      <c r="C41" s="3">
        <v>1</v>
      </c>
      <c r="D41" s="3">
        <v>1030</v>
      </c>
      <c r="E41" s="3">
        <v>431</v>
      </c>
      <c r="F41" s="8"/>
      <c r="H41" s="1"/>
      <c r="I41" s="21"/>
      <c r="J41" s="21"/>
      <c r="K41" s="21"/>
      <c r="L41" s="21"/>
      <c r="M41" s="71"/>
      <c r="S41" s="1"/>
      <c r="T41" s="22"/>
      <c r="U41" s="22"/>
      <c r="V41" s="22"/>
      <c r="W41" s="22"/>
    </row>
    <row r="42" spans="1:23" ht="18" x14ac:dyDescent="0.2">
      <c r="A42" s="2" t="s">
        <v>75</v>
      </c>
      <c r="B42" s="3">
        <v>1336</v>
      </c>
      <c r="C42" s="3">
        <v>0</v>
      </c>
      <c r="D42" s="3">
        <v>1336</v>
      </c>
      <c r="E42" s="3">
        <v>1047</v>
      </c>
      <c r="F42" s="8"/>
      <c r="H42" s="1"/>
      <c r="I42" s="21"/>
      <c r="J42" s="21"/>
      <c r="K42" s="21"/>
      <c r="L42" s="21"/>
      <c r="M42" s="71"/>
      <c r="S42" s="1"/>
      <c r="T42" s="22"/>
      <c r="U42" s="22"/>
      <c r="V42" s="22"/>
      <c r="W42" s="22"/>
    </row>
    <row r="43" spans="1:23" ht="18" x14ac:dyDescent="0.2">
      <c r="A43" s="2" t="s">
        <v>76</v>
      </c>
      <c r="B43" s="3">
        <v>1300</v>
      </c>
      <c r="C43" s="3">
        <v>0</v>
      </c>
      <c r="D43" s="3">
        <v>1300</v>
      </c>
      <c r="E43" s="3">
        <v>844</v>
      </c>
      <c r="F43" s="8"/>
      <c r="H43" s="1"/>
      <c r="I43" s="21"/>
      <c r="J43" s="21"/>
      <c r="K43" s="21"/>
      <c r="L43" s="21"/>
      <c r="M43" s="71"/>
      <c r="S43" s="1"/>
      <c r="T43" s="22"/>
      <c r="U43" s="22"/>
      <c r="V43" s="22"/>
      <c r="W43" s="22"/>
    </row>
    <row r="44" spans="1:23" ht="18" x14ac:dyDescent="0.2">
      <c r="A44" s="2" t="s">
        <v>77</v>
      </c>
      <c r="B44" s="3">
        <v>20</v>
      </c>
      <c r="C44" s="3">
        <v>0</v>
      </c>
      <c r="D44" s="3">
        <v>20</v>
      </c>
      <c r="E44" s="3">
        <v>12</v>
      </c>
      <c r="F44" s="8"/>
      <c r="H44" s="1"/>
      <c r="I44" s="21"/>
      <c r="J44" s="21"/>
      <c r="K44" s="21"/>
      <c r="L44" s="21"/>
      <c r="M44" s="71"/>
      <c r="S44" s="1"/>
      <c r="T44" s="22"/>
      <c r="U44" s="22"/>
      <c r="V44" s="22"/>
      <c r="W44" s="22"/>
    </row>
    <row r="45" spans="1:23" ht="18" x14ac:dyDescent="0.2">
      <c r="A45" s="2" t="s">
        <v>78</v>
      </c>
      <c r="B45" s="3">
        <v>30</v>
      </c>
      <c r="C45" s="3">
        <v>0</v>
      </c>
      <c r="D45" s="3">
        <v>30</v>
      </c>
      <c r="E45" s="3">
        <v>12</v>
      </c>
      <c r="F45" s="8"/>
      <c r="H45" s="1"/>
      <c r="I45" s="21"/>
      <c r="J45" s="21"/>
      <c r="K45" s="21"/>
      <c r="L45" s="21"/>
      <c r="M45" s="71"/>
      <c r="S45" s="1"/>
      <c r="T45" s="22"/>
      <c r="U45" s="22"/>
      <c r="V45" s="22"/>
      <c r="W45" s="22"/>
    </row>
    <row r="46" spans="1:23" ht="18" x14ac:dyDescent="0.2">
      <c r="A46" s="2" t="s">
        <v>154</v>
      </c>
      <c r="B46" s="3">
        <v>2</v>
      </c>
      <c r="C46" s="3">
        <v>0</v>
      </c>
      <c r="D46" s="3">
        <v>2</v>
      </c>
      <c r="E46" s="3">
        <v>1</v>
      </c>
      <c r="F46" s="8"/>
      <c r="H46" s="1"/>
      <c r="I46" s="21"/>
      <c r="J46" s="21"/>
      <c r="K46" s="21"/>
      <c r="L46" s="21"/>
      <c r="M46" s="71"/>
      <c r="S46" s="1"/>
      <c r="T46" s="22"/>
      <c r="U46" s="22"/>
      <c r="V46" s="22"/>
      <c r="W46" s="22"/>
    </row>
    <row r="47" spans="1:23" ht="18" x14ac:dyDescent="0.2">
      <c r="A47" s="2" t="s">
        <v>79</v>
      </c>
      <c r="B47" s="3">
        <v>50</v>
      </c>
      <c r="C47" s="3">
        <v>0</v>
      </c>
      <c r="D47" s="3">
        <v>50</v>
      </c>
      <c r="E47" s="3">
        <v>17</v>
      </c>
      <c r="F47" s="8"/>
      <c r="H47" s="1"/>
      <c r="I47" s="21"/>
      <c r="J47" s="21"/>
      <c r="K47" s="21"/>
      <c r="L47" s="21"/>
      <c r="M47" s="71"/>
      <c r="S47" s="1"/>
      <c r="T47" s="22"/>
      <c r="U47" s="22"/>
      <c r="V47" s="22"/>
      <c r="W47" s="22"/>
    </row>
    <row r="48" spans="1:23" ht="18" x14ac:dyDescent="0.2">
      <c r="A48" s="2" t="s">
        <v>80</v>
      </c>
      <c r="B48" s="3">
        <v>40</v>
      </c>
      <c r="C48" s="3">
        <v>0</v>
      </c>
      <c r="D48" s="3">
        <v>40</v>
      </c>
      <c r="E48" s="3">
        <v>12</v>
      </c>
      <c r="F48" s="8"/>
    </row>
    <row r="49" spans="1:17" ht="18" x14ac:dyDescent="0.2">
      <c r="A49" s="1"/>
      <c r="B49" s="22"/>
      <c r="C49" s="22"/>
      <c r="D49" s="22"/>
      <c r="E49" s="22"/>
    </row>
    <row r="50" spans="1:17" ht="18" x14ac:dyDescent="0.2">
      <c r="A50" s="1"/>
      <c r="B50" s="22"/>
      <c r="C50" s="22"/>
      <c r="D50" s="22"/>
      <c r="E50" s="22"/>
    </row>
    <row r="51" spans="1:17" ht="18" x14ac:dyDescent="0.2">
      <c r="A51" s="1"/>
      <c r="B51" s="22"/>
      <c r="C51" s="22"/>
      <c r="D51" s="22"/>
      <c r="E51" s="22"/>
    </row>
    <row r="52" spans="1:17" ht="18" x14ac:dyDescent="0.2">
      <c r="A52" s="1"/>
      <c r="B52" s="22"/>
      <c r="C52" s="22"/>
      <c r="D52" s="22"/>
      <c r="E52" s="22"/>
    </row>
    <row r="53" spans="1:17" ht="18" x14ac:dyDescent="0.2">
      <c r="A53" s="1"/>
      <c r="B53" s="22"/>
      <c r="C53" s="22"/>
      <c r="D53" s="22"/>
      <c r="E53" s="22"/>
    </row>
    <row r="54" spans="1:17" ht="18" x14ac:dyDescent="0.2">
      <c r="A54" s="1"/>
      <c r="B54" s="22"/>
      <c r="C54" s="22"/>
      <c r="D54" s="22"/>
      <c r="E54" s="22"/>
    </row>
    <row r="55" spans="1:17" ht="18" x14ac:dyDescent="0.2">
      <c r="A55" s="1"/>
      <c r="B55" s="22"/>
      <c r="C55" s="22"/>
      <c r="D55" s="22"/>
      <c r="E55" s="22"/>
    </row>
    <row r="57" spans="1:17" ht="18" x14ac:dyDescent="0.2">
      <c r="A57" s="2" t="s">
        <v>103</v>
      </c>
      <c r="B57" s="6" t="s">
        <v>86</v>
      </c>
      <c r="C57" s="6" t="s">
        <v>171</v>
      </c>
      <c r="D57" s="6" t="s">
        <v>172</v>
      </c>
      <c r="E57" s="6" t="s">
        <v>169</v>
      </c>
      <c r="F57" s="6" t="s">
        <v>170</v>
      </c>
      <c r="G57" s="6" t="s">
        <v>173</v>
      </c>
      <c r="H57" s="6" t="s">
        <v>174</v>
      </c>
      <c r="L57" s="71"/>
      <c r="M57" s="71"/>
      <c r="N57" s="71"/>
      <c r="O57" s="71"/>
      <c r="P57" s="71"/>
      <c r="Q57" s="71"/>
    </row>
    <row r="58" spans="1:17" ht="18" x14ac:dyDescent="0.2">
      <c r="A58" s="12" t="s">
        <v>69</v>
      </c>
      <c r="B58" s="3">
        <v>24</v>
      </c>
      <c r="C58" s="3">
        <v>316</v>
      </c>
      <c r="D58" s="3">
        <v>626</v>
      </c>
      <c r="E58" s="3">
        <v>275</v>
      </c>
      <c r="F58" s="3">
        <v>608</v>
      </c>
      <c r="G58" s="3">
        <v>468</v>
      </c>
      <c r="H58" s="3">
        <v>869</v>
      </c>
      <c r="L58" s="71"/>
      <c r="M58" s="71"/>
      <c r="N58" s="71"/>
      <c r="O58" s="71"/>
      <c r="P58" s="71"/>
      <c r="Q58" s="71"/>
    </row>
    <row r="59" spans="1:17" ht="18" x14ac:dyDescent="0.2">
      <c r="A59" s="12" t="s">
        <v>70</v>
      </c>
      <c r="B59" s="3">
        <v>29</v>
      </c>
      <c r="C59" s="3">
        <v>31</v>
      </c>
      <c r="D59" s="3">
        <v>34</v>
      </c>
      <c r="E59" s="3">
        <v>34</v>
      </c>
      <c r="F59" s="3">
        <v>34</v>
      </c>
      <c r="G59" s="3">
        <v>40</v>
      </c>
      <c r="H59" s="3">
        <v>37</v>
      </c>
      <c r="L59" s="71"/>
      <c r="M59" s="71"/>
      <c r="N59" s="71"/>
      <c r="O59" s="71"/>
      <c r="P59" s="71"/>
      <c r="Q59" s="71"/>
    </row>
    <row r="60" spans="1:17" ht="18" x14ac:dyDescent="0.2">
      <c r="A60" s="12" t="s">
        <v>71</v>
      </c>
      <c r="B60" s="3">
        <v>5678</v>
      </c>
      <c r="C60" s="3">
        <v>8333</v>
      </c>
      <c r="D60" s="3">
        <v>22217</v>
      </c>
      <c r="E60" s="3">
        <v>8553</v>
      </c>
      <c r="F60" s="3">
        <v>23874</v>
      </c>
      <c r="G60" s="3">
        <v>15426</v>
      </c>
      <c r="H60" s="3">
        <v>23644</v>
      </c>
      <c r="L60" s="71"/>
      <c r="M60" s="71"/>
      <c r="N60" s="71"/>
      <c r="O60" s="71"/>
      <c r="P60" s="71"/>
      <c r="Q60" s="71"/>
    </row>
    <row r="61" spans="1:17" ht="18" x14ac:dyDescent="0.2">
      <c r="A61" s="12" t="s">
        <v>72</v>
      </c>
      <c r="B61" s="3">
        <v>43</v>
      </c>
      <c r="C61" s="3">
        <v>70</v>
      </c>
      <c r="D61" s="3">
        <v>94</v>
      </c>
      <c r="E61" s="3">
        <v>72</v>
      </c>
      <c r="F61" s="3">
        <v>96</v>
      </c>
      <c r="G61" s="3">
        <v>84</v>
      </c>
      <c r="H61" s="3">
        <v>106</v>
      </c>
      <c r="L61" s="71"/>
      <c r="M61" s="71"/>
      <c r="N61" s="71"/>
      <c r="O61" s="71"/>
      <c r="P61" s="71"/>
      <c r="Q61" s="71"/>
    </row>
    <row r="62" spans="1:17" ht="18" x14ac:dyDescent="0.2">
      <c r="A62" s="12" t="s">
        <v>73</v>
      </c>
      <c r="B62" s="3">
        <v>3009</v>
      </c>
      <c r="C62" s="3">
        <v>3276</v>
      </c>
      <c r="D62" s="3">
        <v>39231</v>
      </c>
      <c r="E62" s="3">
        <v>3652</v>
      </c>
      <c r="F62" s="3">
        <v>38149</v>
      </c>
      <c r="G62" s="3">
        <v>17794</v>
      </c>
      <c r="H62" s="3">
        <v>53358</v>
      </c>
      <c r="L62" s="71"/>
      <c r="M62" s="71"/>
      <c r="N62" s="71"/>
      <c r="O62" s="71"/>
      <c r="P62" s="71"/>
      <c r="Q62" s="71"/>
    </row>
    <row r="63" spans="1:17" ht="18" x14ac:dyDescent="0.2">
      <c r="A63" s="12" t="s">
        <v>74</v>
      </c>
      <c r="B63" s="3">
        <v>4001</v>
      </c>
      <c r="C63" s="3">
        <v>41474</v>
      </c>
      <c r="D63" s="3">
        <v>37921</v>
      </c>
      <c r="E63" s="3">
        <v>42512</v>
      </c>
      <c r="F63" s="3">
        <v>38225</v>
      </c>
      <c r="G63" s="3">
        <v>55751</v>
      </c>
      <c r="H63" s="3">
        <v>57987</v>
      </c>
      <c r="L63" s="71"/>
      <c r="M63" s="71"/>
      <c r="N63" s="71"/>
      <c r="O63" s="71"/>
      <c r="P63" s="71"/>
      <c r="Q63" s="71"/>
    </row>
    <row r="64" spans="1:17" ht="18" x14ac:dyDescent="0.2">
      <c r="A64" s="12" t="s">
        <v>75</v>
      </c>
      <c r="B64" s="3">
        <v>3856</v>
      </c>
      <c r="C64" s="3">
        <v>4300</v>
      </c>
      <c r="D64" s="3">
        <v>3584</v>
      </c>
      <c r="E64" s="3">
        <v>3813</v>
      </c>
      <c r="F64" s="3">
        <v>4350</v>
      </c>
      <c r="G64" s="3">
        <v>4447</v>
      </c>
      <c r="H64" s="3">
        <v>3648</v>
      </c>
      <c r="L64" s="71"/>
      <c r="M64" s="71"/>
      <c r="N64" s="71"/>
      <c r="O64" s="71"/>
      <c r="P64" s="71"/>
      <c r="Q64" s="71"/>
    </row>
    <row r="65" spans="1:17" ht="18" x14ac:dyDescent="0.2">
      <c r="A65" s="12" t="s">
        <v>76</v>
      </c>
      <c r="B65" s="3">
        <v>5835</v>
      </c>
      <c r="C65" s="3">
        <v>5810</v>
      </c>
      <c r="D65" s="3">
        <v>5735</v>
      </c>
      <c r="E65" s="3">
        <v>5843</v>
      </c>
      <c r="F65" s="3">
        <v>5476</v>
      </c>
      <c r="G65" s="3">
        <v>5912</v>
      </c>
      <c r="H65" s="3">
        <v>5875</v>
      </c>
      <c r="L65" s="71"/>
      <c r="M65" s="71"/>
      <c r="N65" s="71"/>
      <c r="O65" s="71"/>
      <c r="P65" s="71"/>
      <c r="Q65" s="71"/>
    </row>
    <row r="66" spans="1:17" ht="18" x14ac:dyDescent="0.2">
      <c r="A66" s="12" t="s">
        <v>77</v>
      </c>
      <c r="B66" s="3">
        <v>32</v>
      </c>
      <c r="C66" s="3">
        <v>654</v>
      </c>
      <c r="D66" s="3">
        <v>918</v>
      </c>
      <c r="E66" s="3">
        <v>633</v>
      </c>
      <c r="F66" s="3">
        <v>878</v>
      </c>
      <c r="G66" s="3">
        <v>1091</v>
      </c>
      <c r="H66" s="3">
        <v>1256</v>
      </c>
      <c r="L66" s="71"/>
      <c r="M66" s="71"/>
      <c r="N66" s="71"/>
      <c r="O66" s="71"/>
      <c r="P66" s="71"/>
      <c r="Q66" s="71"/>
    </row>
    <row r="67" spans="1:17" ht="18" x14ac:dyDescent="0.2">
      <c r="A67" s="12" t="s">
        <v>78</v>
      </c>
      <c r="B67" s="3">
        <v>1046</v>
      </c>
      <c r="C67" s="3">
        <v>7584</v>
      </c>
      <c r="D67" s="3">
        <v>9645</v>
      </c>
      <c r="E67" s="3">
        <v>7433</v>
      </c>
      <c r="F67" s="3">
        <v>9041</v>
      </c>
      <c r="G67" s="3">
        <v>11148</v>
      </c>
      <c r="H67" s="3">
        <v>12138</v>
      </c>
      <c r="L67" s="71"/>
      <c r="M67" s="71"/>
      <c r="N67" s="71"/>
      <c r="O67" s="71"/>
      <c r="P67" s="71"/>
      <c r="Q67" s="71"/>
    </row>
    <row r="68" spans="1:17" ht="18" x14ac:dyDescent="0.2">
      <c r="A68" s="12" t="s">
        <v>154</v>
      </c>
      <c r="B68" s="3">
        <v>5910</v>
      </c>
      <c r="C68" s="3">
        <v>6848</v>
      </c>
      <c r="D68" s="3">
        <v>8538</v>
      </c>
      <c r="E68" s="3">
        <v>6839</v>
      </c>
      <c r="F68" s="3">
        <v>7980</v>
      </c>
      <c r="G68" s="3">
        <v>88882</v>
      </c>
      <c r="H68" s="3">
        <v>95050</v>
      </c>
      <c r="L68" s="71"/>
      <c r="M68" s="71"/>
      <c r="N68" s="71"/>
      <c r="O68" s="71"/>
      <c r="P68" s="71"/>
      <c r="Q68" s="71"/>
    </row>
    <row r="69" spans="1:17" ht="18" x14ac:dyDescent="0.2">
      <c r="A69" s="12" t="s">
        <v>79</v>
      </c>
      <c r="B69" s="3">
        <v>470</v>
      </c>
      <c r="C69" s="3">
        <v>3966</v>
      </c>
      <c r="D69" s="3">
        <v>5150</v>
      </c>
      <c r="E69" s="3">
        <v>3750</v>
      </c>
      <c r="F69" s="3">
        <v>4868</v>
      </c>
      <c r="G69" s="3">
        <v>5680</v>
      </c>
      <c r="H69" s="3">
        <v>6685</v>
      </c>
      <c r="L69" s="71"/>
      <c r="M69" s="71"/>
      <c r="N69" s="71"/>
      <c r="O69" s="71"/>
      <c r="P69" s="71"/>
      <c r="Q69" s="71"/>
    </row>
    <row r="70" spans="1:17" ht="18" x14ac:dyDescent="0.2">
      <c r="A70" s="12" t="s">
        <v>80</v>
      </c>
      <c r="B70" s="3">
        <v>57</v>
      </c>
      <c r="C70" s="3">
        <v>515</v>
      </c>
      <c r="D70" s="3">
        <v>675</v>
      </c>
      <c r="E70" s="3">
        <v>556</v>
      </c>
      <c r="F70" s="3">
        <v>679</v>
      </c>
      <c r="G70" s="3">
        <v>737</v>
      </c>
      <c r="H70" s="3">
        <v>839</v>
      </c>
      <c r="L70" s="71"/>
      <c r="M70" s="71"/>
      <c r="N70" s="71"/>
      <c r="O70" s="71"/>
      <c r="P70" s="71"/>
      <c r="Q70" s="71"/>
    </row>
    <row r="71" spans="1:17" ht="18" x14ac:dyDescent="0.2">
      <c r="A71" s="12" t="s">
        <v>178</v>
      </c>
      <c r="B71" s="3">
        <v>704</v>
      </c>
      <c r="C71" s="3">
        <v>1277</v>
      </c>
      <c r="D71" s="3">
        <v>1285</v>
      </c>
      <c r="E71" s="3">
        <v>1275</v>
      </c>
      <c r="F71" s="3">
        <v>1285</v>
      </c>
      <c r="G71" s="3"/>
      <c r="H71" s="3"/>
    </row>
    <row r="72" spans="1:17" ht="18" x14ac:dyDescent="0.2">
      <c r="A72" s="12"/>
      <c r="B72" s="20"/>
      <c r="C72" s="20"/>
      <c r="D72" s="20"/>
    </row>
    <row r="73" spans="1:17" ht="18" x14ac:dyDescent="0.2">
      <c r="A73" s="2" t="s">
        <v>103</v>
      </c>
      <c r="B73" s="6" t="s">
        <v>86</v>
      </c>
      <c r="C73" s="6" t="s">
        <v>171</v>
      </c>
      <c r="D73" s="6" t="s">
        <v>172</v>
      </c>
      <c r="E73" s="6" t="s">
        <v>169</v>
      </c>
      <c r="F73" s="6" t="s">
        <v>170</v>
      </c>
      <c r="G73" s="6" t="s">
        <v>173</v>
      </c>
      <c r="H73" s="6" t="s">
        <v>174</v>
      </c>
    </row>
    <row r="74" spans="1:17" ht="18" x14ac:dyDescent="0.2">
      <c r="A74" s="12" t="s">
        <v>69</v>
      </c>
      <c r="B74" s="20">
        <f>B58/$B58</f>
        <v>1</v>
      </c>
      <c r="C74" s="20">
        <f t="shared" ref="C74:H74" si="2">C58/$B58</f>
        <v>13.166666666666666</v>
      </c>
      <c r="D74" s="20">
        <f t="shared" si="2"/>
        <v>26.083333333333332</v>
      </c>
      <c r="E74" s="20">
        <f t="shared" si="2"/>
        <v>11.458333333333334</v>
      </c>
      <c r="F74" s="20">
        <f t="shared" si="2"/>
        <v>25.333333333333332</v>
      </c>
      <c r="G74" s="20">
        <f t="shared" si="2"/>
        <v>19.5</v>
      </c>
      <c r="H74" s="20">
        <f t="shared" si="2"/>
        <v>36.208333333333336</v>
      </c>
    </row>
    <row r="75" spans="1:17" ht="18" x14ac:dyDescent="0.2">
      <c r="A75" s="12" t="s">
        <v>70</v>
      </c>
      <c r="B75" s="20">
        <f t="shared" ref="B75:B85" si="3">B59/$B59</f>
        <v>1</v>
      </c>
      <c r="C75" s="20">
        <f t="shared" ref="C75:H75" si="4">C59/$B59</f>
        <v>1.0689655172413792</v>
      </c>
      <c r="D75" s="20">
        <f t="shared" si="4"/>
        <v>1.1724137931034482</v>
      </c>
      <c r="E75" s="20">
        <f t="shared" si="4"/>
        <v>1.1724137931034482</v>
      </c>
      <c r="F75" s="20">
        <f t="shared" si="4"/>
        <v>1.1724137931034482</v>
      </c>
      <c r="G75" s="20">
        <f t="shared" si="4"/>
        <v>1.3793103448275863</v>
      </c>
      <c r="H75" s="20">
        <f t="shared" si="4"/>
        <v>1.2758620689655173</v>
      </c>
    </row>
    <row r="76" spans="1:17" ht="18" x14ac:dyDescent="0.2">
      <c r="A76" s="12" t="s">
        <v>71</v>
      </c>
      <c r="B76" s="20">
        <f t="shared" si="3"/>
        <v>1</v>
      </c>
      <c r="C76" s="20">
        <f t="shared" ref="C76:H76" si="5">C60/$B60</f>
        <v>1.4675942233180697</v>
      </c>
      <c r="D76" s="20">
        <f t="shared" si="5"/>
        <v>3.9128214159915462</v>
      </c>
      <c r="E76" s="20">
        <f t="shared" si="5"/>
        <v>1.5063402606551604</v>
      </c>
      <c r="F76" s="20">
        <f t="shared" si="5"/>
        <v>4.2046495244804509</v>
      </c>
      <c r="G76" s="20">
        <f t="shared" si="5"/>
        <v>2.7168016907361747</v>
      </c>
      <c r="H76" s="20">
        <f t="shared" si="5"/>
        <v>4.1641423036280383</v>
      </c>
    </row>
    <row r="77" spans="1:17" ht="18" x14ac:dyDescent="0.2">
      <c r="A77" s="12" t="s">
        <v>72</v>
      </c>
      <c r="B77" s="20">
        <f t="shared" si="3"/>
        <v>1</v>
      </c>
      <c r="C77" s="20">
        <f t="shared" ref="C77:H77" si="6">C61/$B61</f>
        <v>1.6279069767441861</v>
      </c>
      <c r="D77" s="20">
        <f t="shared" si="6"/>
        <v>2.1860465116279069</v>
      </c>
      <c r="E77" s="20">
        <f t="shared" si="6"/>
        <v>1.6744186046511629</v>
      </c>
      <c r="F77" s="20">
        <f t="shared" si="6"/>
        <v>2.2325581395348837</v>
      </c>
      <c r="G77" s="20">
        <f t="shared" si="6"/>
        <v>1.9534883720930232</v>
      </c>
      <c r="H77" s="20">
        <f t="shared" si="6"/>
        <v>2.4651162790697674</v>
      </c>
    </row>
    <row r="78" spans="1:17" ht="18" x14ac:dyDescent="0.2">
      <c r="A78" s="12" t="s">
        <v>73</v>
      </c>
      <c r="B78" s="20">
        <f t="shared" si="3"/>
        <v>1</v>
      </c>
      <c r="C78" s="20">
        <f t="shared" ref="C78:H78" si="7">C62/$B62</f>
        <v>1.0887337986041874</v>
      </c>
      <c r="D78" s="20">
        <f t="shared" si="7"/>
        <v>13.037886340977069</v>
      </c>
      <c r="E78" s="20">
        <f t="shared" si="7"/>
        <v>1.2136922565636423</v>
      </c>
      <c r="F78" s="20">
        <f t="shared" si="7"/>
        <v>12.678298438019276</v>
      </c>
      <c r="G78" s="20">
        <f t="shared" si="7"/>
        <v>5.9135925556663347</v>
      </c>
      <c r="H78" s="20">
        <f t="shared" si="7"/>
        <v>17.732801595214358</v>
      </c>
    </row>
    <row r="79" spans="1:17" ht="18" x14ac:dyDescent="0.2">
      <c r="A79" s="12" t="s">
        <v>74</v>
      </c>
      <c r="B79" s="20">
        <f t="shared" si="3"/>
        <v>1</v>
      </c>
      <c r="C79" s="20">
        <f t="shared" ref="C79:H79" si="8">C63/$B63</f>
        <v>10.365908522869283</v>
      </c>
      <c r="D79" s="20">
        <f t="shared" si="8"/>
        <v>9.4778805298675337</v>
      </c>
      <c r="E79" s="20">
        <f t="shared" si="8"/>
        <v>10.62534366408398</v>
      </c>
      <c r="F79" s="20">
        <f t="shared" si="8"/>
        <v>9.5538615346163454</v>
      </c>
      <c r="G79" s="20">
        <f t="shared" si="8"/>
        <v>13.934266433391652</v>
      </c>
      <c r="H79" s="20">
        <f t="shared" si="8"/>
        <v>14.49312671832042</v>
      </c>
    </row>
    <row r="80" spans="1:17" ht="18" x14ac:dyDescent="0.2">
      <c r="A80" s="12" t="s">
        <v>75</v>
      </c>
      <c r="B80" s="20">
        <f t="shared" si="3"/>
        <v>1</v>
      </c>
      <c r="C80" s="20">
        <f t="shared" ref="C80:H80" si="9">C64/$B64</f>
        <v>1.1151452282157677</v>
      </c>
      <c r="D80" s="20">
        <f t="shared" si="9"/>
        <v>0.9294605809128631</v>
      </c>
      <c r="E80" s="20">
        <f t="shared" si="9"/>
        <v>0.98884854771784236</v>
      </c>
      <c r="F80" s="20">
        <f t="shared" si="9"/>
        <v>1.1281120331950207</v>
      </c>
      <c r="G80" s="20">
        <f t="shared" si="9"/>
        <v>1.1532676348547717</v>
      </c>
      <c r="H80" s="20">
        <f t="shared" si="9"/>
        <v>0.94605809128630702</v>
      </c>
    </row>
    <row r="81" spans="1:8" ht="18" x14ac:dyDescent="0.2">
      <c r="A81" s="12" t="s">
        <v>76</v>
      </c>
      <c r="B81" s="20">
        <f t="shared" si="3"/>
        <v>1</v>
      </c>
      <c r="C81" s="20">
        <f t="shared" ref="C81:H81" si="10">C65/$B65</f>
        <v>0.99571550985432733</v>
      </c>
      <c r="D81" s="20">
        <f t="shared" si="10"/>
        <v>0.98286203941730932</v>
      </c>
      <c r="E81" s="20">
        <f t="shared" si="10"/>
        <v>1.0013710368466153</v>
      </c>
      <c r="F81" s="20">
        <f t="shared" si="10"/>
        <v>0.93847472150814049</v>
      </c>
      <c r="G81" s="20">
        <f t="shared" si="10"/>
        <v>1.0131962296486718</v>
      </c>
      <c r="H81" s="20">
        <f t="shared" si="10"/>
        <v>1.0068551842330762</v>
      </c>
    </row>
    <row r="82" spans="1:8" ht="18" x14ac:dyDescent="0.2">
      <c r="A82" s="12" t="s">
        <v>77</v>
      </c>
      <c r="B82" s="20">
        <f t="shared" si="3"/>
        <v>1</v>
      </c>
      <c r="C82" s="20">
        <f t="shared" ref="C82:H82" si="11">C66/$B66</f>
        <v>20.4375</v>
      </c>
      <c r="D82" s="20">
        <f t="shared" si="11"/>
        <v>28.6875</v>
      </c>
      <c r="E82" s="20">
        <f t="shared" si="11"/>
        <v>19.78125</v>
      </c>
      <c r="F82" s="20">
        <f t="shared" si="11"/>
        <v>27.4375</v>
      </c>
      <c r="G82" s="20">
        <f t="shared" si="11"/>
        <v>34.09375</v>
      </c>
      <c r="H82" s="20">
        <f t="shared" si="11"/>
        <v>39.25</v>
      </c>
    </row>
    <row r="83" spans="1:8" ht="18" x14ac:dyDescent="0.2">
      <c r="A83" s="12" t="s">
        <v>78</v>
      </c>
      <c r="B83" s="20">
        <f t="shared" si="3"/>
        <v>1</v>
      </c>
      <c r="C83" s="20">
        <f t="shared" ref="C83:H83" si="12">C67/$B67</f>
        <v>7.2504780114722758</v>
      </c>
      <c r="D83" s="20">
        <f t="shared" si="12"/>
        <v>9.2208413001912053</v>
      </c>
      <c r="E83" s="20">
        <f t="shared" si="12"/>
        <v>7.1061185468451242</v>
      </c>
      <c r="F83" s="20">
        <f t="shared" si="12"/>
        <v>8.6434034416826009</v>
      </c>
      <c r="G83" s="20">
        <f t="shared" si="12"/>
        <v>10.65774378585086</v>
      </c>
      <c r="H83" s="20">
        <f t="shared" si="12"/>
        <v>11.604206500956023</v>
      </c>
    </row>
    <row r="84" spans="1:8" ht="18" x14ac:dyDescent="0.2">
      <c r="A84" s="12" t="s">
        <v>154</v>
      </c>
      <c r="B84" s="20">
        <f t="shared" si="3"/>
        <v>1</v>
      </c>
      <c r="C84" s="20">
        <f t="shared" ref="C84:H84" si="13">C68/$B68</f>
        <v>1.1587140439932317</v>
      </c>
      <c r="D84" s="20">
        <f t="shared" si="13"/>
        <v>1.4446700507614214</v>
      </c>
      <c r="E84" s="20">
        <f t="shared" si="13"/>
        <v>1.1571912013536378</v>
      </c>
      <c r="F84" s="20">
        <f t="shared" si="13"/>
        <v>1.350253807106599</v>
      </c>
      <c r="G84" s="20">
        <f t="shared" si="13"/>
        <v>15.039255499153976</v>
      </c>
      <c r="H84" s="20">
        <f t="shared" si="13"/>
        <v>16.082910321489003</v>
      </c>
    </row>
    <row r="85" spans="1:8" ht="18" x14ac:dyDescent="0.2">
      <c r="A85" s="12" t="s">
        <v>79</v>
      </c>
      <c r="B85" s="20">
        <f t="shared" si="3"/>
        <v>1</v>
      </c>
      <c r="C85" s="20">
        <f t="shared" ref="C85:H85" si="14">C69/$B69</f>
        <v>8.4382978723404261</v>
      </c>
      <c r="D85" s="20">
        <f t="shared" si="14"/>
        <v>10.957446808510639</v>
      </c>
      <c r="E85" s="20">
        <f t="shared" si="14"/>
        <v>7.9787234042553195</v>
      </c>
      <c r="F85" s="20">
        <f t="shared" si="14"/>
        <v>10.357446808510637</v>
      </c>
      <c r="G85" s="20">
        <f t="shared" si="14"/>
        <v>12.085106382978724</v>
      </c>
      <c r="H85" s="20">
        <f t="shared" si="14"/>
        <v>14.223404255319149</v>
      </c>
    </row>
    <row r="86" spans="1:8" ht="18" x14ac:dyDescent="0.2">
      <c r="A86" s="12" t="s">
        <v>80</v>
      </c>
      <c r="B86" s="20">
        <f>B70/$B70</f>
        <v>1</v>
      </c>
      <c r="C86" s="20">
        <f t="shared" ref="C86:H86" si="15">C70/$B70</f>
        <v>9.0350877192982448</v>
      </c>
      <c r="D86" s="20">
        <f t="shared" si="15"/>
        <v>11.842105263157896</v>
      </c>
      <c r="E86" s="20">
        <f t="shared" si="15"/>
        <v>9.7543859649122808</v>
      </c>
      <c r="F86" s="20">
        <f t="shared" si="15"/>
        <v>11.912280701754385</v>
      </c>
      <c r="G86" s="20">
        <f t="shared" si="15"/>
        <v>12.929824561403509</v>
      </c>
      <c r="H86" s="20">
        <f t="shared" si="15"/>
        <v>14.719298245614034</v>
      </c>
    </row>
    <row r="87" spans="1:8" ht="18" x14ac:dyDescent="0.2">
      <c r="A87" s="12" t="s">
        <v>178</v>
      </c>
      <c r="B87" s="20">
        <f>B71/$B71</f>
        <v>1</v>
      </c>
      <c r="C87" s="20">
        <f t="shared" ref="C87:F87" si="16">C71/$B71</f>
        <v>1.8139204545454546</v>
      </c>
      <c r="D87" s="20">
        <f t="shared" si="16"/>
        <v>1.8252840909090908</v>
      </c>
      <c r="E87" s="20">
        <f t="shared" si="16"/>
        <v>1.8110795454545454</v>
      </c>
      <c r="F87" s="20">
        <f t="shared" si="16"/>
        <v>1.8252840909090908</v>
      </c>
      <c r="G87" s="20"/>
      <c r="H87" s="20"/>
    </row>
    <row r="88" spans="1:8" ht="18" x14ac:dyDescent="0.2">
      <c r="A88" s="12" t="s">
        <v>66</v>
      </c>
      <c r="B88" s="69">
        <f>GEOMEAN(B74:B87)</f>
        <v>1</v>
      </c>
      <c r="C88" s="69">
        <f t="shared" ref="C88:H88" si="17">GEOMEAN(C74:C87)</f>
        <v>3.1624061477852554</v>
      </c>
      <c r="D88" s="69">
        <f t="shared" si="17"/>
        <v>4.7135983861768533</v>
      </c>
      <c r="E88" s="69">
        <f t="shared" si="17"/>
        <v>3.160472407428796</v>
      </c>
      <c r="F88" s="69">
        <f t="shared" si="17"/>
        <v>4.7015256914316828</v>
      </c>
      <c r="G88" s="69">
        <f t="shared" si="17"/>
        <v>5.9508573820413941</v>
      </c>
      <c r="H88" s="69">
        <f t="shared" si="17"/>
        <v>7.3354006353938264</v>
      </c>
    </row>
    <row r="90" spans="1:8" ht="18" x14ac:dyDescent="0.2">
      <c r="A90" s="77" t="s">
        <v>175</v>
      </c>
      <c r="B90" s="77"/>
      <c r="C90" s="77"/>
      <c r="D90" s="77"/>
    </row>
    <row r="92" spans="1:8" ht="18" x14ac:dyDescent="0.2">
      <c r="A92" s="2" t="s">
        <v>103</v>
      </c>
      <c r="B92" s="2" t="s">
        <v>167</v>
      </c>
      <c r="C92" s="2" t="s">
        <v>161</v>
      </c>
      <c r="D92" s="2" t="s">
        <v>168</v>
      </c>
    </row>
    <row r="93" spans="1:8" ht="18" x14ac:dyDescent="0.2">
      <c r="A93" s="12" t="s">
        <v>69</v>
      </c>
      <c r="B93" s="3">
        <v>9151284</v>
      </c>
      <c r="C93" s="3">
        <v>24785460</v>
      </c>
      <c r="D93" s="20">
        <f>(C93/B93)</f>
        <v>2.7084133767458205</v>
      </c>
    </row>
    <row r="94" spans="1:8" ht="18" x14ac:dyDescent="0.2">
      <c r="A94" s="12" t="s">
        <v>70</v>
      </c>
      <c r="B94" s="3">
        <v>1503894</v>
      </c>
      <c r="C94" s="3">
        <v>1608768</v>
      </c>
      <c r="D94" s="20">
        <f t="shared" ref="D94:D106" si="18">(C94/B94)</f>
        <v>1.0697349680230122</v>
      </c>
    </row>
    <row r="95" spans="1:8" ht="18" x14ac:dyDescent="0.2">
      <c r="A95" s="12" t="s">
        <v>71</v>
      </c>
      <c r="B95" s="3">
        <v>536903782</v>
      </c>
      <c r="C95" s="3">
        <v>1610727554</v>
      </c>
      <c r="D95" s="20">
        <f t="shared" si="18"/>
        <v>3.0000301879043199</v>
      </c>
    </row>
    <row r="96" spans="1:8" ht="18" x14ac:dyDescent="0.2">
      <c r="A96" s="12" t="s">
        <v>72</v>
      </c>
      <c r="B96" s="3">
        <v>1921866</v>
      </c>
      <c r="C96" s="3">
        <v>3316631</v>
      </c>
      <c r="D96" s="20">
        <f t="shared" si="18"/>
        <v>1.7257347806766965</v>
      </c>
    </row>
    <row r="97" spans="1:4" ht="18" x14ac:dyDescent="0.2">
      <c r="A97" s="12" t="s">
        <v>73</v>
      </c>
      <c r="B97" s="3">
        <v>12569914</v>
      </c>
      <c r="C97" s="3">
        <v>1469501138</v>
      </c>
      <c r="D97" s="20">
        <f t="shared" si="18"/>
        <v>116.90622051988582</v>
      </c>
    </row>
    <row r="98" spans="1:4" ht="18" x14ac:dyDescent="0.2">
      <c r="A98" s="12" t="s">
        <v>74</v>
      </c>
      <c r="B98" s="3">
        <v>1438610487</v>
      </c>
      <c r="C98" s="3">
        <v>1469370062</v>
      </c>
      <c r="D98" s="20">
        <f t="shared" si="18"/>
        <v>1.0213814477775318</v>
      </c>
    </row>
    <row r="99" spans="1:4" ht="18" x14ac:dyDescent="0.2">
      <c r="A99" s="12" t="s">
        <v>75</v>
      </c>
      <c r="B99" s="3">
        <v>16786581</v>
      </c>
      <c r="C99" s="3">
        <v>16792209</v>
      </c>
      <c r="D99" s="20">
        <f t="shared" si="18"/>
        <v>1.0003352677951514</v>
      </c>
    </row>
    <row r="100" spans="1:4" ht="18" x14ac:dyDescent="0.2">
      <c r="A100" s="12" t="s">
        <v>76</v>
      </c>
      <c r="B100" s="3">
        <v>21394</v>
      </c>
      <c r="C100" s="3">
        <v>22208</v>
      </c>
      <c r="D100" s="20">
        <f t="shared" si="18"/>
        <v>1.03804805085538</v>
      </c>
    </row>
    <row r="101" spans="1:4" ht="18" x14ac:dyDescent="0.2">
      <c r="A101" s="12" t="s">
        <v>77</v>
      </c>
      <c r="B101" s="3">
        <v>22599085</v>
      </c>
      <c r="C101" s="3">
        <v>33546485</v>
      </c>
      <c r="D101" s="20">
        <f t="shared" si="18"/>
        <v>1.4844178425807948</v>
      </c>
    </row>
    <row r="102" spans="1:4" ht="18" x14ac:dyDescent="0.2">
      <c r="A102" s="12" t="s">
        <v>78</v>
      </c>
      <c r="B102" s="3">
        <v>276145915</v>
      </c>
      <c r="C102" s="3">
        <v>368194532</v>
      </c>
      <c r="D102" s="20">
        <f t="shared" si="18"/>
        <v>1.3333332560794897</v>
      </c>
    </row>
    <row r="103" spans="1:4" ht="18" x14ac:dyDescent="0.2">
      <c r="A103" s="12" t="s">
        <v>154</v>
      </c>
      <c r="B103" s="3">
        <v>149675846</v>
      </c>
      <c r="C103" s="3">
        <v>280617280</v>
      </c>
      <c r="D103" s="20">
        <f t="shared" si="18"/>
        <v>1.8748334317081461</v>
      </c>
    </row>
    <row r="104" spans="1:4" ht="18" x14ac:dyDescent="0.2">
      <c r="A104" s="12" t="s">
        <v>79</v>
      </c>
      <c r="B104" s="3">
        <v>115148051</v>
      </c>
      <c r="C104" s="3">
        <v>158703325</v>
      </c>
      <c r="D104" s="20">
        <f t="shared" si="18"/>
        <v>1.3782545481382051</v>
      </c>
    </row>
    <row r="105" spans="1:4" ht="18" x14ac:dyDescent="0.2">
      <c r="A105" s="12" t="s">
        <v>80</v>
      </c>
      <c r="B105" s="3">
        <v>19226156</v>
      </c>
      <c r="C105" s="3">
        <v>23740995</v>
      </c>
      <c r="D105" s="20">
        <f t="shared" si="18"/>
        <v>1.2348279604097667</v>
      </c>
    </row>
    <row r="106" spans="1:4" ht="18" x14ac:dyDescent="0.2">
      <c r="A106" s="12" t="s">
        <v>179</v>
      </c>
      <c r="B106" s="3">
        <v>16011</v>
      </c>
      <c r="C106" s="3">
        <v>20125</v>
      </c>
      <c r="D106" s="20">
        <f t="shared" si="18"/>
        <v>1.2569483480107426</v>
      </c>
    </row>
    <row r="108" spans="1:4" ht="18" x14ac:dyDescent="0.2">
      <c r="A108" s="77" t="s">
        <v>176</v>
      </c>
      <c r="B108" s="77"/>
      <c r="C108" s="77"/>
      <c r="D108" s="77"/>
    </row>
    <row r="109" spans="1:4" ht="18" x14ac:dyDescent="0.2">
      <c r="A109" s="2" t="s">
        <v>103</v>
      </c>
      <c r="B109" s="2" t="s">
        <v>167</v>
      </c>
      <c r="C109" s="2" t="s">
        <v>161</v>
      </c>
      <c r="D109" s="2" t="s">
        <v>168</v>
      </c>
    </row>
    <row r="110" spans="1:4" ht="18" x14ac:dyDescent="0.2">
      <c r="A110" s="12" t="s">
        <v>69</v>
      </c>
      <c r="B110" s="12">
        <v>11820</v>
      </c>
      <c r="C110" s="12">
        <v>11820</v>
      </c>
      <c r="D110" s="20">
        <f>(C110/B110)</f>
        <v>1</v>
      </c>
    </row>
    <row r="111" spans="1:4" ht="18" x14ac:dyDescent="0.2">
      <c r="A111" s="12" t="s">
        <v>70</v>
      </c>
      <c r="B111" s="12">
        <v>42</v>
      </c>
      <c r="C111" s="12">
        <v>42</v>
      </c>
      <c r="D111" s="20">
        <f t="shared" ref="D111:D123" si="19">(C111/B111)</f>
        <v>1</v>
      </c>
    </row>
    <row r="112" spans="1:4" ht="18" x14ac:dyDescent="0.2">
      <c r="A112" s="12" t="s">
        <v>71</v>
      </c>
      <c r="B112" s="12">
        <v>12</v>
      </c>
      <c r="C112" s="12">
        <v>12</v>
      </c>
      <c r="D112" s="20">
        <f t="shared" si="19"/>
        <v>1</v>
      </c>
    </row>
    <row r="113" spans="1:4" ht="18" x14ac:dyDescent="0.2">
      <c r="A113" s="12" t="s">
        <v>72</v>
      </c>
      <c r="B113" s="12">
        <v>23351</v>
      </c>
      <c r="C113" s="12">
        <v>23351</v>
      </c>
      <c r="D113" s="20">
        <f t="shared" si="19"/>
        <v>1</v>
      </c>
    </row>
    <row r="114" spans="1:4" ht="18" x14ac:dyDescent="0.2">
      <c r="A114" s="12" t="s">
        <v>73</v>
      </c>
      <c r="B114" s="12">
        <v>1028</v>
      </c>
      <c r="C114" s="12">
        <v>1028</v>
      </c>
      <c r="D114" s="20">
        <f t="shared" si="19"/>
        <v>1</v>
      </c>
    </row>
    <row r="115" spans="1:4" ht="18" x14ac:dyDescent="0.2">
      <c r="A115" s="12" t="s">
        <v>74</v>
      </c>
      <c r="B115" s="12">
        <v>518</v>
      </c>
      <c r="C115" s="12">
        <v>518</v>
      </c>
      <c r="D115" s="20">
        <f t="shared" si="19"/>
        <v>1</v>
      </c>
    </row>
    <row r="116" spans="1:4" ht="18" x14ac:dyDescent="0.2">
      <c r="A116" s="12" t="s">
        <v>75</v>
      </c>
      <c r="B116" s="12">
        <v>1324</v>
      </c>
      <c r="C116" s="12">
        <v>1324</v>
      </c>
      <c r="D116" s="20">
        <f t="shared" si="19"/>
        <v>1</v>
      </c>
    </row>
    <row r="117" spans="1:4" ht="18" x14ac:dyDescent="0.2">
      <c r="A117" s="12" t="s">
        <v>76</v>
      </c>
      <c r="B117" s="12">
        <v>1293</v>
      </c>
      <c r="C117" s="12">
        <v>1293</v>
      </c>
      <c r="D117" s="20">
        <f t="shared" si="19"/>
        <v>1</v>
      </c>
    </row>
    <row r="118" spans="1:4" ht="18" x14ac:dyDescent="0.2">
      <c r="A118" s="12" t="s">
        <v>77</v>
      </c>
      <c r="B118" s="12">
        <v>8</v>
      </c>
      <c r="C118" s="12">
        <v>8</v>
      </c>
      <c r="D118" s="20">
        <f t="shared" si="19"/>
        <v>1</v>
      </c>
    </row>
    <row r="119" spans="1:4" ht="18" x14ac:dyDescent="0.2">
      <c r="A119" s="12" t="s">
        <v>78</v>
      </c>
      <c r="B119" s="12">
        <v>26</v>
      </c>
      <c r="C119" s="12">
        <v>26</v>
      </c>
      <c r="D119" s="20">
        <f t="shared" si="19"/>
        <v>1</v>
      </c>
    </row>
    <row r="120" spans="1:4" ht="18" x14ac:dyDescent="0.2">
      <c r="A120" s="12" t="s">
        <v>154</v>
      </c>
      <c r="B120" s="12">
        <v>0</v>
      </c>
      <c r="C120" s="12">
        <v>0</v>
      </c>
      <c r="D120" s="20" t="e">
        <f t="shared" si="19"/>
        <v>#DIV/0!</v>
      </c>
    </row>
    <row r="121" spans="1:4" ht="18" x14ac:dyDescent="0.2">
      <c r="A121" s="12" t="s">
        <v>79</v>
      </c>
      <c r="B121" s="12">
        <v>42</v>
      </c>
      <c r="C121" s="12">
        <v>42</v>
      </c>
      <c r="D121" s="20">
        <f t="shared" si="19"/>
        <v>1</v>
      </c>
    </row>
    <row r="122" spans="1:4" ht="18" x14ac:dyDescent="0.2">
      <c r="A122" s="12" t="s">
        <v>80</v>
      </c>
      <c r="B122" s="12">
        <v>38</v>
      </c>
      <c r="C122" s="12">
        <v>38</v>
      </c>
      <c r="D122" s="20">
        <f t="shared" si="19"/>
        <v>1</v>
      </c>
    </row>
    <row r="123" spans="1:4" ht="18" x14ac:dyDescent="0.2">
      <c r="A123" s="12" t="s">
        <v>178</v>
      </c>
      <c r="B123" s="12">
        <v>16000</v>
      </c>
      <c r="C123" s="12">
        <v>16000</v>
      </c>
      <c r="D123" s="20">
        <f t="shared" si="19"/>
        <v>1</v>
      </c>
    </row>
    <row r="126" spans="1:4" ht="18" x14ac:dyDescent="0.2">
      <c r="A126" s="77" t="s">
        <v>177</v>
      </c>
      <c r="B126" s="77"/>
      <c r="C126" s="77"/>
      <c r="D126" s="77"/>
    </row>
    <row r="127" spans="1:4" ht="18" x14ac:dyDescent="0.2">
      <c r="A127" s="2" t="s">
        <v>103</v>
      </c>
      <c r="C127" s="2"/>
      <c r="D127" s="2"/>
    </row>
    <row r="128" spans="1:4" ht="18" x14ac:dyDescent="0.2">
      <c r="A128" s="12" t="s">
        <v>69</v>
      </c>
      <c r="B128" s="2">
        <v>16</v>
      </c>
      <c r="C128" s="12"/>
      <c r="D128" s="20"/>
    </row>
    <row r="129" spans="1:4" ht="18" x14ac:dyDescent="0.2">
      <c r="A129" s="12" t="s">
        <v>70</v>
      </c>
      <c r="B129" s="12">
        <v>9</v>
      </c>
      <c r="C129" s="12"/>
      <c r="D129" s="20"/>
    </row>
    <row r="130" spans="1:4" ht="18" x14ac:dyDescent="0.2">
      <c r="A130" s="12" t="s">
        <v>71</v>
      </c>
      <c r="B130" s="12">
        <v>14</v>
      </c>
      <c r="C130" s="12"/>
      <c r="D130" s="20"/>
    </row>
    <row r="131" spans="1:4" ht="18" x14ac:dyDescent="0.2">
      <c r="A131" s="12" t="s">
        <v>72</v>
      </c>
      <c r="B131" s="12">
        <v>36</v>
      </c>
      <c r="C131" s="12"/>
      <c r="D131" s="20"/>
    </row>
    <row r="132" spans="1:4" ht="18" x14ac:dyDescent="0.2">
      <c r="A132" s="12" t="s">
        <v>73</v>
      </c>
      <c r="B132" s="12">
        <v>14</v>
      </c>
      <c r="C132" s="12"/>
      <c r="D132" s="20"/>
    </row>
    <row r="133" spans="1:4" ht="18" x14ac:dyDescent="0.2">
      <c r="A133" s="12" t="s">
        <v>74</v>
      </c>
      <c r="B133" s="12">
        <v>12</v>
      </c>
      <c r="C133" s="12"/>
      <c r="D133" s="20"/>
    </row>
    <row r="134" spans="1:4" ht="18" x14ac:dyDescent="0.2">
      <c r="A134" s="12" t="s">
        <v>75</v>
      </c>
      <c r="B134" s="12">
        <v>94</v>
      </c>
      <c r="C134" s="12"/>
      <c r="D134" s="20"/>
    </row>
    <row r="135" spans="1:4" ht="18" x14ac:dyDescent="0.2">
      <c r="A135" s="12" t="s">
        <v>76</v>
      </c>
      <c r="B135" s="12">
        <v>100</v>
      </c>
      <c r="C135" s="12"/>
      <c r="D135" s="20"/>
    </row>
    <row r="136" spans="1:4" ht="18" x14ac:dyDescent="0.2">
      <c r="A136" s="12" t="s">
        <v>77</v>
      </c>
      <c r="B136" s="12">
        <v>14</v>
      </c>
      <c r="C136" s="12"/>
      <c r="D136" s="20"/>
    </row>
    <row r="137" spans="1:4" ht="18" x14ac:dyDescent="0.2">
      <c r="A137" s="12" t="s">
        <v>78</v>
      </c>
      <c r="B137" s="12">
        <v>14</v>
      </c>
      <c r="C137" s="12"/>
      <c r="D137" s="20"/>
    </row>
    <row r="138" spans="1:4" ht="18" x14ac:dyDescent="0.2">
      <c r="A138" s="12" t="s">
        <v>154</v>
      </c>
      <c r="B138" s="12">
        <v>2</v>
      </c>
      <c r="C138" s="12"/>
      <c r="D138" s="20"/>
    </row>
    <row r="139" spans="1:4" ht="18" x14ac:dyDescent="0.2">
      <c r="A139" s="12" t="s">
        <v>79</v>
      </c>
      <c r="B139" s="12">
        <v>26</v>
      </c>
      <c r="C139" s="12"/>
      <c r="D139" s="20"/>
    </row>
    <row r="140" spans="1:4" ht="18" x14ac:dyDescent="0.2">
      <c r="A140" s="12" t="s">
        <v>80</v>
      </c>
      <c r="B140" s="12">
        <v>24</v>
      </c>
      <c r="C140" s="12"/>
      <c r="D140" s="20"/>
    </row>
    <row r="141" spans="1:4" ht="18" x14ac:dyDescent="0.2">
      <c r="A141" s="12" t="s">
        <v>178</v>
      </c>
      <c r="B141" s="12">
        <v>4</v>
      </c>
      <c r="C141" s="12"/>
      <c r="D141" s="20"/>
    </row>
    <row r="150" spans="1:6" x14ac:dyDescent="0.2">
      <c r="A150" s="8" t="s">
        <v>220</v>
      </c>
      <c r="B150" s="8" t="s">
        <v>218</v>
      </c>
      <c r="C150" s="8" t="s">
        <v>219</v>
      </c>
    </row>
    <row r="151" spans="1:6" x14ac:dyDescent="0.2">
      <c r="A151" s="72" t="s">
        <v>180</v>
      </c>
      <c r="B151" s="8">
        <v>0</v>
      </c>
      <c r="C151" s="8">
        <v>0</v>
      </c>
    </row>
    <row r="152" spans="1:6" x14ac:dyDescent="0.2">
      <c r="A152" s="8" t="s">
        <v>181</v>
      </c>
      <c r="B152" s="8">
        <v>0</v>
      </c>
      <c r="C152" s="8">
        <v>0</v>
      </c>
    </row>
    <row r="153" spans="1:6" x14ac:dyDescent="0.2">
      <c r="A153" s="8" t="s">
        <v>182</v>
      </c>
      <c r="B153" s="8">
        <v>0</v>
      </c>
      <c r="C153" s="8">
        <v>0</v>
      </c>
      <c r="E153" t="s">
        <v>216</v>
      </c>
      <c r="F153" t="s">
        <v>217</v>
      </c>
    </row>
    <row r="154" spans="1:6" x14ac:dyDescent="0.2">
      <c r="A154" s="8" t="s">
        <v>183</v>
      </c>
      <c r="B154" s="8">
        <v>0</v>
      </c>
      <c r="C154" s="8">
        <v>0</v>
      </c>
      <c r="E154">
        <v>7959</v>
      </c>
      <c r="F154" s="73">
        <v>138072</v>
      </c>
    </row>
    <row r="155" spans="1:6" x14ac:dyDescent="0.2">
      <c r="A155" s="8" t="s">
        <v>184</v>
      </c>
      <c r="B155" s="8">
        <v>0</v>
      </c>
      <c r="C155" s="8">
        <v>0</v>
      </c>
    </row>
    <row r="156" spans="1:6" x14ac:dyDescent="0.2">
      <c r="A156" s="8" t="s">
        <v>185</v>
      </c>
      <c r="B156" s="8">
        <v>0</v>
      </c>
      <c r="C156" s="8">
        <v>0</v>
      </c>
    </row>
    <row r="157" spans="1:6" x14ac:dyDescent="0.2">
      <c r="A157" s="8" t="s">
        <v>186</v>
      </c>
      <c r="B157" s="8">
        <v>0</v>
      </c>
      <c r="C157" s="8">
        <v>1</v>
      </c>
    </row>
    <row r="158" spans="1:6" x14ac:dyDescent="0.2">
      <c r="A158" s="8" t="s">
        <v>187</v>
      </c>
      <c r="B158" s="8">
        <v>0</v>
      </c>
      <c r="C158" s="8">
        <v>1</v>
      </c>
    </row>
    <row r="159" spans="1:6" x14ac:dyDescent="0.2">
      <c r="A159" s="8" t="s">
        <v>188</v>
      </c>
      <c r="B159" s="8">
        <v>0</v>
      </c>
      <c r="C159" s="8">
        <v>1</v>
      </c>
    </row>
    <row r="160" spans="1:6" x14ac:dyDescent="0.2">
      <c r="A160" s="8" t="s">
        <v>189</v>
      </c>
      <c r="B160" s="8">
        <v>1</v>
      </c>
      <c r="C160" s="8">
        <v>1</v>
      </c>
    </row>
    <row r="161" spans="1:3" x14ac:dyDescent="0.2">
      <c r="A161" s="8" t="s">
        <v>190</v>
      </c>
      <c r="B161" s="8">
        <v>3</v>
      </c>
      <c r="C161" s="8">
        <v>1</v>
      </c>
    </row>
    <row r="162" spans="1:3" x14ac:dyDescent="0.2">
      <c r="A162" s="8" t="s">
        <v>191</v>
      </c>
      <c r="B162" s="8">
        <v>8</v>
      </c>
      <c r="C162" s="8">
        <v>1</v>
      </c>
    </row>
    <row r="163" spans="1:3" x14ac:dyDescent="0.2">
      <c r="A163" s="8" t="s">
        <v>192</v>
      </c>
      <c r="B163" s="8">
        <v>0</v>
      </c>
      <c r="C163" s="8">
        <v>5</v>
      </c>
    </row>
    <row r="164" spans="1:3" x14ac:dyDescent="0.2">
      <c r="A164" s="8" t="s">
        <v>193</v>
      </c>
      <c r="B164" s="8">
        <v>1</v>
      </c>
      <c r="C164" s="8">
        <v>5</v>
      </c>
    </row>
    <row r="165" spans="1:3" x14ac:dyDescent="0.2">
      <c r="A165" s="8" t="s">
        <v>194</v>
      </c>
      <c r="B165" s="8">
        <v>1</v>
      </c>
      <c r="C165" s="8">
        <v>5</v>
      </c>
    </row>
    <row r="166" spans="1:3" x14ac:dyDescent="0.2">
      <c r="A166" s="8" t="s">
        <v>195</v>
      </c>
      <c r="B166" s="8">
        <v>3</v>
      </c>
      <c r="C166" s="8">
        <v>5</v>
      </c>
    </row>
    <row r="167" spans="1:3" x14ac:dyDescent="0.2">
      <c r="A167" s="8" t="s">
        <v>196</v>
      </c>
      <c r="B167" s="8">
        <v>8</v>
      </c>
      <c r="C167" s="8">
        <v>5</v>
      </c>
    </row>
    <row r="168" spans="1:3" x14ac:dyDescent="0.2">
      <c r="A168" s="8" t="s">
        <v>197</v>
      </c>
      <c r="B168" s="8">
        <v>17</v>
      </c>
      <c r="C168" s="8">
        <v>5</v>
      </c>
    </row>
    <row r="169" spans="1:3" x14ac:dyDescent="0.2">
      <c r="A169" s="8" t="s">
        <v>198</v>
      </c>
      <c r="B169" s="8">
        <v>0</v>
      </c>
      <c r="C169" s="8">
        <v>19</v>
      </c>
    </row>
    <row r="170" spans="1:3" x14ac:dyDescent="0.2">
      <c r="A170" s="8" t="s">
        <v>199</v>
      </c>
      <c r="B170" s="8">
        <v>2</v>
      </c>
      <c r="C170" s="8">
        <v>20</v>
      </c>
    </row>
    <row r="171" spans="1:3" x14ac:dyDescent="0.2">
      <c r="A171" s="8" t="s">
        <v>200</v>
      </c>
      <c r="B171" s="8">
        <v>3</v>
      </c>
      <c r="C171" s="8">
        <v>20</v>
      </c>
    </row>
    <row r="172" spans="1:3" x14ac:dyDescent="0.2">
      <c r="A172" s="8" t="s">
        <v>201</v>
      </c>
      <c r="B172" s="8">
        <v>7</v>
      </c>
      <c r="C172" s="8">
        <v>19</v>
      </c>
    </row>
    <row r="173" spans="1:3" x14ac:dyDescent="0.2">
      <c r="A173" s="8" t="s">
        <v>202</v>
      </c>
      <c r="B173" s="8">
        <v>19</v>
      </c>
      <c r="C173" s="8">
        <v>19</v>
      </c>
    </row>
    <row r="174" spans="1:3" x14ac:dyDescent="0.2">
      <c r="A174" s="8" t="s">
        <v>203</v>
      </c>
      <c r="B174" s="8">
        <v>33</v>
      </c>
      <c r="C174" s="8">
        <v>20</v>
      </c>
    </row>
    <row r="175" spans="1:3" x14ac:dyDescent="0.2">
      <c r="A175" s="8" t="s">
        <v>204</v>
      </c>
      <c r="B175" s="8">
        <v>0</v>
      </c>
      <c r="C175" s="8">
        <v>85</v>
      </c>
    </row>
    <row r="176" spans="1:3" x14ac:dyDescent="0.2">
      <c r="A176" s="8" t="s">
        <v>205</v>
      </c>
      <c r="B176" s="8">
        <v>3</v>
      </c>
      <c r="C176" s="8">
        <v>85</v>
      </c>
    </row>
    <row r="177" spans="1:3" x14ac:dyDescent="0.2">
      <c r="A177" s="8" t="s">
        <v>206</v>
      </c>
      <c r="B177" s="8">
        <v>8</v>
      </c>
      <c r="C177" s="8">
        <v>85</v>
      </c>
    </row>
    <row r="178" spans="1:3" x14ac:dyDescent="0.2">
      <c r="A178" s="8" t="s">
        <v>207</v>
      </c>
      <c r="B178" s="8">
        <v>16</v>
      </c>
      <c r="C178" s="8">
        <v>85</v>
      </c>
    </row>
    <row r="179" spans="1:3" x14ac:dyDescent="0.2">
      <c r="A179" s="8" t="s">
        <v>208</v>
      </c>
      <c r="B179" s="8">
        <v>34</v>
      </c>
      <c r="C179" s="8">
        <v>85</v>
      </c>
    </row>
    <row r="180" spans="1:3" x14ac:dyDescent="0.2">
      <c r="A180" s="8" t="s">
        <v>209</v>
      </c>
      <c r="B180" s="8">
        <v>67</v>
      </c>
      <c r="C180" s="8">
        <v>85</v>
      </c>
    </row>
    <row r="181" spans="1:3" x14ac:dyDescent="0.2">
      <c r="A181" s="8" t="s">
        <v>210</v>
      </c>
      <c r="B181" s="8">
        <v>0</v>
      </c>
      <c r="C181" s="8">
        <v>350</v>
      </c>
    </row>
    <row r="182" spans="1:3" x14ac:dyDescent="0.2">
      <c r="A182" s="8" t="s">
        <v>211</v>
      </c>
      <c r="B182" s="8">
        <v>8</v>
      </c>
      <c r="C182" s="8">
        <v>350</v>
      </c>
    </row>
    <row r="183" spans="1:3" x14ac:dyDescent="0.2">
      <c r="A183" s="8" t="s">
        <v>212</v>
      </c>
      <c r="B183" s="8">
        <v>20</v>
      </c>
      <c r="C183" s="8">
        <v>348</v>
      </c>
    </row>
    <row r="184" spans="1:3" x14ac:dyDescent="0.2">
      <c r="A184" s="8" t="s">
        <v>213</v>
      </c>
      <c r="B184" s="8">
        <v>42</v>
      </c>
      <c r="C184" s="8">
        <v>350</v>
      </c>
    </row>
    <row r="185" spans="1:3" x14ac:dyDescent="0.2">
      <c r="A185" s="8" t="s">
        <v>214</v>
      </c>
      <c r="B185" s="8">
        <v>87</v>
      </c>
      <c r="C185" s="8">
        <v>355</v>
      </c>
    </row>
    <row r="186" spans="1:3" x14ac:dyDescent="0.2">
      <c r="A186" s="8" t="s">
        <v>215</v>
      </c>
      <c r="B186" s="8">
        <v>130</v>
      </c>
      <c r="C186" s="8">
        <v>350</v>
      </c>
    </row>
    <row r="197" spans="1:8" ht="18" x14ac:dyDescent="0.2">
      <c r="A197" s="2" t="s">
        <v>103</v>
      </c>
      <c r="B197" s="6" t="s">
        <v>86</v>
      </c>
      <c r="C197" s="6" t="s">
        <v>221</v>
      </c>
      <c r="D197" s="6" t="s">
        <v>222</v>
      </c>
      <c r="E197" s="6" t="s">
        <v>169</v>
      </c>
      <c r="F197" s="6" t="s">
        <v>170</v>
      </c>
      <c r="G197" s="6" t="s">
        <v>173</v>
      </c>
      <c r="H197" s="6" t="s">
        <v>174</v>
      </c>
    </row>
    <row r="198" spans="1:8" ht="18" x14ac:dyDescent="0.2">
      <c r="A198" s="12" t="s">
        <v>69</v>
      </c>
      <c r="B198" s="3">
        <v>21</v>
      </c>
      <c r="C198" s="3">
        <v>23</v>
      </c>
      <c r="D198" s="3">
        <v>27</v>
      </c>
      <c r="E198" s="3">
        <v>24</v>
      </c>
      <c r="F198" s="3">
        <v>27</v>
      </c>
      <c r="G198" s="3">
        <v>26</v>
      </c>
      <c r="H198" s="3">
        <v>31</v>
      </c>
    </row>
    <row r="199" spans="1:8" ht="18" x14ac:dyDescent="0.2">
      <c r="A199" s="12" t="s">
        <v>70</v>
      </c>
      <c r="B199" s="3">
        <v>27</v>
      </c>
      <c r="C199" s="3">
        <v>24</v>
      </c>
      <c r="D199" s="3">
        <v>24</v>
      </c>
      <c r="E199" s="3">
        <v>23</v>
      </c>
      <c r="F199" s="3">
        <v>26</v>
      </c>
      <c r="G199" s="3">
        <v>23</v>
      </c>
      <c r="H199" s="3">
        <v>23</v>
      </c>
    </row>
    <row r="200" spans="1:8" ht="18" x14ac:dyDescent="0.2">
      <c r="A200" s="12" t="s">
        <v>71</v>
      </c>
      <c r="B200" s="3">
        <v>5657</v>
      </c>
      <c r="C200" s="3">
        <v>6074</v>
      </c>
      <c r="D200" s="3">
        <v>6277</v>
      </c>
      <c r="E200" s="3">
        <v>5853</v>
      </c>
      <c r="F200" s="3">
        <v>6240</v>
      </c>
      <c r="G200" s="3">
        <v>5956</v>
      </c>
      <c r="H200" s="3">
        <v>6304</v>
      </c>
    </row>
    <row r="201" spans="1:8" ht="18" x14ac:dyDescent="0.2">
      <c r="A201" s="12" t="s">
        <v>72</v>
      </c>
      <c r="B201" s="3">
        <v>42</v>
      </c>
      <c r="C201" s="3">
        <v>42</v>
      </c>
      <c r="D201" s="3">
        <v>42</v>
      </c>
      <c r="E201" s="3">
        <v>42</v>
      </c>
      <c r="F201" s="3">
        <v>42</v>
      </c>
      <c r="G201" s="3">
        <v>42</v>
      </c>
      <c r="H201" s="3">
        <v>43</v>
      </c>
    </row>
    <row r="202" spans="1:8" ht="18" x14ac:dyDescent="0.2">
      <c r="A202" s="12" t="s">
        <v>73</v>
      </c>
      <c r="B202" s="3">
        <v>3003</v>
      </c>
      <c r="C202" s="3">
        <v>2970</v>
      </c>
      <c r="D202" s="3">
        <v>3320</v>
      </c>
      <c r="E202" s="3">
        <v>2958</v>
      </c>
      <c r="F202" s="3">
        <v>3286</v>
      </c>
      <c r="G202" s="3">
        <v>3203</v>
      </c>
      <c r="H202" s="3">
        <v>3497</v>
      </c>
    </row>
    <row r="203" spans="1:8" ht="18" x14ac:dyDescent="0.2">
      <c r="A203" s="12" t="s">
        <v>74</v>
      </c>
      <c r="B203" s="3">
        <v>3998</v>
      </c>
      <c r="C203" s="3">
        <v>4377</v>
      </c>
      <c r="D203" s="3">
        <v>4313</v>
      </c>
      <c r="E203" s="3">
        <v>4241</v>
      </c>
      <c r="F203" s="3">
        <v>4382</v>
      </c>
      <c r="G203" s="3">
        <v>4766</v>
      </c>
      <c r="H203" s="3">
        <v>4572</v>
      </c>
    </row>
    <row r="204" spans="1:8" ht="18" x14ac:dyDescent="0.2">
      <c r="A204" s="12" t="s">
        <v>75</v>
      </c>
      <c r="B204" s="3">
        <v>3716</v>
      </c>
      <c r="C204" s="3">
        <v>3558</v>
      </c>
      <c r="D204" s="3">
        <v>3288</v>
      </c>
      <c r="E204" s="3">
        <v>3663</v>
      </c>
      <c r="F204" s="3">
        <v>3847</v>
      </c>
      <c r="G204" s="3">
        <v>3766</v>
      </c>
      <c r="H204" s="3">
        <v>3144</v>
      </c>
    </row>
    <row r="205" spans="1:8" ht="18" x14ac:dyDescent="0.2">
      <c r="A205" s="12" t="s">
        <v>76</v>
      </c>
      <c r="B205" s="3">
        <v>5512</v>
      </c>
      <c r="C205" s="3">
        <v>5589</v>
      </c>
      <c r="D205" s="3">
        <v>5159</v>
      </c>
      <c r="E205" s="3">
        <v>5223</v>
      </c>
      <c r="F205" s="3">
        <v>5629</v>
      </c>
      <c r="G205" s="3">
        <v>5635</v>
      </c>
      <c r="H205" s="3">
        <v>5637</v>
      </c>
    </row>
    <row r="206" spans="1:8" ht="18" x14ac:dyDescent="0.2">
      <c r="A206" s="12" t="s">
        <v>77</v>
      </c>
      <c r="B206" s="3">
        <v>33</v>
      </c>
      <c r="C206" s="3">
        <v>37</v>
      </c>
      <c r="D206" s="3">
        <v>40</v>
      </c>
      <c r="E206" s="3">
        <v>39</v>
      </c>
      <c r="F206" s="3">
        <v>41</v>
      </c>
      <c r="G206" s="3">
        <v>45</v>
      </c>
      <c r="H206" s="3">
        <v>50</v>
      </c>
    </row>
    <row r="207" spans="1:8" ht="18" x14ac:dyDescent="0.2">
      <c r="A207" s="12" t="s">
        <v>78</v>
      </c>
      <c r="B207" s="3">
        <v>976</v>
      </c>
      <c r="C207" s="3">
        <v>1108</v>
      </c>
      <c r="D207" s="3">
        <v>1067</v>
      </c>
      <c r="E207" s="3">
        <v>1024</v>
      </c>
      <c r="F207" s="3">
        <v>1089</v>
      </c>
      <c r="G207" s="3">
        <v>1157</v>
      </c>
      <c r="H207" s="3">
        <v>1127</v>
      </c>
    </row>
    <row r="208" spans="1:8" ht="18" x14ac:dyDescent="0.2">
      <c r="A208" s="12" t="s">
        <v>154</v>
      </c>
      <c r="B208" s="3">
        <v>5916</v>
      </c>
      <c r="C208" s="3">
        <v>5991</v>
      </c>
      <c r="D208" s="3">
        <v>6265</v>
      </c>
      <c r="E208" s="3">
        <v>6187</v>
      </c>
      <c r="F208" s="3">
        <v>6849</v>
      </c>
      <c r="G208" s="3">
        <v>6765</v>
      </c>
      <c r="H208" s="3">
        <v>7560</v>
      </c>
    </row>
    <row r="209" spans="1:8" ht="18" x14ac:dyDescent="0.2">
      <c r="A209" s="12" t="s">
        <v>79</v>
      </c>
      <c r="B209" s="3">
        <v>466</v>
      </c>
      <c r="C209" s="3">
        <v>518</v>
      </c>
      <c r="D209" s="3">
        <v>532</v>
      </c>
      <c r="E209" s="3">
        <v>541</v>
      </c>
      <c r="F209" s="3">
        <v>549</v>
      </c>
      <c r="G209" s="3">
        <v>542</v>
      </c>
      <c r="H209" s="3">
        <v>559</v>
      </c>
    </row>
    <row r="210" spans="1:8" ht="18" x14ac:dyDescent="0.2">
      <c r="A210" s="12" t="s">
        <v>80</v>
      </c>
      <c r="B210" s="3">
        <v>51</v>
      </c>
      <c r="C210" s="3">
        <v>58</v>
      </c>
      <c r="D210" s="3">
        <v>58</v>
      </c>
      <c r="E210" s="3">
        <v>57</v>
      </c>
      <c r="F210" s="3">
        <v>58</v>
      </c>
      <c r="G210" s="3">
        <v>60</v>
      </c>
      <c r="H210" s="3">
        <v>60</v>
      </c>
    </row>
    <row r="211" spans="1:8" ht="18" x14ac:dyDescent="0.2">
      <c r="A211" s="12" t="s">
        <v>178</v>
      </c>
      <c r="B211" s="3">
        <v>701</v>
      </c>
      <c r="C211" s="3">
        <v>1231</v>
      </c>
      <c r="D211" s="3">
        <v>1287</v>
      </c>
      <c r="E211" s="3">
        <v>1299</v>
      </c>
      <c r="F211" s="3">
        <v>1257</v>
      </c>
      <c r="G211" s="3">
        <v>1207</v>
      </c>
      <c r="H211" s="3">
        <v>1258</v>
      </c>
    </row>
    <row r="214" spans="1:8" ht="18" x14ac:dyDescent="0.2">
      <c r="A214" s="2" t="s">
        <v>103</v>
      </c>
      <c r="B214" s="6" t="s">
        <v>86</v>
      </c>
      <c r="C214" s="6" t="s">
        <v>221</v>
      </c>
      <c r="D214" s="6" t="s">
        <v>222</v>
      </c>
      <c r="E214" s="6" t="s">
        <v>169</v>
      </c>
      <c r="F214" s="6" t="s">
        <v>170</v>
      </c>
      <c r="G214" s="6" t="s">
        <v>173</v>
      </c>
      <c r="H214" s="6" t="s">
        <v>174</v>
      </c>
    </row>
    <row r="215" spans="1:8" ht="18" x14ac:dyDescent="0.2">
      <c r="A215" s="12" t="s">
        <v>69</v>
      </c>
      <c r="B215" s="20">
        <f>B198/$B198</f>
        <v>1</v>
      </c>
      <c r="C215" s="20">
        <f t="shared" ref="C215:H215" si="20">C198/$B198</f>
        <v>1.0952380952380953</v>
      </c>
      <c r="D215" s="20">
        <f t="shared" si="20"/>
        <v>1.2857142857142858</v>
      </c>
      <c r="E215" s="20">
        <f t="shared" si="20"/>
        <v>1.1428571428571428</v>
      </c>
      <c r="F215" s="20">
        <f t="shared" si="20"/>
        <v>1.2857142857142858</v>
      </c>
      <c r="G215" s="20">
        <f t="shared" si="20"/>
        <v>1.2380952380952381</v>
      </c>
      <c r="H215" s="20">
        <f t="shared" si="20"/>
        <v>1.4761904761904763</v>
      </c>
    </row>
    <row r="216" spans="1:8" ht="18" x14ac:dyDescent="0.2">
      <c r="A216" s="12" t="s">
        <v>70</v>
      </c>
      <c r="B216" s="20">
        <f t="shared" ref="B216:H228" si="21">B199/$B199</f>
        <v>1</v>
      </c>
      <c r="C216" s="20">
        <f t="shared" si="21"/>
        <v>0.88888888888888884</v>
      </c>
      <c r="D216" s="20">
        <f t="shared" si="21"/>
        <v>0.88888888888888884</v>
      </c>
      <c r="E216" s="20">
        <f t="shared" si="21"/>
        <v>0.85185185185185186</v>
      </c>
      <c r="F216" s="20">
        <f t="shared" si="21"/>
        <v>0.96296296296296291</v>
      </c>
      <c r="G216" s="20">
        <f t="shared" si="21"/>
        <v>0.85185185185185186</v>
      </c>
      <c r="H216" s="20">
        <f t="shared" si="21"/>
        <v>0.85185185185185186</v>
      </c>
    </row>
    <row r="217" spans="1:8" ht="18" x14ac:dyDescent="0.2">
      <c r="A217" s="12" t="s">
        <v>71</v>
      </c>
      <c r="B217" s="20">
        <f t="shared" si="21"/>
        <v>1</v>
      </c>
      <c r="C217" s="20">
        <f t="shared" si="21"/>
        <v>1.0737139826763302</v>
      </c>
      <c r="D217" s="20">
        <f t="shared" si="21"/>
        <v>1.1095987272405869</v>
      </c>
      <c r="E217" s="20">
        <f t="shared" si="21"/>
        <v>1.0346473395792823</v>
      </c>
      <c r="F217" s="20">
        <f t="shared" si="21"/>
        <v>1.1030581580342937</v>
      </c>
      <c r="G217" s="20">
        <f t="shared" si="21"/>
        <v>1.0528548700724765</v>
      </c>
      <c r="H217" s="20">
        <f t="shared" si="21"/>
        <v>1.1143715750397738</v>
      </c>
    </row>
    <row r="218" spans="1:8" ht="18" x14ac:dyDescent="0.2">
      <c r="A218" s="12" t="s">
        <v>72</v>
      </c>
      <c r="B218" s="20">
        <f t="shared" si="21"/>
        <v>1</v>
      </c>
      <c r="C218" s="20">
        <f t="shared" si="21"/>
        <v>1</v>
      </c>
      <c r="D218" s="20">
        <f t="shared" si="21"/>
        <v>1</v>
      </c>
      <c r="E218" s="20">
        <f t="shared" si="21"/>
        <v>1</v>
      </c>
      <c r="F218" s="20">
        <f t="shared" si="21"/>
        <v>1</v>
      </c>
      <c r="G218" s="20">
        <f t="shared" si="21"/>
        <v>1</v>
      </c>
      <c r="H218" s="20">
        <f t="shared" si="21"/>
        <v>1.0238095238095237</v>
      </c>
    </row>
    <row r="219" spans="1:8" ht="18" x14ac:dyDescent="0.2">
      <c r="A219" s="12" t="s">
        <v>73</v>
      </c>
      <c r="B219" s="20">
        <f t="shared" si="21"/>
        <v>1</v>
      </c>
      <c r="C219" s="20">
        <f t="shared" si="21"/>
        <v>0.98901098901098905</v>
      </c>
      <c r="D219" s="20">
        <f t="shared" si="21"/>
        <v>1.1055611055611057</v>
      </c>
      <c r="E219" s="20">
        <f t="shared" si="21"/>
        <v>0.98501498501498497</v>
      </c>
      <c r="F219" s="20">
        <f t="shared" si="21"/>
        <v>1.0942390942390943</v>
      </c>
      <c r="G219" s="20">
        <f t="shared" si="21"/>
        <v>1.0666000666000666</v>
      </c>
      <c r="H219" s="20">
        <f t="shared" si="21"/>
        <v>1.1645021645021645</v>
      </c>
    </row>
    <row r="220" spans="1:8" ht="18" x14ac:dyDescent="0.2">
      <c r="A220" s="12" t="s">
        <v>74</v>
      </c>
      <c r="B220" s="20">
        <f t="shared" si="21"/>
        <v>1</v>
      </c>
      <c r="C220" s="20">
        <f t="shared" si="21"/>
        <v>1.0947973986993498</v>
      </c>
      <c r="D220" s="20">
        <f t="shared" si="21"/>
        <v>1.0787893946973486</v>
      </c>
      <c r="E220" s="20">
        <f t="shared" si="21"/>
        <v>1.0607803901950976</v>
      </c>
      <c r="F220" s="20">
        <f t="shared" si="21"/>
        <v>1.0960480240120061</v>
      </c>
      <c r="G220" s="20">
        <f t="shared" si="21"/>
        <v>1.1920960480240119</v>
      </c>
      <c r="H220" s="20">
        <f t="shared" si="21"/>
        <v>1.1435717858929464</v>
      </c>
    </row>
    <row r="221" spans="1:8" ht="18" x14ac:dyDescent="0.2">
      <c r="A221" s="12" t="s">
        <v>75</v>
      </c>
      <c r="B221" s="20">
        <f t="shared" si="21"/>
        <v>1</v>
      </c>
      <c r="C221" s="20">
        <f t="shared" si="21"/>
        <v>0.95748116254036597</v>
      </c>
      <c r="D221" s="20">
        <f t="shared" si="21"/>
        <v>0.88482238966630788</v>
      </c>
      <c r="E221" s="20">
        <f t="shared" si="21"/>
        <v>0.98573735199138857</v>
      </c>
      <c r="F221" s="20">
        <f t="shared" si="21"/>
        <v>1.0352529601722282</v>
      </c>
      <c r="G221" s="20">
        <f t="shared" si="21"/>
        <v>1.0134553283100107</v>
      </c>
      <c r="H221" s="20">
        <f t="shared" si="21"/>
        <v>0.84607104413347689</v>
      </c>
    </row>
    <row r="222" spans="1:8" ht="18" x14ac:dyDescent="0.2">
      <c r="A222" s="12" t="s">
        <v>76</v>
      </c>
      <c r="B222" s="20">
        <f t="shared" si="21"/>
        <v>1</v>
      </c>
      <c r="C222" s="20">
        <f t="shared" si="21"/>
        <v>1.0139695210449928</v>
      </c>
      <c r="D222" s="20">
        <f t="shared" si="21"/>
        <v>0.93595791001451378</v>
      </c>
      <c r="E222" s="20">
        <f t="shared" si="21"/>
        <v>0.94756894049346885</v>
      </c>
      <c r="F222" s="20">
        <f t="shared" si="21"/>
        <v>1.0212264150943395</v>
      </c>
      <c r="G222" s="20">
        <f t="shared" si="21"/>
        <v>1.0223149492017416</v>
      </c>
      <c r="H222" s="20">
        <f t="shared" si="21"/>
        <v>1.0226777939042091</v>
      </c>
    </row>
    <row r="223" spans="1:8" ht="18" x14ac:dyDescent="0.2">
      <c r="A223" s="12" t="s">
        <v>77</v>
      </c>
      <c r="B223" s="20">
        <f t="shared" si="21"/>
        <v>1</v>
      </c>
      <c r="C223" s="20">
        <f t="shared" si="21"/>
        <v>1.1212121212121211</v>
      </c>
      <c r="D223" s="20">
        <f t="shared" si="21"/>
        <v>1.2121212121212122</v>
      </c>
      <c r="E223" s="20">
        <f t="shared" si="21"/>
        <v>1.1818181818181819</v>
      </c>
      <c r="F223" s="20">
        <f t="shared" si="21"/>
        <v>1.2424242424242424</v>
      </c>
      <c r="G223" s="20">
        <f t="shared" si="21"/>
        <v>1.3636363636363635</v>
      </c>
      <c r="H223" s="20">
        <f t="shared" si="21"/>
        <v>1.5151515151515151</v>
      </c>
    </row>
    <row r="224" spans="1:8" ht="18" x14ac:dyDescent="0.2">
      <c r="A224" s="12" t="s">
        <v>78</v>
      </c>
      <c r="B224" s="20">
        <f t="shared" si="21"/>
        <v>1</v>
      </c>
      <c r="C224" s="20">
        <f t="shared" si="21"/>
        <v>1.1352459016393444</v>
      </c>
      <c r="D224" s="20">
        <f t="shared" si="21"/>
        <v>1.0932377049180328</v>
      </c>
      <c r="E224" s="20">
        <f t="shared" si="21"/>
        <v>1.0491803278688525</v>
      </c>
      <c r="F224" s="20">
        <f t="shared" si="21"/>
        <v>1.1157786885245902</v>
      </c>
      <c r="G224" s="20">
        <f t="shared" si="21"/>
        <v>1.1854508196721312</v>
      </c>
      <c r="H224" s="20">
        <f t="shared" si="21"/>
        <v>1.1547131147540983</v>
      </c>
    </row>
    <row r="225" spans="1:8" ht="18" x14ac:dyDescent="0.2">
      <c r="A225" s="12" t="s">
        <v>154</v>
      </c>
      <c r="B225" s="20">
        <f t="shared" si="21"/>
        <v>1</v>
      </c>
      <c r="C225" s="20">
        <f t="shared" si="21"/>
        <v>1.0126774847870184</v>
      </c>
      <c r="D225" s="20">
        <f t="shared" si="21"/>
        <v>1.0589925625422583</v>
      </c>
      <c r="E225" s="20">
        <f t="shared" si="21"/>
        <v>1.0458079783637593</v>
      </c>
      <c r="F225" s="20">
        <f t="shared" si="21"/>
        <v>1.1577079107505071</v>
      </c>
      <c r="G225" s="20">
        <f t="shared" si="21"/>
        <v>1.1435091277890466</v>
      </c>
      <c r="H225" s="20">
        <f t="shared" si="21"/>
        <v>1.2778904665314401</v>
      </c>
    </row>
    <row r="226" spans="1:8" ht="18" x14ac:dyDescent="0.2">
      <c r="A226" s="12" t="s">
        <v>79</v>
      </c>
      <c r="B226" s="20">
        <f t="shared" si="21"/>
        <v>1</v>
      </c>
      <c r="C226" s="20">
        <f t="shared" si="21"/>
        <v>1.1115879828326181</v>
      </c>
      <c r="D226" s="20">
        <f t="shared" si="21"/>
        <v>1.1416309012875536</v>
      </c>
      <c r="E226" s="20">
        <f t="shared" si="21"/>
        <v>1.1609442060085837</v>
      </c>
      <c r="F226" s="20">
        <f t="shared" si="21"/>
        <v>1.1781115879828326</v>
      </c>
      <c r="G226" s="20">
        <f t="shared" si="21"/>
        <v>1.1630901287553648</v>
      </c>
      <c r="H226" s="20">
        <f t="shared" si="21"/>
        <v>1.1995708154506437</v>
      </c>
    </row>
    <row r="227" spans="1:8" ht="18" x14ac:dyDescent="0.2">
      <c r="A227" s="12" t="s">
        <v>80</v>
      </c>
      <c r="B227" s="20">
        <f t="shared" si="21"/>
        <v>1</v>
      </c>
      <c r="C227" s="20">
        <f t="shared" si="21"/>
        <v>1.1372549019607843</v>
      </c>
      <c r="D227" s="20">
        <f t="shared" si="21"/>
        <v>1.1372549019607843</v>
      </c>
      <c r="E227" s="20">
        <f t="shared" si="21"/>
        <v>1.1176470588235294</v>
      </c>
      <c r="F227" s="20">
        <f t="shared" si="21"/>
        <v>1.1372549019607843</v>
      </c>
      <c r="G227" s="20">
        <f t="shared" si="21"/>
        <v>1.1764705882352942</v>
      </c>
      <c r="H227" s="20">
        <f t="shared" si="21"/>
        <v>1.1764705882352942</v>
      </c>
    </row>
    <row r="228" spans="1:8" ht="18" x14ac:dyDescent="0.2">
      <c r="A228" s="12" t="s">
        <v>178</v>
      </c>
      <c r="B228" s="20">
        <f t="shared" si="21"/>
        <v>1</v>
      </c>
      <c r="C228" s="20">
        <f t="shared" si="21"/>
        <v>1.7560627674750358</v>
      </c>
      <c r="D228" s="20">
        <f t="shared" si="21"/>
        <v>1.8359486447931526</v>
      </c>
      <c r="E228" s="20">
        <f t="shared" si="21"/>
        <v>1.8530670470756063</v>
      </c>
      <c r="F228" s="20">
        <f t="shared" si="21"/>
        <v>1.7931526390870185</v>
      </c>
      <c r="G228" s="20">
        <f t="shared" si="21"/>
        <v>1.7218259629101285</v>
      </c>
      <c r="H228" s="20">
        <f t="shared" si="21"/>
        <v>1.7945791726105564</v>
      </c>
    </row>
    <row r="230" spans="1:8" ht="18" x14ac:dyDescent="0.2">
      <c r="A230" s="2" t="s">
        <v>103</v>
      </c>
      <c r="B230" s="6" t="s">
        <v>86</v>
      </c>
      <c r="C230" s="6" t="s">
        <v>221</v>
      </c>
      <c r="D230" s="6" t="s">
        <v>222</v>
      </c>
      <c r="E230" s="6" t="s">
        <v>169</v>
      </c>
      <c r="F230" s="6" t="s">
        <v>170</v>
      </c>
      <c r="G230" s="6" t="s">
        <v>173</v>
      </c>
      <c r="H230" s="6" t="s">
        <v>174</v>
      </c>
    </row>
    <row r="231" spans="1:8" ht="18" x14ac:dyDescent="0.2">
      <c r="A231" s="12" t="s">
        <v>69</v>
      </c>
      <c r="B231" s="3"/>
      <c r="C231" s="20">
        <f>C198/$C198</f>
        <v>1</v>
      </c>
      <c r="D231" s="20">
        <f>D198/$C198</f>
        <v>1.173913043478261</v>
      </c>
      <c r="E231" s="20">
        <f>E198/$E198</f>
        <v>1</v>
      </c>
      <c r="F231" s="20">
        <f>F198/$E198</f>
        <v>1.125</v>
      </c>
      <c r="G231" s="20">
        <f>G198/$G198</f>
        <v>1</v>
      </c>
      <c r="H231" s="20">
        <f>H198/$G198</f>
        <v>1.1923076923076923</v>
      </c>
    </row>
    <row r="232" spans="1:8" ht="18" x14ac:dyDescent="0.2">
      <c r="A232" s="12" t="s">
        <v>70</v>
      </c>
      <c r="B232" s="3"/>
      <c r="C232" s="20">
        <f t="shared" ref="C232:D244" si="22">C199/$C199</f>
        <v>1</v>
      </c>
      <c r="D232" s="20">
        <f t="shared" si="22"/>
        <v>1</v>
      </c>
      <c r="E232" s="20">
        <f t="shared" ref="E232:F244" si="23">E199/$E199</f>
        <v>1</v>
      </c>
      <c r="F232" s="20">
        <f t="shared" si="23"/>
        <v>1.1304347826086956</v>
      </c>
      <c r="G232" s="20">
        <f t="shared" ref="G232:H244" si="24">G199/$G199</f>
        <v>1</v>
      </c>
      <c r="H232" s="20">
        <f t="shared" si="24"/>
        <v>1</v>
      </c>
    </row>
    <row r="233" spans="1:8" ht="18" x14ac:dyDescent="0.2">
      <c r="A233" s="12" t="s">
        <v>71</v>
      </c>
      <c r="B233" s="3"/>
      <c r="C233" s="20">
        <f t="shared" si="22"/>
        <v>1</v>
      </c>
      <c r="D233" s="20">
        <f t="shared" si="22"/>
        <v>1.0334211392821864</v>
      </c>
      <c r="E233" s="20">
        <f t="shared" si="23"/>
        <v>1</v>
      </c>
      <c r="F233" s="20">
        <f t="shared" si="23"/>
        <v>1.0661199384930804</v>
      </c>
      <c r="G233" s="20">
        <f t="shared" si="24"/>
        <v>1</v>
      </c>
      <c r="H233" s="20">
        <f t="shared" si="24"/>
        <v>1.058428475486904</v>
      </c>
    </row>
    <row r="234" spans="1:8" ht="18" x14ac:dyDescent="0.2">
      <c r="A234" s="12" t="s">
        <v>72</v>
      </c>
      <c r="B234" s="3"/>
      <c r="C234" s="20">
        <f t="shared" si="22"/>
        <v>1</v>
      </c>
      <c r="D234" s="20">
        <f t="shared" si="22"/>
        <v>1</v>
      </c>
      <c r="E234" s="20">
        <f t="shared" si="23"/>
        <v>1</v>
      </c>
      <c r="F234" s="20">
        <f t="shared" si="23"/>
        <v>1</v>
      </c>
      <c r="G234" s="20">
        <f t="shared" si="24"/>
        <v>1</v>
      </c>
      <c r="H234" s="20">
        <f t="shared" si="24"/>
        <v>1.0238095238095237</v>
      </c>
    </row>
    <row r="235" spans="1:8" ht="18" x14ac:dyDescent="0.2">
      <c r="A235" s="12" t="s">
        <v>73</v>
      </c>
      <c r="B235" s="3"/>
      <c r="C235" s="20">
        <f t="shared" si="22"/>
        <v>1</v>
      </c>
      <c r="D235" s="20">
        <f t="shared" si="22"/>
        <v>1.1178451178451179</v>
      </c>
      <c r="E235" s="20">
        <f t="shared" si="23"/>
        <v>1</v>
      </c>
      <c r="F235" s="20">
        <f t="shared" si="23"/>
        <v>1.1108857336037863</v>
      </c>
      <c r="G235" s="20">
        <f t="shared" si="24"/>
        <v>1</v>
      </c>
      <c r="H235" s="20">
        <f t="shared" si="24"/>
        <v>1.09178894786138</v>
      </c>
    </row>
    <row r="236" spans="1:8" ht="18" x14ac:dyDescent="0.2">
      <c r="A236" s="12" t="s">
        <v>74</v>
      </c>
      <c r="B236" s="3"/>
      <c r="C236" s="20">
        <f t="shared" si="22"/>
        <v>1</v>
      </c>
      <c r="D236" s="20">
        <f t="shared" si="22"/>
        <v>0.98537811286269139</v>
      </c>
      <c r="E236" s="20">
        <f t="shared" si="23"/>
        <v>1</v>
      </c>
      <c r="F236" s="20">
        <f t="shared" si="23"/>
        <v>1.0332468757368545</v>
      </c>
      <c r="G236" s="20">
        <f t="shared" si="24"/>
        <v>1</v>
      </c>
      <c r="H236" s="20">
        <f t="shared" si="24"/>
        <v>0.95929500629458664</v>
      </c>
    </row>
    <row r="237" spans="1:8" ht="18" x14ac:dyDescent="0.2">
      <c r="A237" s="12" t="s">
        <v>75</v>
      </c>
      <c r="B237" s="3"/>
      <c r="C237" s="20">
        <f t="shared" si="22"/>
        <v>1</v>
      </c>
      <c r="D237" s="20">
        <f t="shared" si="22"/>
        <v>0.92411467116357504</v>
      </c>
      <c r="E237" s="20">
        <f t="shared" si="23"/>
        <v>1</v>
      </c>
      <c r="F237" s="20">
        <f t="shared" si="23"/>
        <v>1.0502320502320501</v>
      </c>
      <c r="G237" s="20">
        <f t="shared" si="24"/>
        <v>1</v>
      </c>
      <c r="H237" s="20">
        <f t="shared" si="24"/>
        <v>0.83483802442910249</v>
      </c>
    </row>
    <row r="238" spans="1:8" ht="18" x14ac:dyDescent="0.2">
      <c r="A238" s="12" t="s">
        <v>76</v>
      </c>
      <c r="B238" s="3"/>
      <c r="C238" s="20">
        <f t="shared" si="22"/>
        <v>1</v>
      </c>
      <c r="D238" s="20">
        <f t="shared" si="22"/>
        <v>0.92306315977813558</v>
      </c>
      <c r="E238" s="20">
        <f t="shared" si="23"/>
        <v>1</v>
      </c>
      <c r="F238" s="20">
        <f t="shared" si="23"/>
        <v>1.0777331035803179</v>
      </c>
      <c r="G238" s="20">
        <f t="shared" si="24"/>
        <v>1</v>
      </c>
      <c r="H238" s="20">
        <f t="shared" si="24"/>
        <v>1.000354924578527</v>
      </c>
    </row>
    <row r="239" spans="1:8" ht="18" x14ac:dyDescent="0.2">
      <c r="A239" s="12" t="s">
        <v>77</v>
      </c>
      <c r="B239" s="3"/>
      <c r="C239" s="20">
        <f t="shared" si="22"/>
        <v>1</v>
      </c>
      <c r="D239" s="20">
        <f t="shared" si="22"/>
        <v>1.0810810810810811</v>
      </c>
      <c r="E239" s="20">
        <f t="shared" si="23"/>
        <v>1</v>
      </c>
      <c r="F239" s="20">
        <f t="shared" si="23"/>
        <v>1.0512820512820513</v>
      </c>
      <c r="G239" s="20">
        <f t="shared" si="24"/>
        <v>1</v>
      </c>
      <c r="H239" s="20">
        <f t="shared" si="24"/>
        <v>1.1111111111111112</v>
      </c>
    </row>
    <row r="240" spans="1:8" ht="18" x14ac:dyDescent="0.2">
      <c r="A240" s="12" t="s">
        <v>78</v>
      </c>
      <c r="B240" s="3"/>
      <c r="C240" s="20">
        <f t="shared" si="22"/>
        <v>1</v>
      </c>
      <c r="D240" s="20">
        <f t="shared" si="22"/>
        <v>0.96299638989169678</v>
      </c>
      <c r="E240" s="20">
        <f t="shared" si="23"/>
        <v>1</v>
      </c>
      <c r="F240" s="20">
        <f t="shared" si="23"/>
        <v>1.0634765625</v>
      </c>
      <c r="G240" s="20">
        <f t="shared" si="24"/>
        <v>1</v>
      </c>
      <c r="H240" s="20">
        <f t="shared" si="24"/>
        <v>0.97407087294727746</v>
      </c>
    </row>
    <row r="241" spans="1:8" ht="18" x14ac:dyDescent="0.2">
      <c r="A241" s="12" t="s">
        <v>154</v>
      </c>
      <c r="B241" s="3"/>
      <c r="C241" s="20">
        <f t="shared" si="22"/>
        <v>1</v>
      </c>
      <c r="D241" s="20">
        <f t="shared" si="22"/>
        <v>1.0457352695710231</v>
      </c>
      <c r="E241" s="20">
        <f t="shared" si="23"/>
        <v>1</v>
      </c>
      <c r="F241" s="20">
        <f t="shared" si="23"/>
        <v>1.1069985453369968</v>
      </c>
      <c r="G241" s="20">
        <f t="shared" si="24"/>
        <v>1</v>
      </c>
      <c r="H241" s="20">
        <f t="shared" si="24"/>
        <v>1.1175166297117516</v>
      </c>
    </row>
    <row r="242" spans="1:8" ht="18" x14ac:dyDescent="0.2">
      <c r="A242" s="12" t="s">
        <v>79</v>
      </c>
      <c r="B242" s="3"/>
      <c r="C242" s="20">
        <f t="shared" si="22"/>
        <v>1</v>
      </c>
      <c r="D242" s="20">
        <f t="shared" si="22"/>
        <v>1.027027027027027</v>
      </c>
      <c r="E242" s="20">
        <f t="shared" si="23"/>
        <v>1</v>
      </c>
      <c r="F242" s="20">
        <f t="shared" si="23"/>
        <v>1.0147874306839186</v>
      </c>
      <c r="G242" s="20">
        <f t="shared" si="24"/>
        <v>1</v>
      </c>
      <c r="H242" s="20">
        <f t="shared" si="24"/>
        <v>1.0313653136531364</v>
      </c>
    </row>
    <row r="243" spans="1:8" ht="18" x14ac:dyDescent="0.2">
      <c r="A243" s="12" t="s">
        <v>80</v>
      </c>
      <c r="B243" s="3"/>
      <c r="C243" s="20">
        <f t="shared" si="22"/>
        <v>1</v>
      </c>
      <c r="D243" s="20">
        <f t="shared" si="22"/>
        <v>1</v>
      </c>
      <c r="E243" s="20">
        <f t="shared" si="23"/>
        <v>1</v>
      </c>
      <c r="F243" s="20">
        <f t="shared" si="23"/>
        <v>1.0175438596491229</v>
      </c>
      <c r="G243" s="20">
        <f t="shared" si="24"/>
        <v>1</v>
      </c>
      <c r="H243" s="20">
        <f t="shared" si="24"/>
        <v>1</v>
      </c>
    </row>
    <row r="244" spans="1:8" ht="18" x14ac:dyDescent="0.2">
      <c r="A244" s="12" t="s">
        <v>178</v>
      </c>
      <c r="B244" s="3"/>
      <c r="C244" s="20">
        <f t="shared" si="22"/>
        <v>1</v>
      </c>
      <c r="D244" s="20">
        <f t="shared" si="22"/>
        <v>1.0454914703493094</v>
      </c>
      <c r="E244" s="20">
        <f t="shared" si="23"/>
        <v>1</v>
      </c>
      <c r="F244" s="20">
        <f t="shared" si="23"/>
        <v>0.9676674364896074</v>
      </c>
      <c r="G244" s="20">
        <f t="shared" si="24"/>
        <v>1</v>
      </c>
      <c r="H244" s="20">
        <f t="shared" si="24"/>
        <v>1.0422535211267605</v>
      </c>
    </row>
    <row r="256" spans="1:8" ht="18" x14ac:dyDescent="0.2">
      <c r="A256" s="2" t="s">
        <v>103</v>
      </c>
      <c r="B256" s="2" t="s">
        <v>86</v>
      </c>
      <c r="C256" s="2" t="s">
        <v>221</v>
      </c>
      <c r="D256" s="2" t="s">
        <v>222</v>
      </c>
      <c r="E256" s="2" t="s">
        <v>173</v>
      </c>
      <c r="F256" s="2" t="s">
        <v>174</v>
      </c>
    </row>
    <row r="257" spans="1:6" ht="18" x14ac:dyDescent="0.2">
      <c r="A257" s="12" t="s">
        <v>116</v>
      </c>
      <c r="B257" s="3">
        <v>25970</v>
      </c>
      <c r="C257" s="3">
        <v>45806</v>
      </c>
      <c r="D257" s="3">
        <v>45544</v>
      </c>
      <c r="E257" s="3">
        <v>47082</v>
      </c>
      <c r="F257" s="3">
        <v>46053</v>
      </c>
    </row>
    <row r="258" spans="1:6" ht="18" x14ac:dyDescent="0.2">
      <c r="A258" s="12" t="s">
        <v>117</v>
      </c>
      <c r="B258" s="3">
        <v>39798</v>
      </c>
      <c r="C258" s="3">
        <v>108992</v>
      </c>
      <c r="D258" s="3">
        <v>108491</v>
      </c>
      <c r="E258" s="3">
        <v>110107</v>
      </c>
      <c r="F258" s="3">
        <v>108848</v>
      </c>
    </row>
    <row r="259" spans="1:6" ht="18" x14ac:dyDescent="0.2">
      <c r="A259" s="12" t="s">
        <v>0</v>
      </c>
      <c r="B259" s="3">
        <v>66451</v>
      </c>
      <c r="C259" s="3">
        <v>131286</v>
      </c>
      <c r="D259" s="3">
        <v>130567</v>
      </c>
      <c r="E259" s="3">
        <v>141777</v>
      </c>
      <c r="F259" s="3">
        <v>142786</v>
      </c>
    </row>
    <row r="260" spans="1:6" ht="18" x14ac:dyDescent="0.2">
      <c r="A260" s="12" t="s">
        <v>1</v>
      </c>
      <c r="B260" s="3">
        <v>116294</v>
      </c>
      <c r="C260" s="3">
        <v>123510</v>
      </c>
      <c r="D260" s="3">
        <v>123430</v>
      </c>
      <c r="E260" s="3">
        <v>123547</v>
      </c>
      <c r="F260" s="3">
        <v>123239</v>
      </c>
    </row>
    <row r="261" spans="1:6" ht="18" x14ac:dyDescent="0.2">
      <c r="A261" s="58" t="s">
        <v>157</v>
      </c>
      <c r="B261" s="66">
        <v>38444</v>
      </c>
      <c r="C261" s="66">
        <v>53666</v>
      </c>
      <c r="D261" s="66">
        <v>51606</v>
      </c>
      <c r="E261" s="66">
        <v>60706</v>
      </c>
      <c r="F261" s="66">
        <v>58778</v>
      </c>
    </row>
    <row r="262" spans="1:6" ht="18" x14ac:dyDescent="0.2">
      <c r="A262" s="12" t="s">
        <v>2</v>
      </c>
      <c r="B262" s="3">
        <v>29341</v>
      </c>
      <c r="C262" s="3">
        <v>53457</v>
      </c>
      <c r="D262" s="3">
        <v>52753</v>
      </c>
      <c r="E262" s="3">
        <v>56415</v>
      </c>
      <c r="F262" s="3">
        <v>56045</v>
      </c>
    </row>
    <row r="263" spans="1:6" ht="18" x14ac:dyDescent="0.2">
      <c r="A263" s="12" t="s">
        <v>3</v>
      </c>
      <c r="B263" s="3">
        <v>11136</v>
      </c>
      <c r="C263" s="3">
        <v>21412</v>
      </c>
      <c r="D263" s="3">
        <v>21565</v>
      </c>
      <c r="E263" s="3">
        <v>22860</v>
      </c>
      <c r="F263" s="3">
        <v>22741</v>
      </c>
    </row>
    <row r="264" spans="1:6" ht="18" x14ac:dyDescent="0.2">
      <c r="A264" s="12" t="s">
        <v>4</v>
      </c>
      <c r="B264" s="3">
        <v>38181</v>
      </c>
      <c r="C264" s="3">
        <v>69070</v>
      </c>
      <c r="D264" s="3">
        <v>70081</v>
      </c>
      <c r="E264" s="3">
        <v>72383</v>
      </c>
      <c r="F264" s="3">
        <v>74405</v>
      </c>
    </row>
    <row r="265" spans="1:6" ht="18" x14ac:dyDescent="0.2">
      <c r="A265" s="12" t="s">
        <v>5</v>
      </c>
      <c r="B265" s="3">
        <v>31298</v>
      </c>
      <c r="C265" s="3">
        <v>63174</v>
      </c>
      <c r="D265" s="3">
        <v>63164</v>
      </c>
      <c r="E265" s="3">
        <v>64026</v>
      </c>
      <c r="F265" s="3">
        <v>63789</v>
      </c>
    </row>
    <row r="268" spans="1:6" ht="18" x14ac:dyDescent="0.2">
      <c r="A268" s="2" t="s">
        <v>103</v>
      </c>
      <c r="B268" s="2" t="s">
        <v>86</v>
      </c>
      <c r="C268" s="2" t="s">
        <v>221</v>
      </c>
      <c r="D268" s="2" t="s">
        <v>222</v>
      </c>
      <c r="E268" s="2" t="s">
        <v>173</v>
      </c>
      <c r="F268" s="2" t="s">
        <v>174</v>
      </c>
    </row>
    <row r="269" spans="1:6" ht="18" x14ac:dyDescent="0.2">
      <c r="A269" s="12" t="s">
        <v>116</v>
      </c>
      <c r="B269" s="20">
        <f>B257/$B257</f>
        <v>1</v>
      </c>
      <c r="C269" s="20">
        <f t="shared" ref="C269:F269" si="25">C257/$B257</f>
        <v>1.7638043896804005</v>
      </c>
      <c r="D269" s="20">
        <f t="shared" si="25"/>
        <v>1.7537158259530228</v>
      </c>
      <c r="E269" s="20">
        <f t="shared" si="25"/>
        <v>1.8129380053908355</v>
      </c>
      <c r="F269" s="20">
        <f t="shared" si="25"/>
        <v>1.7733153638814017</v>
      </c>
    </row>
    <row r="270" spans="1:6" ht="18" x14ac:dyDescent="0.2">
      <c r="A270" s="12" t="s">
        <v>117</v>
      </c>
      <c r="B270" s="20">
        <f t="shared" ref="B270:F277" si="26">B258/$B258</f>
        <v>1</v>
      </c>
      <c r="C270" s="20">
        <f t="shared" si="26"/>
        <v>2.738630081913664</v>
      </c>
      <c r="D270" s="20">
        <f t="shared" si="26"/>
        <v>2.7260415096235993</v>
      </c>
      <c r="E270" s="20">
        <f t="shared" si="26"/>
        <v>2.7666465651540277</v>
      </c>
      <c r="F270" s="20">
        <f t="shared" si="26"/>
        <v>2.7350118096386753</v>
      </c>
    </row>
    <row r="271" spans="1:6" ht="18" x14ac:dyDescent="0.2">
      <c r="A271" s="12" t="s">
        <v>0</v>
      </c>
      <c r="B271" s="20">
        <f t="shared" si="26"/>
        <v>1</v>
      </c>
      <c r="C271" s="20">
        <f t="shared" si="26"/>
        <v>1.9756813290996373</v>
      </c>
      <c r="D271" s="20">
        <f t="shared" si="26"/>
        <v>1.9648613263908745</v>
      </c>
      <c r="E271" s="20">
        <f t="shared" si="26"/>
        <v>2.1335570570796527</v>
      </c>
      <c r="F271" s="20">
        <f t="shared" si="26"/>
        <v>2.1487411777098915</v>
      </c>
    </row>
    <row r="272" spans="1:6" ht="18" x14ac:dyDescent="0.2">
      <c r="A272" s="12" t="s">
        <v>1</v>
      </c>
      <c r="B272" s="20">
        <f t="shared" si="26"/>
        <v>1</v>
      </c>
      <c r="C272" s="20">
        <f t="shared" si="26"/>
        <v>1.0620496328271449</v>
      </c>
      <c r="D272" s="20">
        <f t="shared" si="26"/>
        <v>1.0613617211550037</v>
      </c>
      <c r="E272" s="20">
        <f t="shared" si="26"/>
        <v>1.0623677919755103</v>
      </c>
      <c r="F272" s="20">
        <f t="shared" si="26"/>
        <v>1.0597193320377662</v>
      </c>
    </row>
    <row r="273" spans="1:6" ht="18" x14ac:dyDescent="0.2">
      <c r="A273" s="58" t="s">
        <v>157</v>
      </c>
      <c r="B273" s="20">
        <f t="shared" si="26"/>
        <v>1</v>
      </c>
      <c r="C273" s="20">
        <f t="shared" si="26"/>
        <v>1.3959525543647904</v>
      </c>
      <c r="D273" s="20">
        <f t="shared" si="26"/>
        <v>1.3423681198626574</v>
      </c>
      <c r="E273" s="20">
        <f t="shared" si="26"/>
        <v>1.5790760586827592</v>
      </c>
      <c r="F273" s="20">
        <f t="shared" si="26"/>
        <v>1.5289251898865883</v>
      </c>
    </row>
    <row r="274" spans="1:6" ht="18" x14ac:dyDescent="0.2">
      <c r="A274" s="12" t="s">
        <v>2</v>
      </c>
      <c r="B274" s="20">
        <f t="shared" si="26"/>
        <v>1</v>
      </c>
      <c r="C274" s="20">
        <f t="shared" si="26"/>
        <v>1.8219215432330187</v>
      </c>
      <c r="D274" s="20">
        <f t="shared" si="26"/>
        <v>1.7979278143212569</v>
      </c>
      <c r="E274" s="20">
        <f t="shared" si="26"/>
        <v>1.922736103063972</v>
      </c>
      <c r="F274" s="20">
        <f t="shared" si="26"/>
        <v>1.910125762584779</v>
      </c>
    </row>
    <row r="275" spans="1:6" ht="18" x14ac:dyDescent="0.2">
      <c r="A275" s="12" t="s">
        <v>3</v>
      </c>
      <c r="B275" s="20">
        <f t="shared" si="26"/>
        <v>1</v>
      </c>
      <c r="C275" s="20">
        <f t="shared" si="26"/>
        <v>1.9227729885057472</v>
      </c>
      <c r="D275" s="20">
        <f t="shared" si="26"/>
        <v>1.9365122126436782</v>
      </c>
      <c r="E275" s="20">
        <f t="shared" si="26"/>
        <v>2.052801724137931</v>
      </c>
      <c r="F275" s="20">
        <f t="shared" si="26"/>
        <v>2.0421156609195403</v>
      </c>
    </row>
    <row r="276" spans="1:6" ht="18" x14ac:dyDescent="0.2">
      <c r="A276" s="12" t="s">
        <v>4</v>
      </c>
      <c r="B276" s="20">
        <f t="shared" si="26"/>
        <v>1</v>
      </c>
      <c r="C276" s="20">
        <f t="shared" si="26"/>
        <v>1.8090149550823709</v>
      </c>
      <c r="D276" s="20">
        <f t="shared" si="26"/>
        <v>1.8354940939210602</v>
      </c>
      <c r="E276" s="20">
        <f t="shared" si="26"/>
        <v>1.8957858620779968</v>
      </c>
      <c r="F276" s="20">
        <f t="shared" si="26"/>
        <v>1.9487441397553757</v>
      </c>
    </row>
    <row r="277" spans="1:6" ht="18" x14ac:dyDescent="0.2">
      <c r="A277" s="12" t="s">
        <v>5</v>
      </c>
      <c r="B277" s="20">
        <f t="shared" si="26"/>
        <v>1</v>
      </c>
      <c r="C277" s="20">
        <f t="shared" si="26"/>
        <v>2.0184676337146144</v>
      </c>
      <c r="D277" s="20">
        <f t="shared" si="26"/>
        <v>2.0181481244807973</v>
      </c>
      <c r="E277" s="20">
        <f t="shared" si="26"/>
        <v>2.0456898204358107</v>
      </c>
      <c r="F277" s="20">
        <f t="shared" si="26"/>
        <v>2.038117451594351</v>
      </c>
    </row>
    <row r="278" spans="1:6" ht="18" x14ac:dyDescent="0.2">
      <c r="A278" s="8" t="s">
        <v>223</v>
      </c>
      <c r="B278" s="69">
        <f>GEOMEAN(B269:B277)</f>
        <v>1</v>
      </c>
      <c r="C278" s="69">
        <f t="shared" ref="C278:F278" si="27">GEOMEAN(C269:C277)</f>
        <v>1.7817576962365587</v>
      </c>
      <c r="D278" s="69">
        <f t="shared" si="27"/>
        <v>1.7724006753992942</v>
      </c>
      <c r="E278" s="69">
        <f t="shared" si="27"/>
        <v>1.8663866580002677</v>
      </c>
      <c r="F278" s="69">
        <f t="shared" si="27"/>
        <v>1.8562046517131745</v>
      </c>
    </row>
  </sheetData>
  <mergeCells count="3">
    <mergeCell ref="A90:D90"/>
    <mergeCell ref="A108:D108"/>
    <mergeCell ref="A126:D1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Bench status</vt:lpstr>
      <vt:lpstr>Static Dynamic Characteristics</vt:lpstr>
      <vt:lpstr>Static_Overhead_SPEC2017</vt:lpstr>
      <vt:lpstr>Static_Overhead_Splash3</vt:lpstr>
      <vt:lpstr>Dyn_Overhead_SPEC2017</vt:lpstr>
      <vt:lpstr>Dyn_Overhead_Splash3</vt:lpstr>
      <vt:lpstr>Sheet1</vt:lpstr>
      <vt:lpstr>Dyn_Overhead_Splash3-analysis</vt:lpstr>
      <vt:lpstr>Sheet3</vt:lpstr>
      <vt:lpstr>barrier-elision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Kim, Sungkeun</dc:creator>
  <cp:keywords/>
  <dc:description/>
  <cp:lastModifiedBy>Kim, Sungkeun</cp:lastModifiedBy>
  <cp:revision/>
  <dcterms:created xsi:type="dcterms:W3CDTF">2022-06-02T21:10:16Z</dcterms:created>
  <dcterms:modified xsi:type="dcterms:W3CDTF">2023-03-31T13:47:23Z</dcterms:modified>
  <cp:category/>
  <cp:contentStatus/>
</cp:coreProperties>
</file>