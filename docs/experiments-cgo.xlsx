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keunkim/git/DCCE/docs/"/>
    </mc:Choice>
  </mc:AlternateContent>
  <xr:revisionPtr revIDLastSave="0" documentId="13_ncr:1_{714BDB24-11C7-DE47-A475-99A89F923661}" xr6:coauthVersionLast="47" xr6:coauthVersionMax="47" xr10:uidLastSave="{00000000-0000-0000-0000-000000000000}"/>
  <bookViews>
    <workbookView xWindow="0" yWindow="760" windowWidth="30240" windowHeight="17700" firstSheet="4" activeTab="12" xr2:uid="{E6A628A0-BA48-FD4D-9B0A-CC4CBF8BF1CD}"/>
  </bookViews>
  <sheets>
    <sheet name="Bench status" sheetId="11" r:id="rId1"/>
    <sheet name="Static Dynamic Characteristics" sheetId="13" r:id="rId2"/>
    <sheet name="Static_Overhead_SPEC2017" sheetId="23" r:id="rId3"/>
    <sheet name="Static_Overhead_Splash3" sheetId="22" r:id="rId4"/>
    <sheet name="Dyn_Overhead_SPEC2017" sheetId="19" r:id="rId5"/>
    <sheet name="Dyn_Overhead_Splash3" sheetId="20" r:id="rId6"/>
    <sheet name="Sheet1" sheetId="24" r:id="rId7"/>
    <sheet name="Dyn_Overhead_Splash3-analysis" sheetId="25" r:id="rId8"/>
    <sheet name="Sheet3" sheetId="26" r:id="rId9"/>
    <sheet name="barrier-elision" sheetId="28" r:id="rId10"/>
    <sheet name="ase-submission" sheetId="29" r:id="rId11"/>
    <sheet name="cgo-submission" sheetId="30" r:id="rId12"/>
    <sheet name="issta-submission" sheetId="32" r:id="rId13"/>
    <sheet name="Sheet4" sheetId="31" r:id="rId14"/>
  </sheets>
  <definedNames>
    <definedName name="_xlnm._FilterDatabase" localSheetId="0" hidden="1">'Bench status'!$A$1:$I$58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13" i="32" l="1"/>
  <c r="N143" i="32"/>
  <c r="N147" i="32"/>
  <c r="N146" i="32"/>
  <c r="M191" i="32"/>
  <c r="K173" i="32"/>
  <c r="M177" i="32"/>
  <c r="M170" i="32"/>
  <c r="M171" i="32"/>
  <c r="M172" i="32"/>
  <c r="M173" i="32"/>
  <c r="M174" i="32"/>
  <c r="M175" i="32"/>
  <c r="M176" i="32"/>
  <c r="M178" i="32"/>
  <c r="M179" i="32"/>
  <c r="M180" i="32"/>
  <c r="M181" i="32"/>
  <c r="M182" i="32"/>
  <c r="M183" i="32"/>
  <c r="M184" i="32"/>
  <c r="M185" i="32"/>
  <c r="M186" i="32"/>
  <c r="M187" i="32"/>
  <c r="M188" i="32"/>
  <c r="M189" i="32"/>
  <c r="M190" i="32"/>
  <c r="M169" i="32"/>
  <c r="G105" i="32"/>
  <c r="T114" i="32"/>
  <c r="G126" i="32"/>
  <c r="N144" i="32"/>
  <c r="G106" i="32"/>
  <c r="G105" i="31" a="1"/>
  <c r="G105" i="31" s="1"/>
  <c r="G104" i="31" a="1"/>
  <c r="G104" i="31" s="1"/>
  <c r="G103" i="31" a="1"/>
  <c r="G103" i="31" s="1"/>
  <c r="F106" i="32"/>
  <c r="E106" i="32"/>
  <c r="F105" i="32"/>
  <c r="E105" i="32"/>
  <c r="D106" i="32"/>
  <c r="D105" i="32"/>
  <c r="L147" i="32"/>
  <c r="K147" i="32"/>
  <c r="L146" i="32"/>
  <c r="K146" i="32"/>
  <c r="L145" i="32"/>
  <c r="K145" i="32"/>
  <c r="K144" i="32"/>
  <c r="L144" i="32"/>
  <c r="M145" i="32"/>
  <c r="M146" i="32"/>
  <c r="M147" i="32"/>
  <c r="M144" i="32"/>
  <c r="G72" i="32"/>
  <c r="G73" i="32"/>
  <c r="G75" i="32"/>
  <c r="G77" i="32"/>
  <c r="G78" i="32"/>
  <c r="L212" i="32"/>
  <c r="N25" i="32" s="1"/>
  <c r="E81" i="32" s="1"/>
  <c r="L211" i="32"/>
  <c r="L210" i="32"/>
  <c r="N23" i="32" s="1"/>
  <c r="E79" i="32" s="1"/>
  <c r="L128" i="32" s="1"/>
  <c r="L130" i="32" s="1"/>
  <c r="L209" i="32"/>
  <c r="L208" i="32"/>
  <c r="L207" i="32"/>
  <c r="L206" i="32"/>
  <c r="N19" i="32" s="1"/>
  <c r="E75" i="32" s="1"/>
  <c r="L112" i="32" s="1"/>
  <c r="L114" i="32" s="1"/>
  <c r="L205" i="32"/>
  <c r="N18" i="32" s="1"/>
  <c r="E74" i="32" s="1"/>
  <c r="L204" i="32"/>
  <c r="L203" i="32"/>
  <c r="L202" i="32"/>
  <c r="N15" i="32" s="1"/>
  <c r="E71" i="32" s="1"/>
  <c r="L96" i="32" s="1"/>
  <c r="L98" i="32" s="1"/>
  <c r="L201" i="32"/>
  <c r="L200" i="32"/>
  <c r="N13" i="32" s="1"/>
  <c r="E69" i="32" s="1"/>
  <c r="L199" i="32"/>
  <c r="L198" i="32"/>
  <c r="L197" i="32"/>
  <c r="L196" i="32"/>
  <c r="L195" i="32"/>
  <c r="F195" i="32"/>
  <c r="L194" i="32"/>
  <c r="L193" i="32"/>
  <c r="L192" i="32"/>
  <c r="L191" i="32"/>
  <c r="N4" i="32" s="1"/>
  <c r="E56" i="32" s="1"/>
  <c r="P190" i="32"/>
  <c r="F190" i="32"/>
  <c r="P189" i="32"/>
  <c r="F189" i="32"/>
  <c r="P188" i="32"/>
  <c r="F188" i="32"/>
  <c r="P187" i="32"/>
  <c r="F187" i="32"/>
  <c r="P186" i="32"/>
  <c r="F186" i="32"/>
  <c r="P185" i="32"/>
  <c r="F185" i="32"/>
  <c r="P184" i="32"/>
  <c r="F184" i="32"/>
  <c r="P183" i="32"/>
  <c r="F183" i="32"/>
  <c r="P182" i="32"/>
  <c r="F182" i="32"/>
  <c r="P181" i="32"/>
  <c r="F181" i="32"/>
  <c r="P180" i="32"/>
  <c r="F180" i="32"/>
  <c r="P179" i="32"/>
  <c r="F179" i="32"/>
  <c r="P178" i="32"/>
  <c r="F178" i="32"/>
  <c r="P177" i="32"/>
  <c r="F177" i="32"/>
  <c r="P176" i="32"/>
  <c r="F176" i="32"/>
  <c r="P175" i="32"/>
  <c r="F175" i="32"/>
  <c r="P174" i="32"/>
  <c r="F174" i="32"/>
  <c r="P173" i="32"/>
  <c r="F173" i="32"/>
  <c r="P172" i="32"/>
  <c r="F172" i="32"/>
  <c r="P171" i="32"/>
  <c r="F171" i="32"/>
  <c r="P170" i="32"/>
  <c r="F170" i="32"/>
  <c r="P169" i="32"/>
  <c r="F169" i="32"/>
  <c r="D124" i="32"/>
  <c r="E123" i="32"/>
  <c r="D123" i="32"/>
  <c r="E121" i="32"/>
  <c r="L119" i="32"/>
  <c r="L121" i="32" s="1"/>
  <c r="K119" i="32"/>
  <c r="K120" i="32" s="1"/>
  <c r="K121" i="32" s="1"/>
  <c r="K122" i="32" s="1"/>
  <c r="E115" i="32"/>
  <c r="E114" i="32"/>
  <c r="G114" i="32" s="1"/>
  <c r="E113" i="32"/>
  <c r="G113" i="32" s="1"/>
  <c r="E112" i="32"/>
  <c r="Q111" i="32"/>
  <c r="Q112" i="32" s="1"/>
  <c r="K111" i="32"/>
  <c r="K112" i="32" s="1"/>
  <c r="K113" i="32" s="1"/>
  <c r="K114" i="32" s="1"/>
  <c r="E111" i="32"/>
  <c r="E110" i="32"/>
  <c r="Q109" i="32"/>
  <c r="Q110" i="32" s="1"/>
  <c r="E109" i="32"/>
  <c r="Q107" i="32"/>
  <c r="Q108" i="32" s="1"/>
  <c r="K107" i="32"/>
  <c r="K108" i="32" s="1"/>
  <c r="K109" i="32" s="1"/>
  <c r="K110" i="32" s="1"/>
  <c r="E107" i="32"/>
  <c r="G107" i="32" s="1"/>
  <c r="Q105" i="32"/>
  <c r="Q106" i="32" s="1"/>
  <c r="Q103" i="32"/>
  <c r="Q104" i="32" s="1"/>
  <c r="K103" i="32"/>
  <c r="K104" i="32" s="1"/>
  <c r="K105" i="32" s="1"/>
  <c r="K106" i="32" s="1"/>
  <c r="E102" i="32"/>
  <c r="Q101" i="32"/>
  <c r="Q102" i="32" s="1"/>
  <c r="E100" i="32"/>
  <c r="E98" i="32"/>
  <c r="E96" i="32"/>
  <c r="E94" i="32"/>
  <c r="Q92" i="32"/>
  <c r="L92" i="32"/>
  <c r="L94" i="32" s="1"/>
  <c r="E92" i="32"/>
  <c r="R91" i="32"/>
  <c r="Q91" i="32"/>
  <c r="L93" i="32"/>
  <c r="E90" i="32"/>
  <c r="Q89" i="32"/>
  <c r="Q90" i="32" s="1"/>
  <c r="R87" i="32"/>
  <c r="Q87" i="32"/>
  <c r="Q88" i="32" s="1"/>
  <c r="P81" i="32"/>
  <c r="S112" i="32" s="1"/>
  <c r="O81" i="32"/>
  <c r="S111" i="32" s="1"/>
  <c r="N81" i="32"/>
  <c r="M81" i="32"/>
  <c r="L81" i="32"/>
  <c r="R112" i="32" s="1"/>
  <c r="K81" i="32"/>
  <c r="R111" i="32" s="1"/>
  <c r="J81" i="32"/>
  <c r="I81" i="32"/>
  <c r="M138" i="32" s="1"/>
  <c r="H81" i="32"/>
  <c r="G81" i="32"/>
  <c r="F81" i="32"/>
  <c r="M135" i="32" s="1"/>
  <c r="D81" i="32"/>
  <c r="L135" i="32" s="1"/>
  <c r="L137" i="32" s="1"/>
  <c r="C81" i="32"/>
  <c r="K135" i="32" s="1"/>
  <c r="K136" i="32" s="1"/>
  <c r="K137" i="32" s="1"/>
  <c r="K138" i="32" s="1"/>
  <c r="P80" i="32"/>
  <c r="S110" i="32" s="1"/>
  <c r="O80" i="32"/>
  <c r="S109" i="32" s="1"/>
  <c r="N80" i="32"/>
  <c r="M80" i="32"/>
  <c r="L80" i="32"/>
  <c r="K80" i="32"/>
  <c r="J80" i="32"/>
  <c r="R110" i="32" s="1"/>
  <c r="I80" i="32"/>
  <c r="M134" i="32" s="1"/>
  <c r="H80" i="32"/>
  <c r="M133" i="32" s="1"/>
  <c r="G80" i="32"/>
  <c r="F80" i="32"/>
  <c r="M131" i="32" s="1"/>
  <c r="E80" i="32"/>
  <c r="D80" i="32"/>
  <c r="C80" i="32"/>
  <c r="L131" i="32" s="1"/>
  <c r="L133" i="32" s="1"/>
  <c r="P79" i="32"/>
  <c r="N79" i="32"/>
  <c r="M79" i="32"/>
  <c r="L79" i="32"/>
  <c r="S108" i="32" s="1"/>
  <c r="K79" i="32"/>
  <c r="R107" i="32" s="1"/>
  <c r="J79" i="32"/>
  <c r="I79" i="32"/>
  <c r="M130" i="32" s="1"/>
  <c r="H79" i="32"/>
  <c r="M129" i="32" s="1"/>
  <c r="G79" i="32"/>
  <c r="F79" i="32"/>
  <c r="D79" i="32"/>
  <c r="M127" i="32" s="1"/>
  <c r="C79" i="32"/>
  <c r="K127" i="32" s="1"/>
  <c r="K128" i="32" s="1"/>
  <c r="K129" i="32" s="1"/>
  <c r="K130" i="32" s="1"/>
  <c r="P78" i="32"/>
  <c r="S106" i="32" s="1"/>
  <c r="N78" i="32"/>
  <c r="M78" i="32"/>
  <c r="L78" i="32"/>
  <c r="R106" i="32" s="1"/>
  <c r="K78" i="32"/>
  <c r="R105" i="32" s="1"/>
  <c r="J78" i="32"/>
  <c r="I78" i="32"/>
  <c r="H78" i="32"/>
  <c r="M125" i="32" s="1"/>
  <c r="F78" i="32"/>
  <c r="D78" i="32"/>
  <c r="C78" i="32"/>
  <c r="L123" i="32" s="1"/>
  <c r="L125" i="32" s="1"/>
  <c r="P77" i="32"/>
  <c r="S104" i="32" s="1"/>
  <c r="O77" i="32"/>
  <c r="S103" i="32" s="1"/>
  <c r="N77" i="32"/>
  <c r="M77" i="32"/>
  <c r="L77" i="32"/>
  <c r="R104" i="32" s="1"/>
  <c r="K77" i="32"/>
  <c r="R103" i="32" s="1"/>
  <c r="J77" i="32"/>
  <c r="I77" i="32"/>
  <c r="M122" i="32" s="1"/>
  <c r="H77" i="32"/>
  <c r="M121" i="32" s="1"/>
  <c r="F77" i="32"/>
  <c r="M119" i="32" s="1"/>
  <c r="D77" i="32"/>
  <c r="C77" i="32"/>
  <c r="P76" i="32"/>
  <c r="S102" i="32" s="1"/>
  <c r="N76" i="32"/>
  <c r="M76" i="32"/>
  <c r="L76" i="32"/>
  <c r="R102" i="32" s="1"/>
  <c r="K76" i="32"/>
  <c r="K82" i="32" s="1"/>
  <c r="J76" i="32"/>
  <c r="I76" i="32"/>
  <c r="M118" i="32" s="1"/>
  <c r="H76" i="32"/>
  <c r="M117" i="32" s="1"/>
  <c r="G76" i="32"/>
  <c r="F76" i="32"/>
  <c r="M115" i="32" s="1"/>
  <c r="E76" i="32"/>
  <c r="L116" i="32" s="1"/>
  <c r="L118" i="32" s="1"/>
  <c r="D76" i="32"/>
  <c r="L115" i="32" s="1"/>
  <c r="L117" i="32" s="1"/>
  <c r="C76" i="32"/>
  <c r="K115" i="32" s="1"/>
  <c r="K116" i="32" s="1"/>
  <c r="K117" i="32" s="1"/>
  <c r="K118" i="32" s="1"/>
  <c r="P75" i="32"/>
  <c r="S100" i="32" s="1"/>
  <c r="N75" i="32"/>
  <c r="M75" i="32"/>
  <c r="L75" i="32"/>
  <c r="K75" i="32"/>
  <c r="R99" i="32" s="1"/>
  <c r="J75" i="32"/>
  <c r="R100" i="32" s="1"/>
  <c r="I75" i="32"/>
  <c r="H75" i="32"/>
  <c r="M113" i="32" s="1"/>
  <c r="F75" i="32"/>
  <c r="M111" i="32" s="1"/>
  <c r="D75" i="32"/>
  <c r="L111" i="32" s="1"/>
  <c r="L113" i="32" s="1"/>
  <c r="C75" i="32"/>
  <c r="P74" i="32"/>
  <c r="S98" i="32" s="1"/>
  <c r="N74" i="32"/>
  <c r="M74" i="32"/>
  <c r="L74" i="32"/>
  <c r="R98" i="32" s="1"/>
  <c r="K74" i="32"/>
  <c r="R97" i="32" s="1"/>
  <c r="J74" i="32"/>
  <c r="Q97" i="32" s="1"/>
  <c r="Q98" i="32" s="1"/>
  <c r="I74" i="32"/>
  <c r="H74" i="32"/>
  <c r="G74" i="32"/>
  <c r="M108" i="32" s="1"/>
  <c r="F74" i="32"/>
  <c r="M107" i="32" s="1"/>
  <c r="D74" i="32"/>
  <c r="M109" i="32" s="1"/>
  <c r="C74" i="32"/>
  <c r="P73" i="32"/>
  <c r="S96" i="32" s="1"/>
  <c r="O73" i="32"/>
  <c r="S95" i="32" s="1"/>
  <c r="N73" i="32"/>
  <c r="M73" i="32"/>
  <c r="L73" i="32"/>
  <c r="K73" i="32"/>
  <c r="R95" i="32" s="1"/>
  <c r="J73" i="32"/>
  <c r="R96" i="32" s="1"/>
  <c r="I73" i="32"/>
  <c r="M106" i="32" s="1"/>
  <c r="H73" i="32"/>
  <c r="M105" i="32" s="1"/>
  <c r="F73" i="32"/>
  <c r="M103" i="32" s="1"/>
  <c r="E73" i="32"/>
  <c r="L104" i="32" s="1"/>
  <c r="L106" i="32" s="1"/>
  <c r="D73" i="32"/>
  <c r="L103" i="32" s="1"/>
  <c r="L105" i="32" s="1"/>
  <c r="C73" i="32"/>
  <c r="P72" i="32"/>
  <c r="S94" i="32" s="1"/>
  <c r="O72" i="32"/>
  <c r="S93" i="32" s="1"/>
  <c r="N72" i="32"/>
  <c r="M72" i="32"/>
  <c r="L72" i="32"/>
  <c r="R94" i="32" s="1"/>
  <c r="K72" i="32"/>
  <c r="R93" i="32" s="1"/>
  <c r="J72" i="32"/>
  <c r="Q93" i="32" s="1"/>
  <c r="Q94" i="32" s="1"/>
  <c r="I72" i="32"/>
  <c r="H72" i="32"/>
  <c r="M101" i="32" s="1"/>
  <c r="F72" i="32"/>
  <c r="D72" i="32"/>
  <c r="M99" i="32" s="1"/>
  <c r="C72" i="32"/>
  <c r="K99" i="32" s="1"/>
  <c r="K100" i="32" s="1"/>
  <c r="K101" i="32" s="1"/>
  <c r="K102" i="32" s="1"/>
  <c r="P71" i="32"/>
  <c r="S92" i="32" s="1"/>
  <c r="O71" i="32"/>
  <c r="S91" i="32" s="1"/>
  <c r="N71" i="32"/>
  <c r="M71" i="32"/>
  <c r="L71" i="32"/>
  <c r="R92" i="32" s="1"/>
  <c r="K71" i="32"/>
  <c r="J71" i="32"/>
  <c r="I71" i="32"/>
  <c r="M98" i="32" s="1"/>
  <c r="H71" i="32"/>
  <c r="M97" i="32" s="1"/>
  <c r="G71" i="32"/>
  <c r="F71" i="32"/>
  <c r="M95" i="32" s="1"/>
  <c r="D71" i="32"/>
  <c r="L95" i="32" s="1"/>
  <c r="L97" i="32" s="1"/>
  <c r="C71" i="32"/>
  <c r="K95" i="32" s="1"/>
  <c r="K96" i="32" s="1"/>
  <c r="K97" i="32" s="1"/>
  <c r="K98" i="32" s="1"/>
  <c r="P70" i="32"/>
  <c r="P82" i="32" s="1"/>
  <c r="N70" i="32"/>
  <c r="N82" i="32" s="1"/>
  <c r="N83" i="32" s="1"/>
  <c r="M70" i="32"/>
  <c r="M82" i="32" s="1"/>
  <c r="L70" i="32"/>
  <c r="R90" i="32" s="1"/>
  <c r="K70" i="32"/>
  <c r="R89" i="32" s="1"/>
  <c r="J70" i="32"/>
  <c r="J82" i="32" s="1"/>
  <c r="Q113" i="32" s="1"/>
  <c r="Q114" i="32" s="1"/>
  <c r="I70" i="32"/>
  <c r="S74" i="32" s="1"/>
  <c r="H70" i="32"/>
  <c r="R74" i="32" s="1"/>
  <c r="S75" i="32" s="1"/>
  <c r="G70" i="32"/>
  <c r="F70" i="32"/>
  <c r="E70" i="32"/>
  <c r="D70" i="32"/>
  <c r="C70" i="32"/>
  <c r="K91" i="32" s="1"/>
  <c r="K92" i="32" s="1"/>
  <c r="K93" i="32" s="1"/>
  <c r="K94" i="32" s="1"/>
  <c r="P69" i="32"/>
  <c r="S88" i="32" s="1"/>
  <c r="N69" i="32"/>
  <c r="M69" i="32"/>
  <c r="L69" i="32"/>
  <c r="R88" i="32" s="1"/>
  <c r="K69" i="32"/>
  <c r="J69" i="32"/>
  <c r="I69" i="32"/>
  <c r="H69" i="32"/>
  <c r="M90" i="32" s="1"/>
  <c r="G69" i="32"/>
  <c r="F69" i="32"/>
  <c r="F82" i="32" s="1"/>
  <c r="D69" i="32"/>
  <c r="D82" i="32" s="1"/>
  <c r="C69" i="32"/>
  <c r="C82" i="32" s="1"/>
  <c r="O65" i="32"/>
  <c r="F125" i="32" s="1"/>
  <c r="J65" i="32"/>
  <c r="D125" i="32" s="1"/>
  <c r="D126" i="32" s="1"/>
  <c r="C65" i="32"/>
  <c r="P64" i="32"/>
  <c r="P65" i="32" s="1"/>
  <c r="O64" i="32"/>
  <c r="F123" i="32" s="1"/>
  <c r="L64" i="32"/>
  <c r="E124" i="32" s="1"/>
  <c r="K64" i="32"/>
  <c r="J64" i="32"/>
  <c r="I64" i="32"/>
  <c r="F104" i="32" s="1"/>
  <c r="H64" i="32"/>
  <c r="F103" i="32" s="1"/>
  <c r="E64" i="32"/>
  <c r="D64" i="32"/>
  <c r="C64" i="32"/>
  <c r="D104" i="32" s="1"/>
  <c r="G104" i="32" s="1"/>
  <c r="P63" i="32"/>
  <c r="O63" i="32"/>
  <c r="F121" i="32" s="1"/>
  <c r="L63" i="32"/>
  <c r="F122" i="32" s="1"/>
  <c r="K63" i="32"/>
  <c r="J63" i="32"/>
  <c r="D121" i="32" s="1"/>
  <c r="D122" i="32" s="1"/>
  <c r="I63" i="32"/>
  <c r="F102" i="32" s="1"/>
  <c r="H63" i="32"/>
  <c r="F101" i="32" s="1"/>
  <c r="E63" i="32"/>
  <c r="D63" i="32"/>
  <c r="E101" i="32" s="1"/>
  <c r="C63" i="32"/>
  <c r="D102" i="32" s="1"/>
  <c r="P62" i="32"/>
  <c r="O62" i="32"/>
  <c r="F119" i="32" s="1"/>
  <c r="L62" i="32"/>
  <c r="F120" i="32" s="1"/>
  <c r="K62" i="32"/>
  <c r="E119" i="32" s="1"/>
  <c r="J62" i="32"/>
  <c r="D119" i="32" s="1"/>
  <c r="D120" i="32" s="1"/>
  <c r="I62" i="32"/>
  <c r="F100" i="32" s="1"/>
  <c r="H62" i="32"/>
  <c r="F99" i="32" s="1"/>
  <c r="E62" i="32"/>
  <c r="D62" i="32"/>
  <c r="E99" i="32" s="1"/>
  <c r="C62" i="32"/>
  <c r="D100" i="32" s="1"/>
  <c r="P61" i="32"/>
  <c r="O61" i="32"/>
  <c r="F117" i="32" s="1"/>
  <c r="L61" i="32"/>
  <c r="E118" i="32" s="1"/>
  <c r="K61" i="32"/>
  <c r="E117" i="32" s="1"/>
  <c r="J61" i="32"/>
  <c r="D117" i="32" s="1"/>
  <c r="D118" i="32" s="1"/>
  <c r="I61" i="32"/>
  <c r="F98" i="32" s="1"/>
  <c r="H61" i="32"/>
  <c r="F97" i="32" s="1"/>
  <c r="E61" i="32"/>
  <c r="D61" i="32"/>
  <c r="E97" i="32" s="1"/>
  <c r="C61" i="32"/>
  <c r="D98" i="32" s="1"/>
  <c r="P60" i="32"/>
  <c r="F116" i="32" s="1"/>
  <c r="O60" i="32"/>
  <c r="F115" i="32" s="1"/>
  <c r="L60" i="32"/>
  <c r="E116" i="32" s="1"/>
  <c r="K60" i="32"/>
  <c r="J60" i="32"/>
  <c r="D115" i="32" s="1"/>
  <c r="D116" i="32" s="1"/>
  <c r="I60" i="32"/>
  <c r="F96" i="32" s="1"/>
  <c r="H60" i="32"/>
  <c r="F95" i="32" s="1"/>
  <c r="E60" i="32"/>
  <c r="D60" i="32"/>
  <c r="E95" i="32" s="1"/>
  <c r="C60" i="32"/>
  <c r="D96" i="32" s="1"/>
  <c r="P59" i="32"/>
  <c r="O59" i="32"/>
  <c r="F113" i="32" s="1"/>
  <c r="L59" i="32"/>
  <c r="F114" i="32" s="1"/>
  <c r="K59" i="32"/>
  <c r="J59" i="32"/>
  <c r="D113" i="32" s="1"/>
  <c r="D114" i="32" s="1"/>
  <c r="I59" i="32"/>
  <c r="F94" i="32" s="1"/>
  <c r="H59" i="32"/>
  <c r="F93" i="32" s="1"/>
  <c r="E59" i="32"/>
  <c r="D59" i="32"/>
  <c r="E93" i="32" s="1"/>
  <c r="C59" i="32"/>
  <c r="D94" i="32" s="1"/>
  <c r="P58" i="32"/>
  <c r="O58" i="32"/>
  <c r="F111" i="32" s="1"/>
  <c r="L58" i="32"/>
  <c r="F112" i="32" s="1"/>
  <c r="K58" i="32"/>
  <c r="J58" i="32"/>
  <c r="D111" i="32" s="1"/>
  <c r="D112" i="32" s="1"/>
  <c r="I58" i="32"/>
  <c r="F92" i="32" s="1"/>
  <c r="H58" i="32"/>
  <c r="F91" i="32" s="1"/>
  <c r="E58" i="32"/>
  <c r="D58" i="32"/>
  <c r="E91" i="32" s="1"/>
  <c r="C58" i="32"/>
  <c r="D92" i="32" s="1"/>
  <c r="P57" i="32"/>
  <c r="O57" i="32"/>
  <c r="F109" i="32" s="1"/>
  <c r="L57" i="32"/>
  <c r="K57" i="32"/>
  <c r="F110" i="32" s="1"/>
  <c r="J57" i="32"/>
  <c r="D109" i="32" s="1"/>
  <c r="I57" i="32"/>
  <c r="F90" i="32" s="1"/>
  <c r="H57" i="32"/>
  <c r="F89" i="32" s="1"/>
  <c r="E57" i="32"/>
  <c r="D57" i="32"/>
  <c r="E89" i="32" s="1"/>
  <c r="C57" i="32"/>
  <c r="D90" i="32" s="1"/>
  <c r="P56" i="32"/>
  <c r="O56" i="32"/>
  <c r="F107" i="32" s="1"/>
  <c r="L56" i="32"/>
  <c r="F108" i="32" s="1"/>
  <c r="K56" i="32"/>
  <c r="K65" i="32" s="1"/>
  <c r="J56" i="32"/>
  <c r="D107" i="32" s="1"/>
  <c r="D108" i="32" s="1"/>
  <c r="I56" i="32"/>
  <c r="F88" i="32" s="1"/>
  <c r="H56" i="32"/>
  <c r="F87" i="32" s="1"/>
  <c r="D56" i="32"/>
  <c r="E87" i="32" s="1"/>
  <c r="C56" i="32"/>
  <c r="D88" i="32" s="1"/>
  <c r="AG53" i="32"/>
  <c r="AB52" i="32"/>
  <c r="AB51" i="32"/>
  <c r="AB50" i="32"/>
  <c r="O79" i="32" s="1"/>
  <c r="S107" i="32" s="1"/>
  <c r="AB49" i="32"/>
  <c r="O78" i="32" s="1"/>
  <c r="S105" i="32" s="1"/>
  <c r="AB48" i="32"/>
  <c r="AB47" i="32"/>
  <c r="O76" i="32" s="1"/>
  <c r="S101" i="32" s="1"/>
  <c r="AB46" i="32"/>
  <c r="O75" i="32" s="1"/>
  <c r="S99" i="32" s="1"/>
  <c r="AB45" i="32"/>
  <c r="O74" i="32" s="1"/>
  <c r="S97" i="32" s="1"/>
  <c r="AB44" i="32"/>
  <c r="AB43" i="32"/>
  <c r="AB42" i="32"/>
  <c r="AB41" i="32"/>
  <c r="O70" i="32" s="1"/>
  <c r="AB40" i="32"/>
  <c r="O69" i="32" s="1"/>
  <c r="S87" i="32" s="1"/>
  <c r="N24" i="32"/>
  <c r="N22" i="32"/>
  <c r="E78" i="32" s="1"/>
  <c r="N21" i="32"/>
  <c r="E77" i="32" s="1"/>
  <c r="L120" i="32" s="1"/>
  <c r="L122" i="32" s="1"/>
  <c r="N17" i="32"/>
  <c r="N16" i="32"/>
  <c r="E72" i="32" s="1"/>
  <c r="N13" i="30"/>
  <c r="N15" i="30"/>
  <c r="N16" i="30"/>
  <c r="N17" i="30"/>
  <c r="N18" i="30"/>
  <c r="N19" i="30"/>
  <c r="N21" i="30"/>
  <c r="N22" i="30"/>
  <c r="N23" i="30"/>
  <c r="N24" i="30"/>
  <c r="N25" i="30"/>
  <c r="N4" i="30"/>
  <c r="L199" i="30"/>
  <c r="L192" i="30"/>
  <c r="L193" i="30"/>
  <c r="L194" i="30"/>
  <c r="L195" i="30"/>
  <c r="L196" i="30"/>
  <c r="L197" i="30"/>
  <c r="L198" i="30"/>
  <c r="L200" i="30"/>
  <c r="L201" i="30"/>
  <c r="L202" i="30"/>
  <c r="L203" i="30"/>
  <c r="L204" i="30"/>
  <c r="L205" i="30"/>
  <c r="L206" i="30"/>
  <c r="L207" i="30"/>
  <c r="L208" i="30"/>
  <c r="L209" i="30"/>
  <c r="L210" i="30"/>
  <c r="L211" i="30"/>
  <c r="L212" i="30"/>
  <c r="L191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P188" i="30"/>
  <c r="P189" i="30"/>
  <c r="P190" i="30"/>
  <c r="P169" i="30"/>
  <c r="C55" i="31"/>
  <c r="S75" i="30"/>
  <c r="S74" i="30"/>
  <c r="R74" i="30"/>
  <c r="D82" i="30"/>
  <c r="F82" i="30"/>
  <c r="G82" i="30"/>
  <c r="H82" i="30"/>
  <c r="I82" i="30"/>
  <c r="C82" i="30"/>
  <c r="I67" i="30"/>
  <c r="F195" i="30"/>
  <c r="D16" i="31"/>
  <c r="G80" i="31" l="1" a="1"/>
  <c r="G80" i="31" s="1"/>
  <c r="G82" i="31" a="1"/>
  <c r="G82" i="31" s="1"/>
  <c r="G81" i="31" a="1"/>
  <c r="G81" i="31" s="1"/>
  <c r="G87" i="32"/>
  <c r="G90" i="32"/>
  <c r="G100" i="32"/>
  <c r="G115" i="32"/>
  <c r="M110" i="32"/>
  <c r="L108" i="32"/>
  <c r="L110" i="32" s="1"/>
  <c r="G96" i="32"/>
  <c r="G89" i="32"/>
  <c r="D83" i="32"/>
  <c r="G102" i="32"/>
  <c r="G97" i="32"/>
  <c r="L124" i="32"/>
  <c r="L126" i="32" s="1"/>
  <c r="M126" i="32"/>
  <c r="D110" i="32"/>
  <c r="G110" i="32" s="1"/>
  <c r="G109" i="32"/>
  <c r="K83" i="32"/>
  <c r="R113" i="32"/>
  <c r="G98" i="32"/>
  <c r="L100" i="32"/>
  <c r="L102" i="32" s="1"/>
  <c r="F83" i="32"/>
  <c r="G119" i="32"/>
  <c r="P83" i="32"/>
  <c r="W64" i="32" s="1"/>
  <c r="E88" i="32"/>
  <c r="G88" i="32" s="1"/>
  <c r="E65" i="32"/>
  <c r="E82" i="32"/>
  <c r="L88" i="32"/>
  <c r="L90" i="32" s="1"/>
  <c r="M83" i="32"/>
  <c r="N84" i="32"/>
  <c r="K66" i="32"/>
  <c r="E125" i="32"/>
  <c r="G125" i="32" s="1"/>
  <c r="G117" i="32"/>
  <c r="M102" i="32"/>
  <c r="G111" i="32"/>
  <c r="G99" i="32"/>
  <c r="G92" i="32"/>
  <c r="G121" i="32"/>
  <c r="G116" i="32"/>
  <c r="O82" i="32"/>
  <c r="S89" i="32"/>
  <c r="G123" i="32"/>
  <c r="P66" i="32"/>
  <c r="W63" i="32" s="1"/>
  <c r="G94" i="32"/>
  <c r="G112" i="32"/>
  <c r="L136" i="32"/>
  <c r="L138" i="32" s="1"/>
  <c r="G82" i="32"/>
  <c r="G84" i="32" s="1"/>
  <c r="F118" i="32"/>
  <c r="G118" i="32" s="1"/>
  <c r="O66" i="32"/>
  <c r="H82" i="32"/>
  <c r="K87" i="32"/>
  <c r="K88" i="32" s="1"/>
  <c r="K89" i="32" s="1"/>
  <c r="K90" i="32" s="1"/>
  <c r="L65" i="32"/>
  <c r="I82" i="32"/>
  <c r="L87" i="32"/>
  <c r="L89" i="32" s="1"/>
  <c r="L99" i="32"/>
  <c r="L101" i="32" s="1"/>
  <c r="L107" i="32"/>
  <c r="L109" i="32" s="1"/>
  <c r="F124" i="32"/>
  <c r="G124" i="32" s="1"/>
  <c r="L127" i="32"/>
  <c r="L129" i="32" s="1"/>
  <c r="M87" i="32"/>
  <c r="M89" i="32"/>
  <c r="M93" i="32"/>
  <c r="M94" i="32"/>
  <c r="E120" i="32"/>
  <c r="G120" i="32" s="1"/>
  <c r="K131" i="32"/>
  <c r="K132" i="32" s="1"/>
  <c r="K133" i="32" s="1"/>
  <c r="K134" i="32" s="1"/>
  <c r="M137" i="32"/>
  <c r="Q95" i="32"/>
  <c r="Q96" i="32" s="1"/>
  <c r="Q99" i="32"/>
  <c r="Q100" i="32" s="1"/>
  <c r="L82" i="32"/>
  <c r="R101" i="32"/>
  <c r="R108" i="32"/>
  <c r="R109" i="32"/>
  <c r="D65" i="32"/>
  <c r="S90" i="32"/>
  <c r="D87" i="32"/>
  <c r="D89" i="32"/>
  <c r="D91" i="32"/>
  <c r="G91" i="32" s="1"/>
  <c r="D93" i="32"/>
  <c r="G93" i="32" s="1"/>
  <c r="D95" i="32"/>
  <c r="G95" i="32" s="1"/>
  <c r="D97" i="32"/>
  <c r="D99" i="32"/>
  <c r="D101" i="32"/>
  <c r="G101" i="32" s="1"/>
  <c r="D103" i="32"/>
  <c r="G103" i="32" s="1"/>
  <c r="E122" i="32"/>
  <c r="G122" i="32" s="1"/>
  <c r="K123" i="32"/>
  <c r="K124" i="32" s="1"/>
  <c r="K125" i="32" s="1"/>
  <c r="K126" i="32" s="1"/>
  <c r="L132" i="32"/>
  <c r="L134" i="32" s="1"/>
  <c r="H65" i="32"/>
  <c r="E108" i="32"/>
  <c r="G108" i="32" s="1"/>
  <c r="I65" i="32"/>
  <c r="D4" i="31"/>
  <c r="D5" i="31"/>
  <c r="D6" i="31"/>
  <c r="D7" i="31"/>
  <c r="D8" i="31"/>
  <c r="D9" i="31"/>
  <c r="D10" i="31"/>
  <c r="D11" i="31"/>
  <c r="D12" i="31"/>
  <c r="D13" i="31"/>
  <c r="D14" i="31"/>
  <c r="D15" i="31"/>
  <c r="D3" i="31"/>
  <c r="G89" i="30"/>
  <c r="G91" i="30"/>
  <c r="G93" i="30"/>
  <c r="G95" i="30"/>
  <c r="G97" i="30"/>
  <c r="G99" i="30"/>
  <c r="G101" i="30"/>
  <c r="G103" i="30"/>
  <c r="G105" i="30"/>
  <c r="G107" i="30"/>
  <c r="G109" i="30"/>
  <c r="G111" i="30"/>
  <c r="G113" i="30"/>
  <c r="G115" i="30"/>
  <c r="G117" i="30"/>
  <c r="G119" i="30"/>
  <c r="G121" i="30"/>
  <c r="G123" i="30"/>
  <c r="G125" i="30"/>
  <c r="G87" i="30"/>
  <c r="AB41" i="30"/>
  <c r="AB42" i="30"/>
  <c r="AB43" i="30"/>
  <c r="AB44" i="30"/>
  <c r="AB45" i="30"/>
  <c r="AB46" i="30"/>
  <c r="AB47" i="30"/>
  <c r="AB48" i="30"/>
  <c r="O77" i="30" s="1"/>
  <c r="S103" i="30" s="1"/>
  <c r="AB49" i="30"/>
  <c r="O78" i="30" s="1"/>
  <c r="S105" i="30" s="1"/>
  <c r="AB50" i="30"/>
  <c r="AB51" i="30"/>
  <c r="AB52" i="30"/>
  <c r="AB40" i="30"/>
  <c r="U68" i="30"/>
  <c r="T68" i="30"/>
  <c r="W63" i="30"/>
  <c r="V63" i="30"/>
  <c r="U63" i="30"/>
  <c r="T63" i="30"/>
  <c r="S111" i="30"/>
  <c r="S102" i="30"/>
  <c r="S101" i="30"/>
  <c r="S100" i="30"/>
  <c r="M90" i="30"/>
  <c r="M89" i="30"/>
  <c r="M87" i="30"/>
  <c r="O76" i="30"/>
  <c r="R111" i="30"/>
  <c r="R109" i="30"/>
  <c r="R107" i="30"/>
  <c r="R106" i="30"/>
  <c r="R105" i="30"/>
  <c r="R104" i="30"/>
  <c r="R103" i="30"/>
  <c r="R97" i="30"/>
  <c r="R95" i="30"/>
  <c r="R93" i="30"/>
  <c r="R91" i="30"/>
  <c r="R89" i="30"/>
  <c r="R87" i="30"/>
  <c r="Q112" i="30"/>
  <c r="Q110" i="30"/>
  <c r="Q108" i="30"/>
  <c r="Q106" i="30"/>
  <c r="Q104" i="30"/>
  <c r="Q98" i="30"/>
  <c r="Q96" i="30"/>
  <c r="Q94" i="30"/>
  <c r="Q92" i="30"/>
  <c r="Q90" i="30"/>
  <c r="Q88" i="30"/>
  <c r="Q111" i="30"/>
  <c r="Q109" i="30"/>
  <c r="Q107" i="30"/>
  <c r="Q105" i="30"/>
  <c r="Q103" i="30"/>
  <c r="Q97" i="30"/>
  <c r="Q95" i="30"/>
  <c r="Q93" i="30"/>
  <c r="Q91" i="30"/>
  <c r="Q89" i="30"/>
  <c r="Q87" i="30"/>
  <c r="E81" i="30"/>
  <c r="E80" i="30"/>
  <c r="E79" i="30"/>
  <c r="E78" i="30"/>
  <c r="M126" i="30" s="1"/>
  <c r="E77" i="30"/>
  <c r="E76" i="30"/>
  <c r="E75" i="30"/>
  <c r="E74" i="30"/>
  <c r="E73" i="30"/>
  <c r="E72" i="30"/>
  <c r="E71" i="30"/>
  <c r="E70" i="30"/>
  <c r="E69" i="30"/>
  <c r="M88" i="30" s="1"/>
  <c r="D81" i="30"/>
  <c r="D80" i="30"/>
  <c r="D79" i="30"/>
  <c r="D78" i="30"/>
  <c r="D76" i="30"/>
  <c r="D75" i="30"/>
  <c r="D74" i="30"/>
  <c r="D73" i="30"/>
  <c r="D72" i="30"/>
  <c r="D71" i="30"/>
  <c r="D70" i="30"/>
  <c r="D69" i="30"/>
  <c r="D77" i="30"/>
  <c r="AG53" i="30"/>
  <c r="J57" i="30"/>
  <c r="D109" i="30" s="1"/>
  <c r="D110" i="30" s="1"/>
  <c r="J58" i="30"/>
  <c r="D111" i="30" s="1"/>
  <c r="D112" i="30" s="1"/>
  <c r="J59" i="30"/>
  <c r="J60" i="30"/>
  <c r="J61" i="30"/>
  <c r="D117" i="30" s="1"/>
  <c r="D118" i="30" s="1"/>
  <c r="J62" i="30"/>
  <c r="D119" i="30" s="1"/>
  <c r="D120" i="30" s="1"/>
  <c r="J63" i="30"/>
  <c r="D121" i="30" s="1"/>
  <c r="D122" i="30" s="1"/>
  <c r="J64" i="30"/>
  <c r="D123" i="30" s="1"/>
  <c r="D124" i="30" s="1"/>
  <c r="J56" i="30"/>
  <c r="D107" i="30" s="1"/>
  <c r="D108" i="30" s="1"/>
  <c r="P57" i="30"/>
  <c r="P56" i="30"/>
  <c r="P61" i="30"/>
  <c r="P62" i="30"/>
  <c r="P63" i="30"/>
  <c r="O60" i="30"/>
  <c r="O59" i="30"/>
  <c r="O58" i="30"/>
  <c r="O57" i="30"/>
  <c r="O61" i="30"/>
  <c r="O63" i="30"/>
  <c r="O64" i="30"/>
  <c r="L60" i="30"/>
  <c r="L59" i="30"/>
  <c r="L58" i="30"/>
  <c r="L57" i="30"/>
  <c r="L61" i="30"/>
  <c r="L64" i="30"/>
  <c r="L63" i="30"/>
  <c r="L69" i="30"/>
  <c r="R88" i="30" s="1"/>
  <c r="L74" i="30"/>
  <c r="S98" i="30" s="1"/>
  <c r="L77" i="30"/>
  <c r="S104" i="30" s="1"/>
  <c r="L78" i="30"/>
  <c r="S106" i="30" s="1"/>
  <c r="L80" i="30"/>
  <c r="S110" i="30" s="1"/>
  <c r="K59" i="30"/>
  <c r="K60" i="30"/>
  <c r="J70" i="30"/>
  <c r="J77" i="30"/>
  <c r="J79" i="30"/>
  <c r="J80" i="30"/>
  <c r="I56" i="30"/>
  <c r="I60" i="30"/>
  <c r="I62" i="30"/>
  <c r="I63" i="30"/>
  <c r="I64" i="30"/>
  <c r="I61" i="30"/>
  <c r="I69" i="30"/>
  <c r="I76" i="30"/>
  <c r="M118" i="30" s="1"/>
  <c r="I78" i="30"/>
  <c r="H60" i="30"/>
  <c r="H59" i="30"/>
  <c r="H61" i="30"/>
  <c r="H63" i="30"/>
  <c r="H64" i="30"/>
  <c r="E62" i="30"/>
  <c r="E61" i="30"/>
  <c r="E59" i="30"/>
  <c r="E56" i="30"/>
  <c r="E57" i="30"/>
  <c r="E58" i="30"/>
  <c r="E63" i="30"/>
  <c r="E64" i="30"/>
  <c r="D60" i="30"/>
  <c r="D57" i="30"/>
  <c r="D61" i="30"/>
  <c r="D62" i="30"/>
  <c r="D63" i="30"/>
  <c r="D64" i="30"/>
  <c r="D56" i="30"/>
  <c r="C62" i="30"/>
  <c r="C63" i="30"/>
  <c r="D102" i="30" s="1"/>
  <c r="C64" i="30"/>
  <c r="D104" i="30" s="1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78" i="30"/>
  <c r="P81" i="30"/>
  <c r="O81" i="30"/>
  <c r="N81" i="30"/>
  <c r="M81" i="30"/>
  <c r="L81" i="30"/>
  <c r="S112" i="30" s="1"/>
  <c r="K81" i="30"/>
  <c r="J81" i="30"/>
  <c r="P80" i="30"/>
  <c r="O80" i="30"/>
  <c r="S109" i="30" s="1"/>
  <c r="N80" i="30"/>
  <c r="M80" i="30"/>
  <c r="K80" i="30"/>
  <c r="P79" i="30"/>
  <c r="O79" i="30"/>
  <c r="S107" i="30" s="1"/>
  <c r="N79" i="30"/>
  <c r="M79" i="30"/>
  <c r="L79" i="30"/>
  <c r="S108" i="30" s="1"/>
  <c r="K79" i="30"/>
  <c r="P78" i="30"/>
  <c r="N78" i="30"/>
  <c r="M78" i="30"/>
  <c r="K78" i="30"/>
  <c r="J78" i="30"/>
  <c r="P77" i="30"/>
  <c r="N77" i="30"/>
  <c r="M77" i="30"/>
  <c r="K77" i="30"/>
  <c r="P76" i="30"/>
  <c r="N76" i="30"/>
  <c r="M76" i="30"/>
  <c r="L76" i="30"/>
  <c r="K76" i="30"/>
  <c r="J76" i="30"/>
  <c r="P75" i="30"/>
  <c r="O75" i="30"/>
  <c r="S99" i="30" s="1"/>
  <c r="N75" i="30"/>
  <c r="M75" i="30"/>
  <c r="L75" i="30"/>
  <c r="K75" i="30"/>
  <c r="J75" i="30"/>
  <c r="R100" i="30" s="1"/>
  <c r="P74" i="30"/>
  <c r="O74" i="30"/>
  <c r="S97" i="30" s="1"/>
  <c r="N74" i="30"/>
  <c r="M74" i="30"/>
  <c r="K74" i="30"/>
  <c r="J74" i="30"/>
  <c r="P73" i="30"/>
  <c r="O73" i="30"/>
  <c r="S95" i="30" s="1"/>
  <c r="N73" i="30"/>
  <c r="M73" i="30"/>
  <c r="L73" i="30"/>
  <c r="S96" i="30" s="1"/>
  <c r="K73" i="30"/>
  <c r="J73" i="30"/>
  <c r="P72" i="30"/>
  <c r="O72" i="30"/>
  <c r="S93" i="30" s="1"/>
  <c r="N72" i="30"/>
  <c r="M72" i="30"/>
  <c r="L72" i="30"/>
  <c r="S94" i="30" s="1"/>
  <c r="K72" i="30"/>
  <c r="J72" i="30"/>
  <c r="P71" i="30"/>
  <c r="O71" i="30"/>
  <c r="S91" i="30" s="1"/>
  <c r="N71" i="30"/>
  <c r="M71" i="30"/>
  <c r="L71" i="30"/>
  <c r="S92" i="30" s="1"/>
  <c r="K71" i="30"/>
  <c r="J71" i="30"/>
  <c r="P70" i="30"/>
  <c r="O70" i="30"/>
  <c r="S89" i="30" s="1"/>
  <c r="N70" i="30"/>
  <c r="N82" i="30" s="1"/>
  <c r="M70" i="30"/>
  <c r="M82" i="30" s="1"/>
  <c r="L70" i="30"/>
  <c r="S90" i="30" s="1"/>
  <c r="K70" i="30"/>
  <c r="P69" i="30"/>
  <c r="O69" i="30"/>
  <c r="S87" i="30" s="1"/>
  <c r="N69" i="30"/>
  <c r="M69" i="30"/>
  <c r="K69" i="30"/>
  <c r="J69" i="30"/>
  <c r="P64" i="30"/>
  <c r="F124" i="30" s="1"/>
  <c r="L62" i="30"/>
  <c r="K62" i="30"/>
  <c r="H57" i="30"/>
  <c r="I57" i="30"/>
  <c r="H62" i="30"/>
  <c r="C59" i="30"/>
  <c r="D94" i="30" s="1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70" i="30"/>
  <c r="G70" i="30"/>
  <c r="H70" i="30"/>
  <c r="I70" i="30"/>
  <c r="F71" i="30"/>
  <c r="G71" i="30"/>
  <c r="H71" i="30"/>
  <c r="I71" i="30"/>
  <c r="F72" i="30"/>
  <c r="G72" i="30"/>
  <c r="H72" i="30"/>
  <c r="I72" i="30"/>
  <c r="F73" i="30"/>
  <c r="G73" i="30"/>
  <c r="H73" i="30"/>
  <c r="I73" i="30"/>
  <c r="F74" i="30"/>
  <c r="G74" i="30"/>
  <c r="H74" i="30"/>
  <c r="I74" i="30"/>
  <c r="F75" i="30"/>
  <c r="G75" i="30"/>
  <c r="M112" i="30" s="1"/>
  <c r="H75" i="30"/>
  <c r="M113" i="30" s="1"/>
  <c r="I75" i="30"/>
  <c r="F76" i="30"/>
  <c r="G76" i="30"/>
  <c r="H76" i="30"/>
  <c r="F77" i="30"/>
  <c r="G77" i="30"/>
  <c r="M120" i="30" s="1"/>
  <c r="H77" i="30"/>
  <c r="I77" i="30"/>
  <c r="M122" i="30" s="1"/>
  <c r="F78" i="30"/>
  <c r="M123" i="30" s="1"/>
  <c r="G78" i="30"/>
  <c r="H78" i="30"/>
  <c r="M125" i="30" s="1"/>
  <c r="F79" i="30"/>
  <c r="M127" i="30" s="1"/>
  <c r="G79" i="30"/>
  <c r="H79" i="30"/>
  <c r="I79" i="30"/>
  <c r="F80" i="30"/>
  <c r="G80" i="30"/>
  <c r="H80" i="30"/>
  <c r="M133" i="30" s="1"/>
  <c r="I80" i="30"/>
  <c r="M134" i="30" s="1"/>
  <c r="F81" i="30"/>
  <c r="G81" i="30"/>
  <c r="H81" i="30"/>
  <c r="I81" i="30"/>
  <c r="H69" i="30"/>
  <c r="G69" i="30"/>
  <c r="F69" i="30"/>
  <c r="C70" i="30"/>
  <c r="K91" i="30" s="1"/>
  <c r="K92" i="30" s="1"/>
  <c r="K93" i="30" s="1"/>
  <c r="K94" i="30" s="1"/>
  <c r="C71" i="30"/>
  <c r="K95" i="30" s="1"/>
  <c r="K96" i="30" s="1"/>
  <c r="K97" i="30" s="1"/>
  <c r="K98" i="30" s="1"/>
  <c r="C72" i="30"/>
  <c r="K99" i="30" s="1"/>
  <c r="K100" i="30" s="1"/>
  <c r="K101" i="30" s="1"/>
  <c r="K102" i="30" s="1"/>
  <c r="C73" i="30"/>
  <c r="K103" i="30" s="1"/>
  <c r="K104" i="30" s="1"/>
  <c r="K105" i="30" s="1"/>
  <c r="K106" i="30" s="1"/>
  <c r="C74" i="30"/>
  <c r="C75" i="30"/>
  <c r="K111" i="30" s="1"/>
  <c r="K112" i="30" s="1"/>
  <c r="K113" i="30" s="1"/>
  <c r="K114" i="30" s="1"/>
  <c r="C76" i="30"/>
  <c r="K115" i="30" s="1"/>
  <c r="K116" i="30" s="1"/>
  <c r="K117" i="30" s="1"/>
  <c r="K118" i="30" s="1"/>
  <c r="C77" i="30"/>
  <c r="K119" i="30" s="1"/>
  <c r="K120" i="30" s="1"/>
  <c r="K121" i="30" s="1"/>
  <c r="K122" i="30" s="1"/>
  <c r="C78" i="30"/>
  <c r="K123" i="30" s="1"/>
  <c r="K124" i="30" s="1"/>
  <c r="K125" i="30" s="1"/>
  <c r="K126" i="30" s="1"/>
  <c r="C79" i="30"/>
  <c r="K127" i="30" s="1"/>
  <c r="K128" i="30" s="1"/>
  <c r="K129" i="30" s="1"/>
  <c r="K130" i="30" s="1"/>
  <c r="C80" i="30"/>
  <c r="K131" i="30" s="1"/>
  <c r="K132" i="30" s="1"/>
  <c r="K133" i="30" s="1"/>
  <c r="K134" i="30" s="1"/>
  <c r="C81" i="30"/>
  <c r="K135" i="30" s="1"/>
  <c r="K136" i="30" s="1"/>
  <c r="K137" i="30" s="1"/>
  <c r="K138" i="30" s="1"/>
  <c r="C69" i="30"/>
  <c r="K87" i="30" s="1"/>
  <c r="K88" i="30" s="1"/>
  <c r="K89" i="30" s="1"/>
  <c r="K90" i="30" s="1"/>
  <c r="I83" i="32" l="1"/>
  <c r="U64" i="32" s="1"/>
  <c r="D66" i="32"/>
  <c r="E126" i="32"/>
  <c r="L66" i="32"/>
  <c r="L67" i="32" s="1"/>
  <c r="E83" i="32"/>
  <c r="E84" i="32" s="1"/>
  <c r="F126" i="32"/>
  <c r="E66" i="32"/>
  <c r="I84" i="32"/>
  <c r="T69" i="32" s="1"/>
  <c r="H83" i="32"/>
  <c r="T64" i="32" s="1"/>
  <c r="I66" i="32"/>
  <c r="U63" i="32" s="1"/>
  <c r="V63" i="32"/>
  <c r="P67" i="32"/>
  <c r="U68" i="32" s="1"/>
  <c r="L83" i="32"/>
  <c r="R114" i="32"/>
  <c r="S114" i="32"/>
  <c r="H66" i="32"/>
  <c r="G83" i="32"/>
  <c r="S113" i="32"/>
  <c r="P84" i="32"/>
  <c r="U69" i="32" s="1"/>
  <c r="O83" i="32"/>
  <c r="V64" i="32" s="1"/>
  <c r="M116" i="30"/>
  <c r="L88" i="30"/>
  <c r="L90" i="30" s="1"/>
  <c r="E82" i="30"/>
  <c r="M132" i="30"/>
  <c r="M130" i="30"/>
  <c r="M138" i="30"/>
  <c r="R92" i="30"/>
  <c r="R102" i="30"/>
  <c r="R90" i="30"/>
  <c r="R94" i="30"/>
  <c r="R108" i="30"/>
  <c r="S88" i="30"/>
  <c r="R96" i="30"/>
  <c r="R110" i="30"/>
  <c r="R98" i="30"/>
  <c r="R112" i="30"/>
  <c r="Q101" i="30"/>
  <c r="Q102" i="30" s="1"/>
  <c r="R101" i="30"/>
  <c r="Q99" i="30"/>
  <c r="Q100" i="30" s="1"/>
  <c r="R99" i="30"/>
  <c r="M111" i="30"/>
  <c r="M137" i="30"/>
  <c r="M128" i="30"/>
  <c r="L87" i="30"/>
  <c r="L89" i="30" s="1"/>
  <c r="M136" i="30"/>
  <c r="M114" i="30"/>
  <c r="M121" i="30"/>
  <c r="M129" i="30"/>
  <c r="M135" i="30"/>
  <c r="M124" i="30"/>
  <c r="M131" i="30"/>
  <c r="M119" i="30"/>
  <c r="M117" i="30"/>
  <c r="M115" i="30"/>
  <c r="E110" i="30"/>
  <c r="G110" i="30" s="1"/>
  <c r="F100" i="30"/>
  <c r="F104" i="30"/>
  <c r="E112" i="30"/>
  <c r="E116" i="30"/>
  <c r="M106" i="30"/>
  <c r="M100" i="30"/>
  <c r="M92" i="30"/>
  <c r="M108" i="30"/>
  <c r="M91" i="30"/>
  <c r="M98" i="30"/>
  <c r="M104" i="30"/>
  <c r="M96" i="30"/>
  <c r="M110" i="30"/>
  <c r="M102" i="30"/>
  <c r="M94" i="30"/>
  <c r="M93" i="30"/>
  <c r="L132" i="30"/>
  <c r="L134" i="30" s="1"/>
  <c r="L120" i="30"/>
  <c r="L122" i="30" s="1"/>
  <c r="L108" i="30"/>
  <c r="L110" i="30" s="1"/>
  <c r="L100" i="30"/>
  <c r="L102" i="30" s="1"/>
  <c r="F102" i="30"/>
  <c r="L112" i="30"/>
  <c r="L114" i="30" s="1"/>
  <c r="E124" i="30"/>
  <c r="G124" i="30" s="1"/>
  <c r="L124" i="30"/>
  <c r="L126" i="30" s="1"/>
  <c r="F122" i="30"/>
  <c r="L116" i="30"/>
  <c r="L118" i="30" s="1"/>
  <c r="L104" i="30"/>
  <c r="L106" i="30" s="1"/>
  <c r="L96" i="30"/>
  <c r="L98" i="30" s="1"/>
  <c r="L119" i="30"/>
  <c r="L121" i="30" s="1"/>
  <c r="L115" i="30"/>
  <c r="L117" i="30" s="1"/>
  <c r="K107" i="30"/>
  <c r="E118" i="30"/>
  <c r="E115" i="30"/>
  <c r="E114" i="30"/>
  <c r="L128" i="30"/>
  <c r="L130" i="30" s="1"/>
  <c r="L131" i="30"/>
  <c r="L133" i="30" s="1"/>
  <c r="L92" i="30"/>
  <c r="L94" i="30" s="1"/>
  <c r="L127" i="30"/>
  <c r="L129" i="30" s="1"/>
  <c r="L111" i="30"/>
  <c r="L113" i="30" s="1"/>
  <c r="E119" i="30"/>
  <c r="L123" i="30"/>
  <c r="L125" i="30" s="1"/>
  <c r="L136" i="30"/>
  <c r="L138" i="30" s="1"/>
  <c r="L135" i="30"/>
  <c r="L137" i="30" s="1"/>
  <c r="L91" i="30"/>
  <c r="L93" i="30" s="1"/>
  <c r="E120" i="30"/>
  <c r="M101" i="30"/>
  <c r="M99" i="30"/>
  <c r="L99" i="30"/>
  <c r="L101" i="30" s="1"/>
  <c r="M97" i="30"/>
  <c r="L95" i="30"/>
  <c r="L97" i="30" s="1"/>
  <c r="M95" i="30"/>
  <c r="M107" i="30"/>
  <c r="L107" i="30"/>
  <c r="L109" i="30" s="1"/>
  <c r="M109" i="30"/>
  <c r="L103" i="30"/>
  <c r="L105" i="30" s="1"/>
  <c r="M105" i="30"/>
  <c r="M103" i="30"/>
  <c r="P82" i="30"/>
  <c r="F120" i="30"/>
  <c r="F90" i="30"/>
  <c r="F118" i="30"/>
  <c r="F98" i="30"/>
  <c r="E122" i="30"/>
  <c r="F115" i="30"/>
  <c r="F113" i="30"/>
  <c r="E104" i="30"/>
  <c r="F97" i="30"/>
  <c r="F103" i="30"/>
  <c r="F88" i="30"/>
  <c r="D115" i="30"/>
  <c r="D116" i="30" s="1"/>
  <c r="F99" i="30"/>
  <c r="F101" i="30"/>
  <c r="O82" i="30"/>
  <c r="S113" i="30" s="1"/>
  <c r="F89" i="30"/>
  <c r="E99" i="30"/>
  <c r="E100" i="30"/>
  <c r="E102" i="30"/>
  <c r="E103" i="30"/>
  <c r="F95" i="30"/>
  <c r="E101" i="30"/>
  <c r="E94" i="30"/>
  <c r="G94" i="30" s="1"/>
  <c r="D113" i="30"/>
  <c r="D114" i="30" s="1"/>
  <c r="E113" i="30"/>
  <c r="D99" i="30"/>
  <c r="D100" i="30"/>
  <c r="D101" i="30"/>
  <c r="D93" i="30"/>
  <c r="D103" i="30"/>
  <c r="K82" i="30"/>
  <c r="J82" i="30"/>
  <c r="P58" i="30"/>
  <c r="F112" i="30" s="1"/>
  <c r="P59" i="30"/>
  <c r="F114" i="30" s="1"/>
  <c r="P60" i="30"/>
  <c r="F116" i="30" s="1"/>
  <c r="O56" i="30"/>
  <c r="O62" i="30"/>
  <c r="F119" i="30" s="1"/>
  <c r="L56" i="30"/>
  <c r="L82" i="30"/>
  <c r="S114" i="30" s="1"/>
  <c r="K63" i="30"/>
  <c r="E121" i="30" s="1"/>
  <c r="K56" i="30"/>
  <c r="E107" i="30" s="1"/>
  <c r="K58" i="30"/>
  <c r="K64" i="30"/>
  <c r="E123" i="30" s="1"/>
  <c r="K61" i="30"/>
  <c r="E117" i="30" s="1"/>
  <c r="I59" i="30"/>
  <c r="F94" i="30" s="1"/>
  <c r="I58" i="30"/>
  <c r="F92" i="30" s="1"/>
  <c r="H56" i="30"/>
  <c r="F87" i="30" s="1"/>
  <c r="H58" i="30"/>
  <c r="E60" i="30"/>
  <c r="D59" i="30"/>
  <c r="E93" i="30" s="1"/>
  <c r="D58" i="30"/>
  <c r="C57" i="30"/>
  <c r="C60" i="30"/>
  <c r="C61" i="30"/>
  <c r="C58" i="30"/>
  <c r="C56" i="30"/>
  <c r="N84" i="30"/>
  <c r="J78" i="29"/>
  <c r="J79" i="29"/>
  <c r="J80" i="29"/>
  <c r="J81" i="29"/>
  <c r="J82" i="29"/>
  <c r="J83" i="29"/>
  <c r="J84" i="29"/>
  <c r="J85" i="29"/>
  <c r="J86" i="29"/>
  <c r="J87" i="29"/>
  <c r="J88" i="29"/>
  <c r="J89" i="29"/>
  <c r="J77" i="29"/>
  <c r="F118" i="29"/>
  <c r="G117" i="29"/>
  <c r="F117" i="29"/>
  <c r="F113" i="29"/>
  <c r="G119" i="29"/>
  <c r="G114" i="29"/>
  <c r="G113" i="29"/>
  <c r="F119" i="29"/>
  <c r="I86" i="29"/>
  <c r="H86" i="29"/>
  <c r="I85" i="29"/>
  <c r="H85" i="29"/>
  <c r="I81" i="29"/>
  <c r="I80" i="29"/>
  <c r="H80" i="29"/>
  <c r="H88" i="29"/>
  <c r="H82" i="29"/>
  <c r="I77" i="29"/>
  <c r="H77" i="29"/>
  <c r="H78" i="29"/>
  <c r="I83" i="29"/>
  <c r="I82" i="29"/>
  <c r="F58" i="29"/>
  <c r="H34" i="29"/>
  <c r="G91" i="29"/>
  <c r="E123" i="29"/>
  <c r="E91" i="29"/>
  <c r="G37" i="29"/>
  <c r="G38" i="29"/>
  <c r="G39" i="29"/>
  <c r="G40" i="29"/>
  <c r="G41" i="29"/>
  <c r="G42" i="29"/>
  <c r="G43" i="29"/>
  <c r="G44" i="29"/>
  <c r="G36" i="29"/>
  <c r="D113" i="29"/>
  <c r="E113" i="29"/>
  <c r="D114" i="29"/>
  <c r="E114" i="29"/>
  <c r="F114" i="29"/>
  <c r="D115" i="29"/>
  <c r="E115" i="29"/>
  <c r="F115" i="29"/>
  <c r="G115" i="29"/>
  <c r="D116" i="29"/>
  <c r="E116" i="29"/>
  <c r="F116" i="29"/>
  <c r="G116" i="29"/>
  <c r="D117" i="29"/>
  <c r="E117" i="29"/>
  <c r="D118" i="29"/>
  <c r="E118" i="29"/>
  <c r="G118" i="29"/>
  <c r="D119" i="29"/>
  <c r="E119" i="29"/>
  <c r="D120" i="29"/>
  <c r="E120" i="29"/>
  <c r="F120" i="29"/>
  <c r="G120" i="29"/>
  <c r="D121" i="29"/>
  <c r="E121" i="29"/>
  <c r="F121" i="29"/>
  <c r="G121" i="29"/>
  <c r="C114" i="29"/>
  <c r="C115" i="29"/>
  <c r="C116" i="29"/>
  <c r="C117" i="29"/>
  <c r="C118" i="29"/>
  <c r="C119" i="29"/>
  <c r="C120" i="29"/>
  <c r="C121" i="29"/>
  <c r="C122" i="29"/>
  <c r="C113" i="29"/>
  <c r="D77" i="29"/>
  <c r="E77" i="29"/>
  <c r="F77" i="29"/>
  <c r="G77" i="29"/>
  <c r="D78" i="29"/>
  <c r="E78" i="29"/>
  <c r="F78" i="29"/>
  <c r="G78" i="29"/>
  <c r="I78" i="29"/>
  <c r="D79" i="29"/>
  <c r="E79" i="29"/>
  <c r="F79" i="29"/>
  <c r="G79" i="29"/>
  <c r="H79" i="29"/>
  <c r="I79" i="29"/>
  <c r="D80" i="29"/>
  <c r="E80" i="29"/>
  <c r="F80" i="29"/>
  <c r="G80" i="29"/>
  <c r="D81" i="29"/>
  <c r="E81" i="29"/>
  <c r="F81" i="29"/>
  <c r="G81" i="29"/>
  <c r="H81" i="29"/>
  <c r="D82" i="29"/>
  <c r="E82" i="29"/>
  <c r="F82" i="29"/>
  <c r="G82" i="29"/>
  <c r="D83" i="29"/>
  <c r="E83" i="29"/>
  <c r="F83" i="29"/>
  <c r="G83" i="29"/>
  <c r="H83" i="29"/>
  <c r="D84" i="29"/>
  <c r="E84" i="29"/>
  <c r="F84" i="29"/>
  <c r="G84" i="29"/>
  <c r="H84" i="29"/>
  <c r="I84" i="29"/>
  <c r="D85" i="29"/>
  <c r="E85" i="29"/>
  <c r="F85" i="29"/>
  <c r="G85" i="29"/>
  <c r="D86" i="29"/>
  <c r="E86" i="29"/>
  <c r="F86" i="29"/>
  <c r="G86" i="29"/>
  <c r="D87" i="29"/>
  <c r="E87" i="29"/>
  <c r="F87" i="29"/>
  <c r="G87" i="29"/>
  <c r="H87" i="29"/>
  <c r="I87" i="29"/>
  <c r="D88" i="29"/>
  <c r="E88" i="29"/>
  <c r="F88" i="29"/>
  <c r="G88" i="29"/>
  <c r="I88" i="29"/>
  <c r="D89" i="29"/>
  <c r="E89" i="29"/>
  <c r="F89" i="29"/>
  <c r="G89" i="29"/>
  <c r="H89" i="29"/>
  <c r="I89" i="29"/>
  <c r="C78" i="29"/>
  <c r="C79" i="29"/>
  <c r="C80" i="29"/>
  <c r="C81" i="29"/>
  <c r="C82" i="29"/>
  <c r="C83" i="29"/>
  <c r="C84" i="29"/>
  <c r="C85" i="29"/>
  <c r="C90" i="29" s="1"/>
  <c r="C86" i="29"/>
  <c r="C87" i="29"/>
  <c r="C88" i="29"/>
  <c r="C89" i="29"/>
  <c r="C77" i="29"/>
  <c r="B87" i="29"/>
  <c r="B114" i="29"/>
  <c r="B115" i="29"/>
  <c r="B116" i="29"/>
  <c r="B117" i="29"/>
  <c r="B118" i="29"/>
  <c r="B119" i="29"/>
  <c r="B120" i="29"/>
  <c r="B121" i="29"/>
  <c r="E259" i="29"/>
  <c r="E258" i="29"/>
  <c r="E279" i="29"/>
  <c r="E278" i="29"/>
  <c r="E277" i="29"/>
  <c r="E276" i="29"/>
  <c r="E275" i="29"/>
  <c r="E274" i="29"/>
  <c r="E273" i="29"/>
  <c r="E272" i="29"/>
  <c r="E271" i="29"/>
  <c r="E270" i="29"/>
  <c r="E269" i="29"/>
  <c r="E268" i="29"/>
  <c r="E267" i="29"/>
  <c r="E266" i="29"/>
  <c r="E265" i="29"/>
  <c r="E264" i="29"/>
  <c r="E263" i="29"/>
  <c r="E262" i="29"/>
  <c r="E261" i="29"/>
  <c r="E260" i="29"/>
  <c r="E48" i="29"/>
  <c r="F48" i="29"/>
  <c r="E49" i="29"/>
  <c r="F49" i="29"/>
  <c r="E50" i="29"/>
  <c r="F50" i="29"/>
  <c r="E51" i="29"/>
  <c r="F51" i="29"/>
  <c r="E52" i="29"/>
  <c r="F52" i="29"/>
  <c r="E53" i="29"/>
  <c r="F53" i="29"/>
  <c r="E54" i="29"/>
  <c r="F54" i="29"/>
  <c r="E55" i="29"/>
  <c r="F55" i="29"/>
  <c r="E56" i="29"/>
  <c r="F56" i="29"/>
  <c r="G20" i="29"/>
  <c r="H20" i="29"/>
  <c r="G21" i="29"/>
  <c r="H21" i="29"/>
  <c r="G22" i="29"/>
  <c r="H22" i="29"/>
  <c r="G23" i="29"/>
  <c r="H23" i="29"/>
  <c r="G24" i="29"/>
  <c r="H24" i="29"/>
  <c r="G25" i="29"/>
  <c r="H25" i="29"/>
  <c r="G26" i="29"/>
  <c r="H26" i="29"/>
  <c r="G27" i="29"/>
  <c r="H27" i="29"/>
  <c r="G28" i="29"/>
  <c r="H28" i="29"/>
  <c r="G29" i="29"/>
  <c r="H29" i="29"/>
  <c r="G30" i="29"/>
  <c r="H30" i="29"/>
  <c r="G31" i="29"/>
  <c r="H31" i="29"/>
  <c r="G32" i="29"/>
  <c r="H32" i="29"/>
  <c r="E20" i="29"/>
  <c r="F20" i="29"/>
  <c r="E21" i="29"/>
  <c r="F21" i="29"/>
  <c r="E22" i="29"/>
  <c r="F22" i="29"/>
  <c r="E23" i="29"/>
  <c r="F23" i="29"/>
  <c r="E24" i="29"/>
  <c r="F24" i="29"/>
  <c r="E25" i="29"/>
  <c r="F25" i="29"/>
  <c r="E26" i="29"/>
  <c r="F26" i="29"/>
  <c r="E27" i="29"/>
  <c r="F27" i="29"/>
  <c r="E28" i="29"/>
  <c r="F28" i="29"/>
  <c r="E29" i="29"/>
  <c r="F29" i="29"/>
  <c r="E30" i="29"/>
  <c r="F30" i="29"/>
  <c r="E31" i="29"/>
  <c r="F31" i="29"/>
  <c r="E32" i="29"/>
  <c r="F32" i="29"/>
  <c r="B113" i="29"/>
  <c r="B89" i="29"/>
  <c r="B88" i="29"/>
  <c r="B86" i="29"/>
  <c r="B85" i="29"/>
  <c r="B84" i="29"/>
  <c r="B83" i="29"/>
  <c r="B82" i="29"/>
  <c r="B81" i="29"/>
  <c r="B80" i="29"/>
  <c r="B79" i="29"/>
  <c r="B78" i="29"/>
  <c r="B77" i="29"/>
  <c r="D56" i="29"/>
  <c r="C56" i="29"/>
  <c r="B56" i="29"/>
  <c r="D55" i="29"/>
  <c r="C55" i="29"/>
  <c r="B55" i="29"/>
  <c r="D54" i="29"/>
  <c r="C54" i="29"/>
  <c r="B54" i="29"/>
  <c r="D53" i="29"/>
  <c r="C53" i="29"/>
  <c r="B53" i="29"/>
  <c r="D52" i="29"/>
  <c r="C52" i="29"/>
  <c r="B52" i="29"/>
  <c r="D51" i="29"/>
  <c r="C51" i="29"/>
  <c r="B51" i="29"/>
  <c r="D50" i="29"/>
  <c r="C50" i="29"/>
  <c r="B50" i="29"/>
  <c r="D49" i="29"/>
  <c r="C49" i="29"/>
  <c r="B49" i="29"/>
  <c r="D48" i="29"/>
  <c r="C48" i="29"/>
  <c r="B48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89" i="29"/>
  <c r="D188" i="29"/>
  <c r="D187" i="29"/>
  <c r="D186" i="29"/>
  <c r="D185" i="29"/>
  <c r="D184" i="29"/>
  <c r="D183" i="29"/>
  <c r="D182" i="29"/>
  <c r="D181" i="29"/>
  <c r="D180" i="29"/>
  <c r="D179" i="29"/>
  <c r="D178" i="29"/>
  <c r="D177" i="29"/>
  <c r="D176" i="29"/>
  <c r="D172" i="29"/>
  <c r="D171" i="29"/>
  <c r="D170" i="29"/>
  <c r="D169" i="29"/>
  <c r="D168" i="29"/>
  <c r="D167" i="29"/>
  <c r="D166" i="29"/>
  <c r="D165" i="29"/>
  <c r="D164" i="29"/>
  <c r="D163" i="29"/>
  <c r="D162" i="29"/>
  <c r="D161" i="29"/>
  <c r="D160" i="29"/>
  <c r="D159" i="29"/>
  <c r="C333" i="28"/>
  <c r="D333" i="28"/>
  <c r="C334" i="28"/>
  <c r="D334" i="28"/>
  <c r="C335" i="28"/>
  <c r="D335" i="28"/>
  <c r="C336" i="28"/>
  <c r="D336" i="28"/>
  <c r="C337" i="28"/>
  <c r="D337" i="28"/>
  <c r="C338" i="28"/>
  <c r="D338" i="28"/>
  <c r="C339" i="28"/>
  <c r="D339" i="28"/>
  <c r="C340" i="28"/>
  <c r="D340" i="28"/>
  <c r="C341" i="28"/>
  <c r="D341" i="28"/>
  <c r="C342" i="28"/>
  <c r="D342" i="28"/>
  <c r="C343" i="28"/>
  <c r="D343" i="28"/>
  <c r="C344" i="28"/>
  <c r="D344" i="28"/>
  <c r="C345" i="28"/>
  <c r="D345" i="28"/>
  <c r="C346" i="28"/>
  <c r="D346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33" i="28"/>
  <c r="C293" i="28"/>
  <c r="D293" i="28"/>
  <c r="E293" i="28"/>
  <c r="C294" i="28"/>
  <c r="D294" i="28"/>
  <c r="E294" i="28"/>
  <c r="C295" i="28"/>
  <c r="D295" i="28"/>
  <c r="E295" i="28"/>
  <c r="C296" i="28"/>
  <c r="D296" i="28"/>
  <c r="E296" i="28"/>
  <c r="C297" i="28"/>
  <c r="D297" i="28"/>
  <c r="E297" i="28"/>
  <c r="C298" i="28"/>
  <c r="D298" i="28"/>
  <c r="E298" i="28"/>
  <c r="C299" i="28"/>
  <c r="D299" i="28"/>
  <c r="E299" i="28"/>
  <c r="C300" i="28"/>
  <c r="D300" i="28"/>
  <c r="E300" i="28"/>
  <c r="C301" i="28"/>
  <c r="D301" i="28"/>
  <c r="E301" i="28"/>
  <c r="C302" i="28"/>
  <c r="D302" i="28"/>
  <c r="E302" i="28"/>
  <c r="C303" i="28"/>
  <c r="E303" i="28"/>
  <c r="C304" i="28"/>
  <c r="D304" i="28"/>
  <c r="E304" i="28"/>
  <c r="C305" i="28"/>
  <c r="D305" i="28"/>
  <c r="E305" i="28"/>
  <c r="C306" i="28"/>
  <c r="D306" i="28"/>
  <c r="E306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293" i="28"/>
  <c r="G201" i="28"/>
  <c r="H201" i="28"/>
  <c r="G202" i="28"/>
  <c r="H202" i="28"/>
  <c r="G203" i="28"/>
  <c r="H203" i="28"/>
  <c r="G204" i="28"/>
  <c r="H204" i="28"/>
  <c r="G205" i="28"/>
  <c r="H205" i="28"/>
  <c r="G206" i="28"/>
  <c r="H206" i="28"/>
  <c r="G207" i="28"/>
  <c r="H207" i="28"/>
  <c r="G208" i="28"/>
  <c r="H208" i="28"/>
  <c r="H200" i="28"/>
  <c r="G200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27" i="28"/>
  <c r="C245" i="28"/>
  <c r="D245" i="28"/>
  <c r="C246" i="28"/>
  <c r="D246" i="28"/>
  <c r="C247" i="28"/>
  <c r="D247" i="28"/>
  <c r="C248" i="28"/>
  <c r="D248" i="28"/>
  <c r="C249" i="28"/>
  <c r="D249" i="28"/>
  <c r="C250" i="28"/>
  <c r="D250" i="28"/>
  <c r="C251" i="28"/>
  <c r="D251" i="28"/>
  <c r="C252" i="28"/>
  <c r="D252" i="28"/>
  <c r="C253" i="28"/>
  <c r="D253" i="28"/>
  <c r="C254" i="28"/>
  <c r="D254" i="28"/>
  <c r="C255" i="28"/>
  <c r="D255" i="28"/>
  <c r="C256" i="28"/>
  <c r="D256" i="28"/>
  <c r="C257" i="28"/>
  <c r="D257" i="28"/>
  <c r="C244" i="28"/>
  <c r="D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44" i="28"/>
  <c r="E315" i="28"/>
  <c r="E316" i="28"/>
  <c r="E317" i="28"/>
  <c r="E318" i="28"/>
  <c r="E319" i="28"/>
  <c r="E320" i="28"/>
  <c r="E321" i="28"/>
  <c r="E322" i="28"/>
  <c r="E323" i="28"/>
  <c r="E324" i="28"/>
  <c r="E325" i="28"/>
  <c r="E326" i="28"/>
  <c r="E327" i="28"/>
  <c r="E328" i="28"/>
  <c r="F273" i="28"/>
  <c r="G274" i="28"/>
  <c r="G275" i="28"/>
  <c r="G276" i="28"/>
  <c r="G277" i="28"/>
  <c r="G278" i="28"/>
  <c r="G279" i="28"/>
  <c r="G280" i="28"/>
  <c r="G281" i="28"/>
  <c r="G282" i="28"/>
  <c r="G284" i="28"/>
  <c r="G285" i="28"/>
  <c r="G286" i="28"/>
  <c r="G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C212" i="28"/>
  <c r="D212" i="28"/>
  <c r="E212" i="28"/>
  <c r="F212" i="28"/>
  <c r="C213" i="28"/>
  <c r="D213" i="28"/>
  <c r="E213" i="28"/>
  <c r="F213" i="28"/>
  <c r="C214" i="28"/>
  <c r="D214" i="28"/>
  <c r="E214" i="28"/>
  <c r="F214" i="28"/>
  <c r="C215" i="28"/>
  <c r="D215" i="28"/>
  <c r="E215" i="28"/>
  <c r="F215" i="28"/>
  <c r="C216" i="28"/>
  <c r="D216" i="28"/>
  <c r="E216" i="28"/>
  <c r="F216" i="28"/>
  <c r="C217" i="28"/>
  <c r="D217" i="28"/>
  <c r="E217" i="28"/>
  <c r="F217" i="28"/>
  <c r="C218" i="28"/>
  <c r="D218" i="28"/>
  <c r="E218" i="28"/>
  <c r="F218" i="28"/>
  <c r="C219" i="28"/>
  <c r="D219" i="28"/>
  <c r="E219" i="28"/>
  <c r="F219" i="28"/>
  <c r="C220" i="28"/>
  <c r="D220" i="28"/>
  <c r="E220" i="28"/>
  <c r="F220" i="28"/>
  <c r="B213" i="28"/>
  <c r="B214" i="28"/>
  <c r="B215" i="28"/>
  <c r="B216" i="28"/>
  <c r="B217" i="28"/>
  <c r="B218" i="28"/>
  <c r="B219" i="28"/>
  <c r="B220" i="28"/>
  <c r="B212" i="28"/>
  <c r="C181" i="28"/>
  <c r="D181" i="28"/>
  <c r="E181" i="28"/>
  <c r="F181" i="28"/>
  <c r="C182" i="28"/>
  <c r="D182" i="28"/>
  <c r="E182" i="28"/>
  <c r="F182" i="28"/>
  <c r="C183" i="28"/>
  <c r="D183" i="28"/>
  <c r="E183" i="28"/>
  <c r="F183" i="28"/>
  <c r="C184" i="28"/>
  <c r="D184" i="28"/>
  <c r="E184" i="28"/>
  <c r="F184" i="28"/>
  <c r="C185" i="28"/>
  <c r="D185" i="28"/>
  <c r="E185" i="28"/>
  <c r="F185" i="28"/>
  <c r="C186" i="28"/>
  <c r="D186" i="28"/>
  <c r="E186" i="28"/>
  <c r="F186" i="28"/>
  <c r="C187" i="28"/>
  <c r="D187" i="28"/>
  <c r="E187" i="28"/>
  <c r="F187" i="28"/>
  <c r="C188" i="28"/>
  <c r="D188" i="28"/>
  <c r="E188" i="28"/>
  <c r="F188" i="28"/>
  <c r="C189" i="28"/>
  <c r="D189" i="28"/>
  <c r="E189" i="28"/>
  <c r="F189" i="28"/>
  <c r="C190" i="28"/>
  <c r="D190" i="28"/>
  <c r="E190" i="28"/>
  <c r="F190" i="28"/>
  <c r="C191" i="28"/>
  <c r="D191" i="28"/>
  <c r="E191" i="28"/>
  <c r="F191" i="28"/>
  <c r="C192" i="28"/>
  <c r="D192" i="28"/>
  <c r="E192" i="28"/>
  <c r="F192" i="28"/>
  <c r="C193" i="28"/>
  <c r="D193" i="28"/>
  <c r="E193" i="28"/>
  <c r="F193" i="28"/>
  <c r="C194" i="28"/>
  <c r="D194" i="28"/>
  <c r="E194" i="28"/>
  <c r="F194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81" i="28"/>
  <c r="D89" i="28"/>
  <c r="D72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C19" i="28"/>
  <c r="E19" i="28"/>
  <c r="D19" i="28"/>
  <c r="C20" i="28"/>
  <c r="E20" i="28"/>
  <c r="D20" i="28"/>
  <c r="C21" i="28"/>
  <c r="E21" i="28"/>
  <c r="D21" i="28"/>
  <c r="C22" i="28"/>
  <c r="E22" i="28"/>
  <c r="D22" i="28"/>
  <c r="C23" i="28"/>
  <c r="E23" i="28"/>
  <c r="D23" i="28"/>
  <c r="C24" i="28"/>
  <c r="E24" i="28"/>
  <c r="D24" i="28"/>
  <c r="C25" i="28"/>
  <c r="E25" i="28"/>
  <c r="D25" i="28"/>
  <c r="C26" i="28"/>
  <c r="E26" i="28"/>
  <c r="D26" i="28"/>
  <c r="C27" i="28"/>
  <c r="E27" i="28"/>
  <c r="D27" i="28"/>
  <c r="C28" i="28"/>
  <c r="E28" i="28"/>
  <c r="D28" i="28"/>
  <c r="C29" i="28"/>
  <c r="E29" i="28"/>
  <c r="D29" i="28"/>
  <c r="C30" i="28"/>
  <c r="E30" i="28"/>
  <c r="D30" i="28"/>
  <c r="C31" i="28"/>
  <c r="E31" i="28"/>
  <c r="D31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19" i="28"/>
  <c r="G50" i="22"/>
  <c r="H50" i="22"/>
  <c r="I50" i="22"/>
  <c r="J50" i="22"/>
  <c r="G51" i="23"/>
  <c r="H51" i="23"/>
  <c r="I51" i="23"/>
  <c r="J51" i="23"/>
  <c r="G52" i="23"/>
  <c r="H52" i="23"/>
  <c r="I52" i="23"/>
  <c r="J52" i="23"/>
  <c r="G53" i="23"/>
  <c r="H53" i="23"/>
  <c r="I53" i="23"/>
  <c r="J53" i="23"/>
  <c r="G54" i="23"/>
  <c r="H54" i="23"/>
  <c r="I54" i="23"/>
  <c r="J54" i="23"/>
  <c r="G55" i="23"/>
  <c r="H55" i="23"/>
  <c r="I55" i="23"/>
  <c r="J55" i="23"/>
  <c r="G56" i="23"/>
  <c r="H56" i="23"/>
  <c r="I56" i="23"/>
  <c r="J56" i="23"/>
  <c r="G57" i="23"/>
  <c r="H57" i="23"/>
  <c r="I57" i="23"/>
  <c r="J57" i="23"/>
  <c r="G58" i="23"/>
  <c r="H58" i="23"/>
  <c r="I58" i="23"/>
  <c r="J58" i="23"/>
  <c r="C18" i="22"/>
  <c r="D18" i="22"/>
  <c r="E18" i="22"/>
  <c r="F18" i="22"/>
  <c r="C19" i="22"/>
  <c r="D19" i="22"/>
  <c r="E19" i="22"/>
  <c r="F19" i="22"/>
  <c r="C20" i="22"/>
  <c r="D20" i="22"/>
  <c r="E20" i="22"/>
  <c r="F20" i="22"/>
  <c r="C21" i="22"/>
  <c r="D21" i="22"/>
  <c r="E21" i="22"/>
  <c r="F21" i="22"/>
  <c r="C22" i="22"/>
  <c r="D22" i="22"/>
  <c r="E22" i="22"/>
  <c r="F22" i="22"/>
  <c r="C23" i="22"/>
  <c r="D23" i="22"/>
  <c r="E23" i="22"/>
  <c r="F23" i="22"/>
  <c r="C24" i="22"/>
  <c r="D24" i="22"/>
  <c r="E24" i="22"/>
  <c r="F24" i="22"/>
  <c r="C25" i="22"/>
  <c r="D25" i="22"/>
  <c r="E25" i="22"/>
  <c r="F25" i="22"/>
  <c r="C26" i="22"/>
  <c r="D26" i="22"/>
  <c r="E26" i="22"/>
  <c r="F26" i="22"/>
  <c r="C27" i="22"/>
  <c r="D27" i="22"/>
  <c r="E27" i="22"/>
  <c r="F27" i="22"/>
  <c r="C28" i="22"/>
  <c r="D28" i="22"/>
  <c r="E28" i="22"/>
  <c r="F28" i="22"/>
  <c r="C29" i="22"/>
  <c r="D29" i="22"/>
  <c r="E29" i="22"/>
  <c r="F29" i="22"/>
  <c r="C30" i="22"/>
  <c r="D30" i="22"/>
  <c r="E30" i="22"/>
  <c r="F30" i="22"/>
  <c r="B28" i="22"/>
  <c r="D35" i="23"/>
  <c r="D28" i="23"/>
  <c r="C24" i="23"/>
  <c r="D24" i="23"/>
  <c r="E24" i="23"/>
  <c r="F24" i="23"/>
  <c r="C25" i="23"/>
  <c r="C40" i="23" s="1"/>
  <c r="D25" i="23"/>
  <c r="E25" i="23"/>
  <c r="F25" i="23"/>
  <c r="C26" i="23"/>
  <c r="D26" i="23"/>
  <c r="E26" i="23"/>
  <c r="F26" i="23"/>
  <c r="C27" i="23"/>
  <c r="D27" i="23"/>
  <c r="E27" i="23"/>
  <c r="F27" i="23"/>
  <c r="C28" i="23"/>
  <c r="E28" i="23"/>
  <c r="F28" i="23"/>
  <c r="C29" i="23"/>
  <c r="D29" i="23"/>
  <c r="E29" i="23"/>
  <c r="F29" i="23"/>
  <c r="C30" i="23"/>
  <c r="D30" i="23"/>
  <c r="E30" i="23"/>
  <c r="F30" i="23"/>
  <c r="C31" i="23"/>
  <c r="D31" i="23"/>
  <c r="E31" i="23"/>
  <c r="F31" i="23"/>
  <c r="C32" i="23"/>
  <c r="D32" i="23"/>
  <c r="E32" i="23"/>
  <c r="F32" i="23"/>
  <c r="C33" i="23"/>
  <c r="D33" i="23"/>
  <c r="E33" i="23"/>
  <c r="F33" i="23"/>
  <c r="C34" i="23"/>
  <c r="D34" i="23"/>
  <c r="E34" i="23"/>
  <c r="F34" i="23"/>
  <c r="C35" i="23"/>
  <c r="E35" i="23"/>
  <c r="F35" i="23"/>
  <c r="C36" i="23"/>
  <c r="D36" i="23"/>
  <c r="E36" i="23"/>
  <c r="F36" i="23"/>
  <c r="C37" i="23"/>
  <c r="D37" i="23"/>
  <c r="E37" i="23"/>
  <c r="F37" i="23"/>
  <c r="C38" i="23"/>
  <c r="D38" i="23"/>
  <c r="E38" i="23"/>
  <c r="F38" i="23"/>
  <c r="C39" i="23"/>
  <c r="D39" i="23"/>
  <c r="E39" i="23"/>
  <c r="F39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F48" i="13"/>
  <c r="L48" i="13" s="1"/>
  <c r="F33" i="13"/>
  <c r="F26" i="13"/>
  <c r="L26" i="13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54" i="26"/>
  <c r="D13" i="26"/>
  <c r="D14" i="26"/>
  <c r="D4" i="26"/>
  <c r="D5" i="26"/>
  <c r="D6" i="26"/>
  <c r="D7" i="26"/>
  <c r="D8" i="26"/>
  <c r="D9" i="26"/>
  <c r="D10" i="26"/>
  <c r="D11" i="26"/>
  <c r="D12" i="26"/>
  <c r="D3" i="26"/>
  <c r="G60" i="25"/>
  <c r="F60" i="25"/>
  <c r="E60" i="25"/>
  <c r="D60" i="25"/>
  <c r="C60" i="25"/>
  <c r="B60" i="25"/>
  <c r="G59" i="25"/>
  <c r="F59" i="25"/>
  <c r="E59" i="25"/>
  <c r="D59" i="25"/>
  <c r="C59" i="25"/>
  <c r="B59" i="25"/>
  <c r="G58" i="25"/>
  <c r="F58" i="25"/>
  <c r="E58" i="25"/>
  <c r="D58" i="25"/>
  <c r="C58" i="25"/>
  <c r="B58" i="25"/>
  <c r="G57" i="25"/>
  <c r="F57" i="25"/>
  <c r="E57" i="25"/>
  <c r="D57" i="25"/>
  <c r="C57" i="25"/>
  <c r="B57" i="25"/>
  <c r="G56" i="25"/>
  <c r="F56" i="25"/>
  <c r="E56" i="25"/>
  <c r="D56" i="25"/>
  <c r="C56" i="25"/>
  <c r="B56" i="25"/>
  <c r="G55" i="25"/>
  <c r="F55" i="25"/>
  <c r="E55" i="25"/>
  <c r="D55" i="25"/>
  <c r="C55" i="25"/>
  <c r="B55" i="25"/>
  <c r="G54" i="25"/>
  <c r="F54" i="25"/>
  <c r="E54" i="25"/>
  <c r="D54" i="25"/>
  <c r="C54" i="25"/>
  <c r="B54" i="25"/>
  <c r="G53" i="25"/>
  <c r="F53" i="25"/>
  <c r="E53" i="25"/>
  <c r="D53" i="25"/>
  <c r="C53" i="25"/>
  <c r="B53" i="25"/>
  <c r="G52" i="25"/>
  <c r="F52" i="25"/>
  <c r="E52" i="25"/>
  <c r="D52" i="25"/>
  <c r="C52" i="25"/>
  <c r="B52" i="25"/>
  <c r="G51" i="25"/>
  <c r="F51" i="25"/>
  <c r="E51" i="25"/>
  <c r="D51" i="25"/>
  <c r="C51" i="25"/>
  <c r="B51" i="25"/>
  <c r="G50" i="25"/>
  <c r="F50" i="25"/>
  <c r="E50" i="25"/>
  <c r="D50" i="25"/>
  <c r="C50" i="25"/>
  <c r="B50" i="25"/>
  <c r="G49" i="25"/>
  <c r="G61" i="25" s="1"/>
  <c r="F49" i="25"/>
  <c r="F61" i="25" s="1"/>
  <c r="E49" i="25"/>
  <c r="E61" i="25" s="1"/>
  <c r="D49" i="25"/>
  <c r="D61" i="25" s="1"/>
  <c r="C49" i="25"/>
  <c r="C61" i="25" s="1"/>
  <c r="B49" i="25"/>
  <c r="B61" i="25" s="1"/>
  <c r="L45" i="25"/>
  <c r="K45" i="25"/>
  <c r="J45" i="25"/>
  <c r="M45" i="25" s="1"/>
  <c r="I45" i="25"/>
  <c r="H45" i="25"/>
  <c r="M44" i="25"/>
  <c r="L44" i="25"/>
  <c r="K44" i="25"/>
  <c r="J44" i="25"/>
  <c r="I44" i="25"/>
  <c r="H44" i="25"/>
  <c r="L43" i="25"/>
  <c r="K43" i="25"/>
  <c r="J43" i="25"/>
  <c r="M43" i="25" s="1"/>
  <c r="I43" i="25"/>
  <c r="H43" i="25"/>
  <c r="L42" i="25"/>
  <c r="K42" i="25"/>
  <c r="J42" i="25"/>
  <c r="M42" i="25" s="1"/>
  <c r="I42" i="25"/>
  <c r="H42" i="25"/>
  <c r="L41" i="25"/>
  <c r="M41" i="25" s="1"/>
  <c r="K41" i="25"/>
  <c r="J41" i="25"/>
  <c r="I41" i="25"/>
  <c r="H41" i="25"/>
  <c r="L40" i="25"/>
  <c r="K40" i="25"/>
  <c r="J40" i="25"/>
  <c r="M40" i="25" s="1"/>
  <c r="I40" i="25"/>
  <c r="H40" i="25"/>
  <c r="M39" i="25"/>
  <c r="L39" i="25"/>
  <c r="K39" i="25"/>
  <c r="J39" i="25"/>
  <c r="I39" i="25"/>
  <c r="H39" i="25"/>
  <c r="L38" i="25"/>
  <c r="K38" i="25"/>
  <c r="J38" i="25"/>
  <c r="M38" i="25" s="1"/>
  <c r="I38" i="25"/>
  <c r="H38" i="25"/>
  <c r="L37" i="25"/>
  <c r="K37" i="25"/>
  <c r="J37" i="25"/>
  <c r="M37" i="25" s="1"/>
  <c r="I37" i="25"/>
  <c r="H37" i="25"/>
  <c r="L36" i="25"/>
  <c r="M36" i="25" s="1"/>
  <c r="K36" i="25"/>
  <c r="J36" i="25"/>
  <c r="I36" i="25"/>
  <c r="H36" i="25"/>
  <c r="L35" i="25"/>
  <c r="K35" i="25"/>
  <c r="K46" i="25" s="1"/>
  <c r="J35" i="25"/>
  <c r="M35" i="25" s="1"/>
  <c r="I35" i="25"/>
  <c r="H35" i="25"/>
  <c r="M34" i="25"/>
  <c r="L34" i="25"/>
  <c r="K34" i="25"/>
  <c r="J34" i="25"/>
  <c r="J46" i="25" s="1"/>
  <c r="I34" i="25"/>
  <c r="I46" i="25" s="1"/>
  <c r="H34" i="25"/>
  <c r="H46" i="25" s="1"/>
  <c r="F29" i="25"/>
  <c r="G28" i="25"/>
  <c r="F28" i="25"/>
  <c r="E28" i="25"/>
  <c r="D28" i="25"/>
  <c r="C28" i="25"/>
  <c r="B28" i="25"/>
  <c r="G27" i="25"/>
  <c r="F27" i="25"/>
  <c r="E27" i="25"/>
  <c r="D27" i="25"/>
  <c r="C27" i="25"/>
  <c r="B27" i="25"/>
  <c r="G26" i="25"/>
  <c r="F26" i="25"/>
  <c r="E26" i="25"/>
  <c r="D26" i="25"/>
  <c r="C26" i="25"/>
  <c r="B26" i="25"/>
  <c r="G25" i="25"/>
  <c r="F25" i="25"/>
  <c r="E25" i="25"/>
  <c r="D25" i="25"/>
  <c r="C25" i="25"/>
  <c r="B25" i="25"/>
  <c r="G24" i="25"/>
  <c r="F24" i="25"/>
  <c r="E24" i="25"/>
  <c r="D24" i="25"/>
  <c r="C24" i="25"/>
  <c r="B24" i="25"/>
  <c r="G23" i="25"/>
  <c r="F23" i="25"/>
  <c r="E23" i="25"/>
  <c r="D23" i="25"/>
  <c r="C23" i="25"/>
  <c r="B23" i="25"/>
  <c r="G22" i="25"/>
  <c r="F22" i="25"/>
  <c r="E22" i="25"/>
  <c r="D22" i="25"/>
  <c r="C22" i="25"/>
  <c r="B22" i="25"/>
  <c r="G21" i="25"/>
  <c r="F21" i="25"/>
  <c r="E21" i="25"/>
  <c r="D21" i="25"/>
  <c r="C21" i="25"/>
  <c r="B21" i="25"/>
  <c r="G20" i="25"/>
  <c r="F20" i="25"/>
  <c r="E20" i="25"/>
  <c r="D20" i="25"/>
  <c r="C20" i="25"/>
  <c r="B20" i="25"/>
  <c r="G19" i="25"/>
  <c r="F19" i="25"/>
  <c r="E19" i="25"/>
  <c r="E29" i="25" s="1"/>
  <c r="D19" i="25"/>
  <c r="C19" i="25"/>
  <c r="B19" i="25"/>
  <c r="G18" i="25"/>
  <c r="F18" i="25"/>
  <c r="E18" i="25"/>
  <c r="D18" i="25"/>
  <c r="D29" i="25" s="1"/>
  <c r="C18" i="25"/>
  <c r="B18" i="25"/>
  <c r="G17" i="25"/>
  <c r="G29" i="25" s="1"/>
  <c r="F17" i="25"/>
  <c r="E17" i="25"/>
  <c r="D17" i="25"/>
  <c r="C17" i="25"/>
  <c r="C29" i="25" s="1"/>
  <c r="B17" i="25"/>
  <c r="B29" i="25" s="1"/>
  <c r="G28" i="24"/>
  <c r="F28" i="24"/>
  <c r="E28" i="24"/>
  <c r="D28" i="24"/>
  <c r="C28" i="24"/>
  <c r="B28" i="24"/>
  <c r="G27" i="24"/>
  <c r="F27" i="24"/>
  <c r="E27" i="24"/>
  <c r="D27" i="24"/>
  <c r="C27" i="24"/>
  <c r="B27" i="24"/>
  <c r="G26" i="24"/>
  <c r="F26" i="24"/>
  <c r="E26" i="24"/>
  <c r="D26" i="24"/>
  <c r="C26" i="24"/>
  <c r="B26" i="24"/>
  <c r="G25" i="24"/>
  <c r="F25" i="24"/>
  <c r="E25" i="24"/>
  <c r="D25" i="24"/>
  <c r="C25" i="24"/>
  <c r="B25" i="24"/>
  <c r="G24" i="24"/>
  <c r="F24" i="24"/>
  <c r="E24" i="24"/>
  <c r="D24" i="24"/>
  <c r="C24" i="24"/>
  <c r="B24" i="24"/>
  <c r="G23" i="24"/>
  <c r="F23" i="24"/>
  <c r="E23" i="24"/>
  <c r="D23" i="24"/>
  <c r="C23" i="24"/>
  <c r="B23" i="24"/>
  <c r="G22" i="24"/>
  <c r="F22" i="24"/>
  <c r="E22" i="24"/>
  <c r="D22" i="24"/>
  <c r="C22" i="24"/>
  <c r="B22" i="24"/>
  <c r="G21" i="24"/>
  <c r="F21" i="24"/>
  <c r="E21" i="24"/>
  <c r="D21" i="24"/>
  <c r="C21" i="24"/>
  <c r="B21" i="24"/>
  <c r="G20" i="24"/>
  <c r="F20" i="24"/>
  <c r="E20" i="24"/>
  <c r="D20" i="24"/>
  <c r="C20" i="24"/>
  <c r="B20" i="24"/>
  <c r="G19" i="24"/>
  <c r="F19" i="24"/>
  <c r="E19" i="24"/>
  <c r="D19" i="24"/>
  <c r="C19" i="24"/>
  <c r="B19" i="24"/>
  <c r="G18" i="24"/>
  <c r="F18" i="24"/>
  <c r="E18" i="24"/>
  <c r="D18" i="24"/>
  <c r="C18" i="24"/>
  <c r="B18" i="24"/>
  <c r="G17" i="24"/>
  <c r="G29" i="24" s="1"/>
  <c r="F17" i="24"/>
  <c r="F29" i="24" s="1"/>
  <c r="E17" i="24"/>
  <c r="E29" i="24" s="1"/>
  <c r="D17" i="24"/>
  <c r="D29" i="24" s="1"/>
  <c r="C17" i="24"/>
  <c r="C29" i="24" s="1"/>
  <c r="B17" i="24"/>
  <c r="B29" i="24" s="1"/>
  <c r="K22" i="19"/>
  <c r="L22" i="19"/>
  <c r="M22" i="19"/>
  <c r="N22" i="19"/>
  <c r="K23" i="19"/>
  <c r="L23" i="19"/>
  <c r="M23" i="19"/>
  <c r="M36" i="19" s="1"/>
  <c r="N23" i="19"/>
  <c r="K24" i="19"/>
  <c r="K36" i="19" s="1"/>
  <c r="L24" i="19"/>
  <c r="L36" i="19" s="1"/>
  <c r="M24" i="19"/>
  <c r="N24" i="19"/>
  <c r="K25" i="19"/>
  <c r="L25" i="19"/>
  <c r="M25" i="19"/>
  <c r="N25" i="19"/>
  <c r="K26" i="19"/>
  <c r="L26" i="19"/>
  <c r="M26" i="19"/>
  <c r="N26" i="19"/>
  <c r="N36" i="19" s="1"/>
  <c r="K27" i="19"/>
  <c r="L27" i="19"/>
  <c r="M27" i="19"/>
  <c r="N27" i="19"/>
  <c r="K28" i="19"/>
  <c r="L28" i="19"/>
  <c r="M28" i="19"/>
  <c r="N28" i="19"/>
  <c r="K29" i="19"/>
  <c r="L29" i="19"/>
  <c r="M29" i="19"/>
  <c r="N29" i="19"/>
  <c r="K30" i="19"/>
  <c r="L30" i="19"/>
  <c r="M30" i="19"/>
  <c r="N30" i="19"/>
  <c r="K31" i="19"/>
  <c r="L31" i="19"/>
  <c r="M31" i="19"/>
  <c r="N31" i="19"/>
  <c r="K32" i="19"/>
  <c r="L32" i="19"/>
  <c r="M32" i="19"/>
  <c r="N32" i="19"/>
  <c r="K33" i="19"/>
  <c r="L33" i="19"/>
  <c r="M33" i="19"/>
  <c r="N33" i="19"/>
  <c r="K34" i="19"/>
  <c r="L34" i="19"/>
  <c r="M34" i="19"/>
  <c r="N34" i="19"/>
  <c r="K35" i="19"/>
  <c r="L35" i="19"/>
  <c r="M35" i="19"/>
  <c r="N35" i="19"/>
  <c r="J23" i="19"/>
  <c r="J24" i="19"/>
  <c r="J25" i="19"/>
  <c r="J26" i="19"/>
  <c r="J27" i="19"/>
  <c r="J28" i="19"/>
  <c r="J36" i="19" s="1"/>
  <c r="J29" i="19"/>
  <c r="J30" i="19"/>
  <c r="J31" i="19"/>
  <c r="J32" i="19"/>
  <c r="J33" i="19"/>
  <c r="J34" i="19"/>
  <c r="J35" i="19"/>
  <c r="J22" i="19"/>
  <c r="F23" i="13"/>
  <c r="L23" i="13" s="1"/>
  <c r="F24" i="13"/>
  <c r="L24" i="13" s="1"/>
  <c r="F25" i="13"/>
  <c r="L25" i="13" s="1"/>
  <c r="F27" i="13"/>
  <c r="L27" i="13" s="1"/>
  <c r="F28" i="13"/>
  <c r="L28" i="13" s="1"/>
  <c r="F29" i="13"/>
  <c r="L29" i="13" s="1"/>
  <c r="F30" i="13"/>
  <c r="L30" i="13" s="1"/>
  <c r="F31" i="13"/>
  <c r="L31" i="13" s="1"/>
  <c r="F32" i="13"/>
  <c r="L32" i="13" s="1"/>
  <c r="F34" i="13"/>
  <c r="L34" i="13" s="1"/>
  <c r="F35" i="13"/>
  <c r="L35" i="13" s="1"/>
  <c r="F36" i="13"/>
  <c r="L36" i="13" s="1"/>
  <c r="F37" i="13"/>
  <c r="L37" i="13" s="1"/>
  <c r="F38" i="13"/>
  <c r="L38" i="13" s="1"/>
  <c r="F39" i="13"/>
  <c r="L39" i="13" s="1"/>
  <c r="F40" i="13"/>
  <c r="L40" i="13" s="1"/>
  <c r="F41" i="13"/>
  <c r="L41" i="13" s="1"/>
  <c r="F42" i="13"/>
  <c r="L42" i="13" s="1"/>
  <c r="F43" i="13"/>
  <c r="L43" i="13" s="1"/>
  <c r="F44" i="13"/>
  <c r="L44" i="13" s="1"/>
  <c r="F45" i="13"/>
  <c r="L45" i="13" s="1"/>
  <c r="F46" i="13"/>
  <c r="L46" i="13" s="1"/>
  <c r="F47" i="13"/>
  <c r="L47" i="13" s="1"/>
  <c r="F49" i="13"/>
  <c r="L49" i="13" s="1"/>
  <c r="F50" i="13"/>
  <c r="L50" i="13" s="1"/>
  <c r="F22" i="13"/>
  <c r="L22" i="13" s="1"/>
  <c r="H49" i="23"/>
  <c r="I46" i="20"/>
  <c r="J46" i="20"/>
  <c r="K46" i="20"/>
  <c r="L46" i="20"/>
  <c r="H46" i="20"/>
  <c r="H44" i="19"/>
  <c r="I44" i="19"/>
  <c r="I57" i="19" s="1"/>
  <c r="K44" i="19"/>
  <c r="J44" i="19"/>
  <c r="L44" i="19"/>
  <c r="M44" i="19" s="1"/>
  <c r="H45" i="19"/>
  <c r="I45" i="19"/>
  <c r="K45" i="19"/>
  <c r="J45" i="19"/>
  <c r="L45" i="19"/>
  <c r="H46" i="19"/>
  <c r="I46" i="19"/>
  <c r="K46" i="19"/>
  <c r="J46" i="19"/>
  <c r="L46" i="19"/>
  <c r="H47" i="19"/>
  <c r="I47" i="19"/>
  <c r="K47" i="19"/>
  <c r="J47" i="19"/>
  <c r="L47" i="19"/>
  <c r="H48" i="19"/>
  <c r="I48" i="19"/>
  <c r="K48" i="19"/>
  <c r="J48" i="19"/>
  <c r="L48" i="19"/>
  <c r="M48" i="19" s="1"/>
  <c r="H49" i="19"/>
  <c r="I49" i="19"/>
  <c r="K49" i="19"/>
  <c r="J49" i="19"/>
  <c r="L49" i="19"/>
  <c r="H50" i="19"/>
  <c r="I50" i="19"/>
  <c r="K50" i="19"/>
  <c r="J50" i="19"/>
  <c r="L50" i="19"/>
  <c r="H51" i="19"/>
  <c r="I51" i="19"/>
  <c r="K51" i="19"/>
  <c r="J51" i="19"/>
  <c r="L51" i="19"/>
  <c r="H52" i="19"/>
  <c r="I52" i="19"/>
  <c r="K52" i="19"/>
  <c r="J52" i="19"/>
  <c r="L52" i="19"/>
  <c r="M52" i="19" s="1"/>
  <c r="H53" i="19"/>
  <c r="I53" i="19"/>
  <c r="K53" i="19"/>
  <c r="J53" i="19"/>
  <c r="L53" i="19"/>
  <c r="M53" i="19" s="1"/>
  <c r="H54" i="19"/>
  <c r="I54" i="19"/>
  <c r="K54" i="19"/>
  <c r="J54" i="19"/>
  <c r="L54" i="19"/>
  <c r="M54" i="19" s="1"/>
  <c r="H55" i="19"/>
  <c r="I55" i="19"/>
  <c r="K55" i="19"/>
  <c r="J55" i="19"/>
  <c r="L55" i="19"/>
  <c r="I56" i="19"/>
  <c r="K56" i="19"/>
  <c r="L56" i="19"/>
  <c r="L43" i="19"/>
  <c r="J43" i="19"/>
  <c r="K43" i="19"/>
  <c r="I43" i="19"/>
  <c r="H43" i="19"/>
  <c r="G41" i="22"/>
  <c r="I41" i="22"/>
  <c r="H41" i="22"/>
  <c r="J41" i="22"/>
  <c r="G42" i="22"/>
  <c r="I42" i="22"/>
  <c r="H42" i="22"/>
  <c r="J42" i="22"/>
  <c r="G43" i="22"/>
  <c r="I43" i="22"/>
  <c r="H43" i="22"/>
  <c r="J43" i="22"/>
  <c r="G44" i="22"/>
  <c r="I44" i="22"/>
  <c r="H44" i="22"/>
  <c r="J44" i="22"/>
  <c r="G45" i="22"/>
  <c r="I45" i="22"/>
  <c r="H45" i="22"/>
  <c r="J45" i="22"/>
  <c r="G46" i="22"/>
  <c r="I46" i="22"/>
  <c r="H46" i="22"/>
  <c r="J46" i="22"/>
  <c r="G47" i="22"/>
  <c r="I47" i="22"/>
  <c r="H47" i="22"/>
  <c r="J47" i="22"/>
  <c r="G48" i="22"/>
  <c r="I48" i="22"/>
  <c r="H48" i="22"/>
  <c r="J48" i="22"/>
  <c r="G49" i="22"/>
  <c r="I49" i="22"/>
  <c r="H49" i="22"/>
  <c r="J49" i="22"/>
  <c r="G51" i="22"/>
  <c r="I51" i="22"/>
  <c r="H51" i="22"/>
  <c r="J51" i="22"/>
  <c r="G52" i="22"/>
  <c r="I52" i="22"/>
  <c r="H52" i="22"/>
  <c r="J52" i="22"/>
  <c r="J40" i="22"/>
  <c r="H40" i="22"/>
  <c r="I40" i="22"/>
  <c r="G40" i="22"/>
  <c r="G48" i="23"/>
  <c r="H48" i="23"/>
  <c r="I48" i="23"/>
  <c r="J48" i="23"/>
  <c r="G49" i="23"/>
  <c r="I49" i="23"/>
  <c r="J49" i="23"/>
  <c r="G50" i="23"/>
  <c r="H50" i="23"/>
  <c r="I50" i="23"/>
  <c r="J50" i="23"/>
  <c r="G59" i="23"/>
  <c r="H59" i="23"/>
  <c r="I59" i="23"/>
  <c r="J59" i="23"/>
  <c r="G60" i="23"/>
  <c r="H60" i="23"/>
  <c r="I60" i="23"/>
  <c r="J60" i="23"/>
  <c r="G61" i="23"/>
  <c r="H61" i="23"/>
  <c r="I61" i="23"/>
  <c r="J61" i="23"/>
  <c r="J47" i="23"/>
  <c r="I47" i="23"/>
  <c r="H47" i="23"/>
  <c r="G47" i="23"/>
  <c r="L35" i="20"/>
  <c r="L36" i="20"/>
  <c r="L37" i="20"/>
  <c r="L38" i="20"/>
  <c r="L39" i="20"/>
  <c r="L40" i="20"/>
  <c r="L41" i="20"/>
  <c r="L42" i="20"/>
  <c r="L43" i="20"/>
  <c r="L44" i="20"/>
  <c r="M44" i="20" s="1"/>
  <c r="L45" i="20"/>
  <c r="L34" i="20"/>
  <c r="K35" i="20"/>
  <c r="K36" i="20"/>
  <c r="K37" i="20"/>
  <c r="K38" i="20"/>
  <c r="K39" i="20"/>
  <c r="K40" i="20"/>
  <c r="K41" i="20"/>
  <c r="K42" i="20"/>
  <c r="K43" i="20"/>
  <c r="K44" i="20"/>
  <c r="K45" i="20"/>
  <c r="K34" i="20"/>
  <c r="J35" i="20"/>
  <c r="J36" i="20"/>
  <c r="J37" i="20"/>
  <c r="J38" i="20"/>
  <c r="M38" i="20" s="1"/>
  <c r="J39" i="20"/>
  <c r="M39" i="20" s="1"/>
  <c r="J40" i="20"/>
  <c r="M40" i="20" s="1"/>
  <c r="J41" i="20"/>
  <c r="J42" i="20"/>
  <c r="J43" i="20"/>
  <c r="J44" i="20"/>
  <c r="J45" i="20"/>
  <c r="J34" i="20"/>
  <c r="I35" i="20"/>
  <c r="I36" i="20"/>
  <c r="I37" i="20"/>
  <c r="I38" i="20"/>
  <c r="I39" i="20"/>
  <c r="I40" i="20"/>
  <c r="I41" i="20"/>
  <c r="I42" i="20"/>
  <c r="I43" i="20"/>
  <c r="I44" i="20"/>
  <c r="I45" i="20"/>
  <c r="I34" i="20"/>
  <c r="H35" i="20"/>
  <c r="H36" i="20"/>
  <c r="H37" i="20"/>
  <c r="H38" i="20"/>
  <c r="H39" i="20"/>
  <c r="H40" i="20"/>
  <c r="H41" i="20"/>
  <c r="H42" i="20"/>
  <c r="H43" i="20"/>
  <c r="H44" i="20"/>
  <c r="H45" i="20"/>
  <c r="H34" i="20"/>
  <c r="M35" i="20"/>
  <c r="M36" i="20"/>
  <c r="M37" i="20"/>
  <c r="M45" i="20"/>
  <c r="M34" i="20"/>
  <c r="D17" i="20"/>
  <c r="B27" i="23"/>
  <c r="B26" i="23"/>
  <c r="B25" i="23"/>
  <c r="B24" i="23"/>
  <c r="B30" i="22"/>
  <c r="B29" i="22"/>
  <c r="B27" i="22"/>
  <c r="B26" i="22"/>
  <c r="B25" i="22"/>
  <c r="B24" i="22"/>
  <c r="B23" i="22"/>
  <c r="B22" i="22"/>
  <c r="B21" i="22"/>
  <c r="B20" i="22"/>
  <c r="B19" i="22"/>
  <c r="B18" i="22"/>
  <c r="E60" i="20"/>
  <c r="D60" i="20"/>
  <c r="G60" i="20"/>
  <c r="F60" i="20"/>
  <c r="C60" i="20"/>
  <c r="B60" i="20"/>
  <c r="E59" i="20"/>
  <c r="D59" i="20"/>
  <c r="G59" i="20"/>
  <c r="F59" i="20"/>
  <c r="C59" i="20"/>
  <c r="B59" i="20"/>
  <c r="E58" i="20"/>
  <c r="D58" i="20"/>
  <c r="G58" i="20"/>
  <c r="F58" i="20"/>
  <c r="C58" i="20"/>
  <c r="B58" i="20"/>
  <c r="E57" i="20"/>
  <c r="D57" i="20"/>
  <c r="G57" i="20"/>
  <c r="F57" i="20"/>
  <c r="C57" i="20"/>
  <c r="B57" i="20"/>
  <c r="E56" i="20"/>
  <c r="D56" i="20"/>
  <c r="G56" i="20"/>
  <c r="F56" i="20"/>
  <c r="C56" i="20"/>
  <c r="B56" i="20"/>
  <c r="E55" i="20"/>
  <c r="D55" i="20"/>
  <c r="G55" i="20"/>
  <c r="F55" i="20"/>
  <c r="C55" i="20"/>
  <c r="B55" i="20"/>
  <c r="E54" i="20"/>
  <c r="D54" i="20"/>
  <c r="G54" i="20"/>
  <c r="F54" i="20"/>
  <c r="C54" i="20"/>
  <c r="B54" i="20"/>
  <c r="E53" i="20"/>
  <c r="D53" i="20"/>
  <c r="G53" i="20"/>
  <c r="F53" i="20"/>
  <c r="C53" i="20"/>
  <c r="B53" i="20"/>
  <c r="E52" i="20"/>
  <c r="D52" i="20"/>
  <c r="G52" i="20"/>
  <c r="F52" i="20"/>
  <c r="C52" i="20"/>
  <c r="B52" i="20"/>
  <c r="E51" i="20"/>
  <c r="D51" i="20"/>
  <c r="G51" i="20"/>
  <c r="F51" i="20"/>
  <c r="C51" i="20"/>
  <c r="B51" i="20"/>
  <c r="E50" i="20"/>
  <c r="D50" i="20"/>
  <c r="G50" i="20"/>
  <c r="F50" i="20"/>
  <c r="C50" i="20"/>
  <c r="B50" i="20"/>
  <c r="E49" i="20"/>
  <c r="D49" i="20"/>
  <c r="G49" i="20"/>
  <c r="F49" i="20"/>
  <c r="C49" i="20"/>
  <c r="B49" i="20"/>
  <c r="E28" i="20"/>
  <c r="D28" i="20"/>
  <c r="G28" i="20"/>
  <c r="F28" i="20"/>
  <c r="C28" i="20"/>
  <c r="B28" i="20"/>
  <c r="E27" i="20"/>
  <c r="D27" i="20"/>
  <c r="G27" i="20"/>
  <c r="F27" i="20"/>
  <c r="C27" i="20"/>
  <c r="B27" i="20"/>
  <c r="E26" i="20"/>
  <c r="D26" i="20"/>
  <c r="G26" i="20"/>
  <c r="F26" i="20"/>
  <c r="C26" i="20"/>
  <c r="B26" i="20"/>
  <c r="E25" i="20"/>
  <c r="D25" i="20"/>
  <c r="G25" i="20"/>
  <c r="F25" i="20"/>
  <c r="C25" i="20"/>
  <c r="B25" i="20"/>
  <c r="E24" i="20"/>
  <c r="D24" i="20"/>
  <c r="G24" i="20"/>
  <c r="F24" i="20"/>
  <c r="C24" i="20"/>
  <c r="B24" i="20"/>
  <c r="E23" i="20"/>
  <c r="D23" i="20"/>
  <c r="G23" i="20"/>
  <c r="F23" i="20"/>
  <c r="C23" i="20"/>
  <c r="B23" i="20"/>
  <c r="E22" i="20"/>
  <c r="D22" i="20"/>
  <c r="G22" i="20"/>
  <c r="F22" i="20"/>
  <c r="C22" i="20"/>
  <c r="B22" i="20"/>
  <c r="E21" i="20"/>
  <c r="D21" i="20"/>
  <c r="G21" i="20"/>
  <c r="F21" i="20"/>
  <c r="C21" i="20"/>
  <c r="B21" i="20"/>
  <c r="E20" i="20"/>
  <c r="D20" i="20"/>
  <c r="G20" i="20"/>
  <c r="F20" i="20"/>
  <c r="C20" i="20"/>
  <c r="B20" i="20"/>
  <c r="E19" i="20"/>
  <c r="D19" i="20"/>
  <c r="G19" i="20"/>
  <c r="F19" i="20"/>
  <c r="C19" i="20"/>
  <c r="B19" i="20"/>
  <c r="E18" i="20"/>
  <c r="D18" i="20"/>
  <c r="G18" i="20"/>
  <c r="F18" i="20"/>
  <c r="C18" i="20"/>
  <c r="B18" i="20"/>
  <c r="E17" i="20"/>
  <c r="G17" i="20"/>
  <c r="F17" i="20"/>
  <c r="C17" i="20"/>
  <c r="B17" i="20"/>
  <c r="C62" i="19"/>
  <c r="E62" i="19"/>
  <c r="G62" i="19"/>
  <c r="D62" i="19"/>
  <c r="F62" i="19"/>
  <c r="C63" i="19"/>
  <c r="E63" i="19"/>
  <c r="G63" i="19"/>
  <c r="D63" i="19"/>
  <c r="F63" i="19"/>
  <c r="C64" i="19"/>
  <c r="E64" i="19"/>
  <c r="G64" i="19"/>
  <c r="D64" i="19"/>
  <c r="F64" i="19"/>
  <c r="C65" i="19"/>
  <c r="E65" i="19"/>
  <c r="G65" i="19"/>
  <c r="D65" i="19"/>
  <c r="F65" i="19"/>
  <c r="C66" i="19"/>
  <c r="E66" i="19"/>
  <c r="G66" i="19"/>
  <c r="D66" i="19"/>
  <c r="F66" i="19"/>
  <c r="C67" i="19"/>
  <c r="E67" i="19"/>
  <c r="G67" i="19"/>
  <c r="D67" i="19"/>
  <c r="F67" i="19"/>
  <c r="C68" i="19"/>
  <c r="E68" i="19"/>
  <c r="G68" i="19"/>
  <c r="D68" i="19"/>
  <c r="F68" i="19"/>
  <c r="C69" i="19"/>
  <c r="E69" i="19"/>
  <c r="G69" i="19"/>
  <c r="D69" i="19"/>
  <c r="F69" i="19"/>
  <c r="C70" i="19"/>
  <c r="E70" i="19"/>
  <c r="G70" i="19"/>
  <c r="D70" i="19"/>
  <c r="F70" i="19"/>
  <c r="C71" i="19"/>
  <c r="E71" i="19"/>
  <c r="G71" i="19"/>
  <c r="D71" i="19"/>
  <c r="F71" i="19"/>
  <c r="C72" i="19"/>
  <c r="E72" i="19"/>
  <c r="G72" i="19"/>
  <c r="D72" i="19"/>
  <c r="F72" i="19"/>
  <c r="C73" i="19"/>
  <c r="E73" i="19"/>
  <c r="G73" i="19"/>
  <c r="D73" i="19"/>
  <c r="F73" i="19"/>
  <c r="C74" i="19"/>
  <c r="E74" i="19"/>
  <c r="G74" i="19"/>
  <c r="D74" i="19"/>
  <c r="F74" i="19"/>
  <c r="C75" i="19"/>
  <c r="E75" i="19"/>
  <c r="G75" i="19"/>
  <c r="D75" i="19"/>
  <c r="F75" i="19"/>
  <c r="B73" i="19"/>
  <c r="B74" i="19"/>
  <c r="B75" i="19"/>
  <c r="B33" i="19"/>
  <c r="C33" i="19"/>
  <c r="E33" i="19"/>
  <c r="G33" i="19"/>
  <c r="D33" i="19"/>
  <c r="F33" i="19"/>
  <c r="B34" i="19"/>
  <c r="C34" i="19"/>
  <c r="E34" i="19"/>
  <c r="G34" i="19"/>
  <c r="D34" i="19"/>
  <c r="F34" i="19"/>
  <c r="B35" i="19"/>
  <c r="C35" i="19"/>
  <c r="E35" i="19"/>
  <c r="G35" i="19"/>
  <c r="D35" i="19"/>
  <c r="F35" i="19"/>
  <c r="B72" i="19"/>
  <c r="B71" i="19"/>
  <c r="B70" i="19"/>
  <c r="B69" i="19"/>
  <c r="B68" i="19"/>
  <c r="B67" i="19"/>
  <c r="B66" i="19"/>
  <c r="B65" i="19"/>
  <c r="B64" i="19"/>
  <c r="B63" i="19"/>
  <c r="B62" i="19"/>
  <c r="F32" i="19"/>
  <c r="D32" i="19"/>
  <c r="G32" i="19"/>
  <c r="E32" i="19"/>
  <c r="C32" i="19"/>
  <c r="B32" i="19"/>
  <c r="F31" i="19"/>
  <c r="D31" i="19"/>
  <c r="G31" i="19"/>
  <c r="E31" i="19"/>
  <c r="C31" i="19"/>
  <c r="B31" i="19"/>
  <c r="F30" i="19"/>
  <c r="D30" i="19"/>
  <c r="G30" i="19"/>
  <c r="E30" i="19"/>
  <c r="C30" i="19"/>
  <c r="B30" i="19"/>
  <c r="F29" i="19"/>
  <c r="D29" i="19"/>
  <c r="G29" i="19"/>
  <c r="E29" i="19"/>
  <c r="C29" i="19"/>
  <c r="B29" i="19"/>
  <c r="F28" i="19"/>
  <c r="D28" i="19"/>
  <c r="G28" i="19"/>
  <c r="E28" i="19"/>
  <c r="C28" i="19"/>
  <c r="B28" i="19"/>
  <c r="F27" i="19"/>
  <c r="D27" i="19"/>
  <c r="G27" i="19"/>
  <c r="E27" i="19"/>
  <c r="C27" i="19"/>
  <c r="B27" i="19"/>
  <c r="F26" i="19"/>
  <c r="D26" i="19"/>
  <c r="G26" i="19"/>
  <c r="E26" i="19"/>
  <c r="C26" i="19"/>
  <c r="B26" i="19"/>
  <c r="F25" i="19"/>
  <c r="D25" i="19"/>
  <c r="G25" i="19"/>
  <c r="E25" i="19"/>
  <c r="C25" i="19"/>
  <c r="B25" i="19"/>
  <c r="F24" i="19"/>
  <c r="D24" i="19"/>
  <c r="G24" i="19"/>
  <c r="E24" i="19"/>
  <c r="C24" i="19"/>
  <c r="B24" i="19"/>
  <c r="F23" i="19"/>
  <c r="D23" i="19"/>
  <c r="G23" i="19"/>
  <c r="E23" i="19"/>
  <c r="C23" i="19"/>
  <c r="B23" i="19"/>
  <c r="F22" i="19"/>
  <c r="D22" i="19"/>
  <c r="G22" i="19"/>
  <c r="E22" i="19"/>
  <c r="C22" i="19"/>
  <c r="B22" i="19"/>
  <c r="T63" i="32" l="1"/>
  <c r="I67" i="32"/>
  <c r="T68" i="32" s="1"/>
  <c r="E67" i="32"/>
  <c r="G104" i="30"/>
  <c r="G102" i="30"/>
  <c r="G100" i="30"/>
  <c r="G116" i="30"/>
  <c r="G122" i="30"/>
  <c r="G118" i="30"/>
  <c r="G112" i="30"/>
  <c r="G120" i="30"/>
  <c r="G114" i="30"/>
  <c r="R114" i="30"/>
  <c r="R113" i="30"/>
  <c r="Q113" i="30"/>
  <c r="Q114" i="30" s="1"/>
  <c r="K108" i="30"/>
  <c r="K109" i="30" s="1"/>
  <c r="K110" i="30" s="1"/>
  <c r="M142" i="30"/>
  <c r="M148" i="30" s="1"/>
  <c r="M140" i="30"/>
  <c r="L139" i="30"/>
  <c r="M141" i="30"/>
  <c r="M147" i="30" s="1"/>
  <c r="M139" i="30"/>
  <c r="F107" i="30"/>
  <c r="P84" i="30"/>
  <c r="U69" i="30" s="1"/>
  <c r="L140" i="30"/>
  <c r="P83" i="30"/>
  <c r="W64" i="30" s="1"/>
  <c r="K139" i="30"/>
  <c r="K140" i="30" s="1"/>
  <c r="K141" i="30" s="1"/>
  <c r="K142" i="30" s="1"/>
  <c r="L65" i="30"/>
  <c r="E108" i="30"/>
  <c r="F108" i="30"/>
  <c r="E111" i="30"/>
  <c r="F111" i="30"/>
  <c r="F117" i="30"/>
  <c r="F121" i="30"/>
  <c r="F123" i="30"/>
  <c r="D87" i="30"/>
  <c r="E87" i="30"/>
  <c r="D88" i="30"/>
  <c r="D92" i="30"/>
  <c r="D91" i="30"/>
  <c r="D97" i="30"/>
  <c r="E97" i="30"/>
  <c r="E98" i="30"/>
  <c r="G98" i="30" s="1"/>
  <c r="D98" i="30"/>
  <c r="E90" i="30"/>
  <c r="G90" i="30" s="1"/>
  <c r="D90" i="30"/>
  <c r="D89" i="30"/>
  <c r="E92" i="30"/>
  <c r="G92" i="30" s="1"/>
  <c r="E91" i="30"/>
  <c r="E89" i="30"/>
  <c r="D96" i="30"/>
  <c r="D95" i="30"/>
  <c r="F93" i="30"/>
  <c r="E65" i="30"/>
  <c r="E96" i="30"/>
  <c r="G96" i="30" s="1"/>
  <c r="E95" i="30"/>
  <c r="F91" i="30"/>
  <c r="F96" i="30"/>
  <c r="E88" i="30"/>
  <c r="G88" i="30" s="1"/>
  <c r="D83" i="30"/>
  <c r="F83" i="30"/>
  <c r="G83" i="30"/>
  <c r="E83" i="30"/>
  <c r="I83" i="30"/>
  <c r="U64" i="30" s="1"/>
  <c r="O83" i="30"/>
  <c r="V64" i="30" s="1"/>
  <c r="L83" i="30"/>
  <c r="M83" i="30"/>
  <c r="I65" i="30"/>
  <c r="N83" i="30"/>
  <c r="K83" i="30"/>
  <c r="H83" i="30"/>
  <c r="T64" i="30" s="1"/>
  <c r="G84" i="30"/>
  <c r="D65" i="30"/>
  <c r="P65" i="30"/>
  <c r="O65" i="30"/>
  <c r="J65" i="30"/>
  <c r="K57" i="30"/>
  <c r="I84" i="30"/>
  <c r="T69" i="30" s="1"/>
  <c r="H65" i="30"/>
  <c r="C65" i="30"/>
  <c r="H90" i="29"/>
  <c r="G90" i="29"/>
  <c r="F90" i="29"/>
  <c r="E90" i="29"/>
  <c r="D90" i="29"/>
  <c r="I90" i="29"/>
  <c r="F122" i="29"/>
  <c r="G122" i="29"/>
  <c r="G33" i="29"/>
  <c r="D33" i="29"/>
  <c r="C33" i="29"/>
  <c r="E33" i="29"/>
  <c r="H33" i="29"/>
  <c r="F33" i="29"/>
  <c r="B33" i="29"/>
  <c r="F57" i="29"/>
  <c r="E57" i="29"/>
  <c r="D122" i="29"/>
  <c r="B122" i="29"/>
  <c r="E122" i="29"/>
  <c r="B90" i="29"/>
  <c r="D57" i="29"/>
  <c r="B57" i="29"/>
  <c r="C57" i="29"/>
  <c r="B307" i="28"/>
  <c r="D307" i="28"/>
  <c r="C307" i="28"/>
  <c r="B347" i="28"/>
  <c r="D347" i="28"/>
  <c r="E241" i="28"/>
  <c r="E307" i="28"/>
  <c r="C347" i="28"/>
  <c r="C258" i="28"/>
  <c r="D258" i="28"/>
  <c r="B258" i="28"/>
  <c r="E329" i="28"/>
  <c r="D221" i="28"/>
  <c r="B221" i="28"/>
  <c r="E221" i="28"/>
  <c r="F287" i="28"/>
  <c r="G287" i="28"/>
  <c r="F221" i="28"/>
  <c r="C221" i="28"/>
  <c r="F29" i="28"/>
  <c r="F19" i="28"/>
  <c r="F23" i="28"/>
  <c r="F28" i="28"/>
  <c r="F24" i="28"/>
  <c r="F31" i="28"/>
  <c r="F30" i="28"/>
  <c r="F27" i="28"/>
  <c r="F20" i="28"/>
  <c r="F25" i="28"/>
  <c r="F26" i="28"/>
  <c r="F22" i="28"/>
  <c r="F21" i="28"/>
  <c r="D32" i="28"/>
  <c r="B32" i="28"/>
  <c r="C32" i="28"/>
  <c r="E32" i="28"/>
  <c r="D40" i="23"/>
  <c r="K49" i="22"/>
  <c r="E40" i="23"/>
  <c r="F40" i="23"/>
  <c r="B40" i="23"/>
  <c r="H63" i="23"/>
  <c r="I63" i="23"/>
  <c r="H29" i="25"/>
  <c r="L46" i="25"/>
  <c r="M43" i="19"/>
  <c r="M50" i="19"/>
  <c r="J57" i="19"/>
  <c r="H57" i="19"/>
  <c r="M51" i="19"/>
  <c r="M49" i="19"/>
  <c r="M45" i="19"/>
  <c r="L57" i="19"/>
  <c r="M47" i="19"/>
  <c r="C76" i="19"/>
  <c r="M55" i="19"/>
  <c r="K57" i="19"/>
  <c r="M46" i="19"/>
  <c r="M56" i="19"/>
  <c r="F31" i="22"/>
  <c r="K44" i="22"/>
  <c r="K43" i="22"/>
  <c r="K48" i="22"/>
  <c r="J63" i="23"/>
  <c r="G63" i="23"/>
  <c r="J53" i="22"/>
  <c r="K42" i="22"/>
  <c r="K47" i="22"/>
  <c r="H53" i="22"/>
  <c r="G53" i="22"/>
  <c r="K41" i="22"/>
  <c r="K46" i="22"/>
  <c r="K52" i="22"/>
  <c r="B31" i="22"/>
  <c r="I53" i="22"/>
  <c r="K40" i="22"/>
  <c r="K45" i="22"/>
  <c r="K51" i="22"/>
  <c r="E31" i="22"/>
  <c r="M43" i="20"/>
  <c r="M42" i="20"/>
  <c r="M41" i="20"/>
  <c r="C31" i="22"/>
  <c r="E76" i="19"/>
  <c r="G76" i="19"/>
  <c r="D76" i="19"/>
  <c r="B36" i="19"/>
  <c r="B61" i="20"/>
  <c r="D61" i="20"/>
  <c r="D29" i="20"/>
  <c r="B29" i="20"/>
  <c r="G29" i="20"/>
  <c r="G61" i="20"/>
  <c r="C61" i="20"/>
  <c r="F61" i="20"/>
  <c r="C29" i="20"/>
  <c r="E29" i="20"/>
  <c r="F29" i="20"/>
  <c r="E61" i="20"/>
  <c r="D31" i="22"/>
  <c r="F76" i="19"/>
  <c r="D36" i="19"/>
  <c r="B76" i="19"/>
  <c r="C36" i="19"/>
  <c r="E36" i="19"/>
  <c r="G36" i="19"/>
  <c r="F36" i="19"/>
  <c r="G108" i="30" l="1"/>
  <c r="M145" i="30"/>
  <c r="M146" i="30"/>
  <c r="E105" i="30"/>
  <c r="E84" i="30"/>
  <c r="F126" i="30"/>
  <c r="E106" i="30"/>
  <c r="K65" i="30"/>
  <c r="F125" i="30" s="1"/>
  <c r="E109" i="30"/>
  <c r="F109" i="30"/>
  <c r="F110" i="30"/>
  <c r="E126" i="30"/>
  <c r="D125" i="30"/>
  <c r="D126" i="30" s="1"/>
  <c r="F105" i="30"/>
  <c r="D106" i="30"/>
  <c r="D105" i="30"/>
  <c r="F106" i="30"/>
  <c r="I66" i="30"/>
  <c r="H66" i="30"/>
  <c r="E66" i="30"/>
  <c r="L66" i="30"/>
  <c r="O66" i="30"/>
  <c r="D66" i="30"/>
  <c r="P66" i="30"/>
  <c r="I91" i="29"/>
  <c r="J91" i="29" s="1"/>
  <c r="J90" i="29"/>
  <c r="G123" i="29"/>
  <c r="I33" i="29"/>
  <c r="F32" i="28"/>
  <c r="H29" i="20"/>
  <c r="G35" i="22"/>
  <c r="G31" i="22"/>
  <c r="H36" i="19"/>
  <c r="G41" i="23"/>
  <c r="G40" i="23"/>
  <c r="G106" i="30" l="1"/>
  <c r="G126" i="30"/>
  <c r="E125" i="30"/>
  <c r="K66" i="30"/>
  <c r="L67" i="30" s="1"/>
  <c r="P67" i="30"/>
  <c r="E6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C55" authorId="0" shapeId="0" xr:uid="{E3995B86-D2EA-AC4D-AF62-53D0370E4E26}">
      <text>
        <r>
          <rPr>
            <b/>
            <sz val="10"/>
            <color rgb="FF000000"/>
            <rFont val="Tahoma"/>
            <family val="2"/>
          </rPr>
          <t xml:space="preserve">Link error with clang
</t>
        </r>
        <r>
          <rPr>
            <b/>
            <sz val="10"/>
            <color rgb="FF000000"/>
            <rFont val="Tahoma"/>
            <family val="2"/>
          </rPr>
          <t>It does not have issue wigh gcc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<sst xmlns="http://schemas.openxmlformats.org/spreadsheetml/2006/main" count="2894" uniqueCount="363">
  <si>
    <t>mcf_s</t>
  </si>
  <si>
    <t>lbm_s</t>
  </si>
  <si>
    <t>xalancbmk_s</t>
  </si>
  <si>
    <t>x264_s</t>
  </si>
  <si>
    <t>leela_s</t>
  </si>
  <si>
    <t>xz_s</t>
  </si>
  <si>
    <t>508.namd_r</t>
  </si>
  <si>
    <t>510.parest_r</t>
  </si>
  <si>
    <t>511.povray_r</t>
  </si>
  <si>
    <t>600.perlbench_s</t>
  </si>
  <si>
    <t>602.gcc_s</t>
  </si>
  <si>
    <t>605.mcf_s</t>
  </si>
  <si>
    <t>607.cactuBSSN_s</t>
  </si>
  <si>
    <t>619.lbm_s</t>
  </si>
  <si>
    <t>620.omnetpp_s</t>
  </si>
  <si>
    <t>623.xalancbmk_s</t>
  </si>
  <si>
    <t>625.x264_s</t>
  </si>
  <si>
    <t>631.deepsjeng_s</t>
  </si>
  <si>
    <t>638.imagick_s</t>
  </si>
  <si>
    <t>641.leela_s</t>
  </si>
  <si>
    <t>644.nab_s</t>
  </si>
  <si>
    <t>657.xz_s</t>
  </si>
  <si>
    <t>Nodes</t>
  </si>
  <si>
    <t>Language</t>
  </si>
  <si>
    <t>C++</t>
  </si>
  <si>
    <t>C</t>
  </si>
  <si>
    <t>500.perlbench_r</t>
  </si>
  <si>
    <t>502.gcc_r</t>
  </si>
  <si>
    <t>505.mcf_r</t>
  </si>
  <si>
    <t>520.omnetpp_r</t>
  </si>
  <si>
    <t>523.xalancbmk_r</t>
  </si>
  <si>
    <t>519.lbm_r</t>
  </si>
  <si>
    <t>525.x264_r</t>
  </si>
  <si>
    <t>531.deepsjeng_r</t>
  </si>
  <si>
    <t>541.leela_r</t>
  </si>
  <si>
    <t>538.imagick_r</t>
  </si>
  <si>
    <t>557.xz_r</t>
  </si>
  <si>
    <t>544.nab_r</t>
  </si>
  <si>
    <t>526.blender_r</t>
  </si>
  <si>
    <t>Benchmarks</t>
  </si>
  <si>
    <t>2. Callgraph Gen.</t>
  </si>
  <si>
    <t>3. Encoding CCW</t>
  </si>
  <si>
    <t>4. Embedding CCW to bc</t>
  </si>
  <si>
    <t>548.exchange2_r</t>
  </si>
  <si>
    <t>Fortran</t>
  </si>
  <si>
    <t>503.bwaves_r</t>
  </si>
  <si>
    <t>507.cactuBSSN_r</t>
  </si>
  <si>
    <t>C++, C, Fortran</t>
  </si>
  <si>
    <t>C++, C</t>
  </si>
  <si>
    <t>521.wrf_r</t>
  </si>
  <si>
    <t>Fortran, C</t>
  </si>
  <si>
    <t>527.cam4_r</t>
  </si>
  <si>
    <t>549.fotonik3d_r</t>
  </si>
  <si>
    <t>554.roms_r</t>
  </si>
  <si>
    <t>648.exchange2_s</t>
  </si>
  <si>
    <t>603.bwaves_s</t>
  </si>
  <si>
    <t>621.wrf_s</t>
  </si>
  <si>
    <t>627.cam4_s</t>
  </si>
  <si>
    <t>628.pop2_s</t>
  </si>
  <si>
    <t>649.fotonik3d_s</t>
  </si>
  <si>
    <t>654.roms_s</t>
  </si>
  <si>
    <t>O</t>
  </si>
  <si>
    <t>5. Rebuild exe with bc</t>
  </si>
  <si>
    <t>7. CCW Test (w/ CCID update)</t>
  </si>
  <si>
    <t>Done</t>
  </si>
  <si>
    <t>OOM</t>
  </si>
  <si>
    <t>geomean</t>
  </si>
  <si>
    <t>Overflow MAXID</t>
  </si>
  <si>
    <t>Never finish</t>
  </si>
  <si>
    <t>701.BARNES</t>
  </si>
  <si>
    <t>702.CHOLESKY</t>
  </si>
  <si>
    <t>703.FFT</t>
  </si>
  <si>
    <t>704.FMM</t>
  </si>
  <si>
    <t>705.LU-CB</t>
  </si>
  <si>
    <t>706.LU-NCB</t>
  </si>
  <si>
    <t>707.OCEAN-CP</t>
  </si>
  <si>
    <t>708.OCEAN-NCP</t>
  </si>
  <si>
    <t>709.RADIOSITY</t>
  </si>
  <si>
    <t>710.RADIX</t>
  </si>
  <si>
    <t>713.WATER-NSQUARED</t>
  </si>
  <si>
    <t>714.WATER-SPATIAL</t>
  </si>
  <si>
    <t>Static barriers</t>
  </si>
  <si>
    <t>Dynamic barriers</t>
  </si>
  <si>
    <t>8 threads</t>
  </si>
  <si>
    <t>16 threads</t>
  </si>
  <si>
    <t>goemean</t>
  </si>
  <si>
    <t>Native</t>
  </si>
  <si>
    <t>Runtime Overhead</t>
  </si>
  <si>
    <t>Memory Overhead (kbytes)</t>
  </si>
  <si>
    <t>Indrect Calls</t>
  </si>
  <si>
    <t>MAX CCID</t>
  </si>
  <si>
    <t>BARNES</t>
  </si>
  <si>
    <t>CHOLESKY</t>
  </si>
  <si>
    <t>FFT</t>
  </si>
  <si>
    <t>FMM</t>
  </si>
  <si>
    <t>LU-CB</t>
  </si>
  <si>
    <t>LU-NCB</t>
  </si>
  <si>
    <t>OCEAN-CP</t>
  </si>
  <si>
    <t>OCEAN-NCP</t>
  </si>
  <si>
    <t>RADIOSITY</t>
  </si>
  <si>
    <t>RADIX</t>
  </si>
  <si>
    <t>WATER-NSQUARED</t>
  </si>
  <si>
    <t>WATER-SPATIAL</t>
  </si>
  <si>
    <t>Runtime overhead (ms)</t>
  </si>
  <si>
    <t>Empty client</t>
  </si>
  <si>
    <t>segfault at push_back function???</t>
  </si>
  <si>
    <t>looks okay, so need to collect # of getCCID at runtime</t>
  </si>
  <si>
    <t>701.BARNES: malloc.c:2379: sysmalloc: Assertion `(old_top == initial_top (av) &amp;&amp; old_size == 0) || ((unsigned long) (old_size) &gt;= MINSIZE &amp;&amp; prev_inuse (old_top) &amp;&amp; ((unsigned long) old_end &amp; (pagesize - 1)) == 0)' failed.</t>
  </si>
  <si>
    <t>Command terminated by signal 11</t>
  </si>
  <si>
    <t>DCCE (CCID Update)</t>
  </si>
  <si>
    <t>DCCE (CCID Update + getCCID)</t>
  </si>
  <si>
    <t>PCCE (CCID Update)</t>
  </si>
  <si>
    <t>PCCE (CCID Update + getCCID)</t>
  </si>
  <si>
    <t>DrCCTProf (CCID Update)</t>
  </si>
  <si>
    <t>DrCCTProf (CCID Update + getCCID)</t>
  </si>
  <si>
    <t>mcf_r</t>
  </si>
  <si>
    <t>namd_r</t>
  </si>
  <si>
    <t>parest_r</t>
  </si>
  <si>
    <t>lbm_r</t>
  </si>
  <si>
    <t>xalancbmk_r</t>
  </si>
  <si>
    <t>x264_r</t>
  </si>
  <si>
    <t>leela_r</t>
  </si>
  <si>
    <t>xz_r</t>
  </si>
  <si>
    <t>DrCCTProf (CCID Update+getCCID)</t>
  </si>
  <si>
    <t>DCCE (CCID Update+getCCID)</t>
  </si>
  <si>
    <t>#function calls</t>
  </si>
  <si>
    <t>Stack Depts</t>
  </si>
  <si>
    <t>CCW File Size
(KB)</t>
  </si>
  <si>
    <t>MB</t>
  </si>
  <si>
    <t>Edges with non zero weight (PCCE)</t>
  </si>
  <si>
    <t xml:space="preserve">Edges </t>
  </si>
  <si>
    <t>Percentage of Non-zero edge weight (PCCE)</t>
  </si>
  <si>
    <t>CCW lookup (ms/call)</t>
  </si>
  <si>
    <t>CCW loading overhead (ms)</t>
  </si>
  <si>
    <t>memory size of indirect call (KB)</t>
  </si>
  <si>
    <t>memory size of direct call (KB)</t>
  </si>
  <si>
    <t>Portion of CCW Lookup in Execution Time</t>
  </si>
  <si>
    <t># of Calls (Dynamic)</t>
  </si>
  <si>
    <t>Overhead of CCW Load (ms)</t>
  </si>
  <si>
    <t>The more calls executed, the higher latency of lookup</t>
  </si>
  <si>
    <t>Execution Time (ms)</t>
  </si>
  <si>
    <t>Accumulated Latency of CCW Lookups (ms)</t>
  </si>
  <si>
    <t>Why do 707,708  have no overhead?</t>
  </si>
  <si>
    <t>713.WATER-NSQUARED.out</t>
  </si>
  <si>
    <t>714.WATER-SPATIAL.out</t>
  </si>
  <si>
    <t>Runtime (ms)</t>
  </si>
  <si>
    <t>% of CCW Loading in Runtime</t>
  </si>
  <si>
    <t>Direct Call (dynamic)</t>
  </si>
  <si>
    <t>Indirect Call (dynamic)</t>
  </si>
  <si>
    <t>% of CCW Lookup in Execution Time</t>
  </si>
  <si>
    <t>Selected?</t>
  </si>
  <si>
    <t>0. Optimized IR</t>
  </si>
  <si>
    <t>Not supportted language</t>
  </si>
  <si>
    <t>N/A</t>
  </si>
  <si>
    <t>711.RAYTRACE</t>
  </si>
  <si>
    <t>712.VOLREND</t>
  </si>
  <si>
    <t>omnetpp_r</t>
  </si>
  <si>
    <t>omnetpp_s</t>
  </si>
  <si>
    <t>RAYTRACE</t>
  </si>
  <si>
    <t/>
  </si>
  <si>
    <t>GEOMEAN</t>
  </si>
  <si>
    <t>DCCE</t>
  </si>
  <si>
    <t>DrCCTLib</t>
  </si>
  <si>
    <t>Speedup</t>
  </si>
  <si>
    <t>Number of Barrier Calls</t>
  </si>
  <si>
    <t>Time for barrier call (ms)</t>
  </si>
  <si>
    <t>% in total execution</t>
  </si>
  <si>
    <t>PCCE</t>
  </si>
  <si>
    <t>DCCE/PCCE</t>
  </si>
  <si>
    <t>PCCE-barrierElider</t>
  </si>
  <si>
    <t>DCCE-barrierElider</t>
  </si>
  <si>
    <t>PCCE-all</t>
  </si>
  <si>
    <t>DCCE-all</t>
  </si>
  <si>
    <t>Number of CCID Updates</t>
  </si>
  <si>
    <t>Numer of profile/elide ECC</t>
  </si>
  <si>
    <t>num ccids related with barrier call</t>
  </si>
  <si>
    <t>802.lud</t>
  </si>
  <si>
    <t>802.lue</t>
  </si>
  <si>
    <t>10_10</t>
  </si>
  <si>
    <t>10_100</t>
  </si>
  <si>
    <t>10_200</t>
  </si>
  <si>
    <t>10_400</t>
  </si>
  <si>
    <t>10_800</t>
  </si>
  <si>
    <t>10_1600</t>
  </si>
  <si>
    <t>100_10</t>
  </si>
  <si>
    <t>100_100</t>
  </si>
  <si>
    <t>100_200</t>
  </si>
  <si>
    <t>100_400</t>
  </si>
  <si>
    <t>100_800</t>
  </si>
  <si>
    <t>100_1600</t>
  </si>
  <si>
    <t>200_10</t>
  </si>
  <si>
    <t>200_100</t>
  </si>
  <si>
    <t>200_200</t>
  </si>
  <si>
    <t>200_400</t>
  </si>
  <si>
    <t>200_800</t>
  </si>
  <si>
    <t>200_1600</t>
  </si>
  <si>
    <t>400_10</t>
  </si>
  <si>
    <t>400_100</t>
  </si>
  <si>
    <t>400_200</t>
  </si>
  <si>
    <t>400_400</t>
  </si>
  <si>
    <t>400_800</t>
  </si>
  <si>
    <t>400_1600</t>
  </si>
  <si>
    <t>800_10</t>
  </si>
  <si>
    <t>800_100</t>
  </si>
  <si>
    <t>800_200</t>
  </si>
  <si>
    <t>800_400</t>
  </si>
  <si>
    <t>800_800</t>
  </si>
  <si>
    <t>800_1600</t>
  </si>
  <si>
    <t>1600_10</t>
  </si>
  <si>
    <t>1600_100</t>
  </si>
  <si>
    <t>1600_200</t>
  </si>
  <si>
    <t>1600_400</t>
  </si>
  <si>
    <t>1600_800</t>
  </si>
  <si>
    <t>1600_1600</t>
  </si>
  <si>
    <t>Context</t>
  </si>
  <si>
    <t># of barrier calls</t>
  </si>
  <si>
    <t>Runtime of DCCE (ms)</t>
  </si>
  <si>
    <t>Runtime of PCCE (ms)</t>
  </si>
  <si>
    <t>numFuncEntry_numCCID</t>
  </si>
  <si>
    <t>PCCE-onlyccid</t>
  </si>
  <si>
    <t>DCCE-onlyccid</t>
  </si>
  <si>
    <t>geomen</t>
  </si>
  <si>
    <t>logging included</t>
  </si>
  <si>
    <t>PCCE-barrierElider-concat</t>
  </si>
  <si>
    <t>PCCE-barrierElider-twokey</t>
  </si>
  <si>
    <t>PCCE-Prof-FuncAcc</t>
  </si>
  <si>
    <t>DCCE-Prof-FuncAcc</t>
  </si>
  <si>
    <t>PCCE/DCCE</t>
  </si>
  <si>
    <t>Runtime overhead after tls opt (ms)</t>
  </si>
  <si>
    <t>PCCE-onlyccid/DCCE-onlyccid</t>
  </si>
  <si>
    <t>PCCE-all/DCCE-all</t>
  </si>
  <si>
    <t>Static Runtime Overhead</t>
  </si>
  <si>
    <t>Dynamic Runtime Overhead</t>
  </si>
  <si>
    <t>CCENC-PCCE</t>
  </si>
  <si>
    <t>CCENC-DCCE</t>
  </si>
  <si>
    <t>BarrierElision-PCCE</t>
  </si>
  <si>
    <t>BarrierElision-DCCE</t>
  </si>
  <si>
    <t>WHISTLE-PCCE</t>
  </si>
  <si>
    <t>WHISTLE-DCCE</t>
  </si>
  <si>
    <t>CCENC-DrCCTProf</t>
  </si>
  <si>
    <t>BarrierElision-DrCCTProf</t>
  </si>
  <si>
    <t>WHISTLE-DrCCTProf</t>
  </si>
  <si>
    <t>4.4B</t>
  </si>
  <si>
    <t>killed</t>
  </si>
  <si>
    <t>505.mcf_r.out</t>
  </si>
  <si>
    <t>508.namd_r.out</t>
  </si>
  <si>
    <t>510.parest_r.out</t>
  </si>
  <si>
    <t>519.lbm_r.out</t>
  </si>
  <si>
    <t>520.omnetpp_r.out</t>
  </si>
  <si>
    <t>523.xalancbmk_r.out</t>
  </si>
  <si>
    <t>525.x264_r.out</t>
  </si>
  <si>
    <t>541.leela_r.out</t>
  </si>
  <si>
    <t>557.xz_r.out</t>
  </si>
  <si>
    <t>605.mcf_s.out</t>
  </si>
  <si>
    <t>619.lbm_s.out</t>
  </si>
  <si>
    <t>620.omnetpp_s.out</t>
  </si>
  <si>
    <t>623.xalancbmk_s.out</t>
  </si>
  <si>
    <t>625.x264_s.out</t>
  </si>
  <si>
    <t>641.leela_s.out</t>
  </si>
  <si>
    <t>657.xz_s.out</t>
  </si>
  <si>
    <t>Need to run together</t>
  </si>
  <si>
    <t>BE-DrCCTProf</t>
  </si>
  <si>
    <t>BE-DCCE</t>
  </si>
  <si>
    <t>BE-PCCE</t>
  </si>
  <si>
    <t>run 1</t>
  </si>
  <si>
    <t>run 2</t>
  </si>
  <si>
    <t>run 3</t>
  </si>
  <si>
    <t>run 4</t>
  </si>
  <si>
    <t>run 5</t>
  </si>
  <si>
    <t>Edges with 
non zero weight (PCCE)</t>
  </si>
  <si>
    <t>Percentage of 
Non-zero edge weight (PCCE)</t>
  </si>
  <si>
    <t>SPEC</t>
  </si>
  <si>
    <t>SPLASH-3</t>
  </si>
  <si>
    <t>MAX Encoding</t>
  </si>
  <si>
    <t>Benchmark</t>
  </si>
  <si>
    <t>DCCE/DrCCTProf</t>
  </si>
  <si>
    <t># CC Encoding</t>
  </si>
  <si>
    <t># getCCID()</t>
  </si>
  <si>
    <t>BarrierElision</t>
  </si>
  <si>
    <t>WHISTLE</t>
  </si>
  <si>
    <t>run5</t>
  </si>
  <si>
    <t>slowdown over native</t>
  </si>
  <si>
    <t>speedup over pcce</t>
  </si>
  <si>
    <t>Dynamic Instrumentation</t>
  </si>
  <si>
    <t>Static Instrumentation</t>
  </si>
  <si>
    <t>EmptyClient</t>
  </si>
  <si>
    <t>barnes</t>
  </si>
  <si>
    <t>cholesky</t>
  </si>
  <si>
    <t>fft</t>
  </si>
  <si>
    <t>fmm</t>
  </si>
  <si>
    <t>lu-cb</t>
  </si>
  <si>
    <t>lu-ncb</t>
  </si>
  <si>
    <t>ocean-cp</t>
  </si>
  <si>
    <t>ocean-ncp</t>
  </si>
  <si>
    <t>radiosity</t>
  </si>
  <si>
    <t>radix</t>
  </si>
  <si>
    <t>raytrace</t>
  </si>
  <si>
    <t>water-nsquared</t>
  </si>
  <si>
    <t>water-spatial</t>
  </si>
  <si>
    <t>Ratio</t>
  </si>
  <si>
    <t>Static Instrumentation (averaged)</t>
  </si>
  <si>
    <t>Dynamic Instrumentation (averaged)</t>
  </si>
  <si>
    <t>Benchmark suites</t>
  </si>
  <si>
    <t>CCEnc</t>
  </si>
  <si>
    <t>CCID Query</t>
  </si>
  <si>
    <t>Splash</t>
  </si>
  <si>
    <t>CCENC-DrcctProf</t>
  </si>
  <si>
    <t>Static Instrument</t>
  </si>
  <si>
    <t>Dynamic Instrument</t>
  </si>
  <si>
    <t>didn't run</t>
  </si>
  <si>
    <t>static</t>
  </si>
  <si>
    <t>dynamic</t>
  </si>
  <si>
    <t>WHISTLE-DrCCTLib</t>
  </si>
  <si>
    <t>Static</t>
  </si>
  <si>
    <t>Dynamic</t>
  </si>
  <si>
    <t>W-D</t>
  </si>
  <si>
    <t>W-P</t>
  </si>
  <si>
    <t>W-Dr</t>
  </si>
  <si>
    <t>Slowdown over Native</t>
  </si>
  <si>
    <t>Speedup Over PCCE</t>
  </si>
  <si>
    <t>Speedup Over DrCCTProf</t>
  </si>
  <si>
    <t># Encoding(DCCE)</t>
  </si>
  <si>
    <t># Encoding(PCCE)</t>
  </si>
  <si>
    <t>#GetCCID(PCCE/DCCE)</t>
  </si>
  <si>
    <t>Barrier-Elision</t>
  </si>
  <si>
    <t>#Encoding(DCCE)/#Encoding(PCCE)</t>
  </si>
  <si>
    <t>Encoding_Time</t>
  </si>
  <si>
    <t>GetCCID_Time</t>
  </si>
  <si>
    <t>SPEC2017</t>
  </si>
  <si>
    <t>Splash-3</t>
  </si>
  <si>
    <t>Encoding</t>
  </si>
  <si>
    <t>Average Execution Time</t>
  </si>
  <si>
    <t>GetCCID</t>
  </si>
  <si>
    <t>Kill by OOM during callgraph generation</t>
  </si>
  <si>
    <t>Never finish during CCW gen</t>
  </si>
  <si>
    <t>linking issue with clang (gcc is okay)</t>
  </si>
  <si>
    <t>Average</t>
  </si>
  <si>
    <t>Encoding of BE-PCCE</t>
  </si>
  <si>
    <t>Encoding of BE-DCCE</t>
  </si>
  <si>
    <t>GetCCID of BE-PCCE</t>
  </si>
  <si>
    <t>GetCCID of BE-DCCE</t>
  </si>
  <si>
    <t>Indrect Calls (excluded from Edges)</t>
  </si>
  <si>
    <t>Indirect Calls</t>
  </si>
  <si>
    <t>Static-Instrument</t>
  </si>
  <si>
    <t>Speed up of W-D over W-P</t>
  </si>
  <si>
    <t>Speed up of B-D over B-P</t>
  </si>
  <si>
    <t>Dynamic-Instrument</t>
  </si>
  <si>
    <t>Speed up of W-D over W-DR</t>
  </si>
  <si>
    <t>1.78(278.83/156.99)</t>
  </si>
  <si>
    <t>2.19(209.04/95.36)</t>
  </si>
  <si>
    <t>0.98(27.83/28.28)</t>
  </si>
  <si>
    <t>3.95(2,293.61/580.68)</t>
  </si>
  <si>
    <t>3.82(8,621.54/2,258.04)</t>
  </si>
  <si>
    <t>callgraph</t>
  </si>
  <si>
    <t>ccenc</t>
  </si>
  <si>
    <t>static-instr</t>
  </si>
  <si>
    <t>dynamic-instr</t>
  </si>
  <si>
    <t>sec</t>
  </si>
  <si>
    <t>Edges</t>
  </si>
  <si>
    <t>Indirec Calls</t>
  </si>
  <si>
    <t>Max Callpaths</t>
  </si>
  <si>
    <t>CCW Size (KB)</t>
  </si>
  <si>
    <t>Whistle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</si>
</sst>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0.0"/>
    <numFmt numFmtId="168" formatCode="_(* #,##0.000000_);_(* \(#,##0.000000\);_(* &quot;-&quot;??_);_(@_)"/>
    <numFmt numFmtId="169" formatCode="0.0000%"/>
    <numFmt numFmtId="170" formatCode="_(* #,##0.0000000000_);_(* \(#,##0.000000000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w Cen MT"/>
      <family val="2"/>
    </font>
    <font>
      <b/>
      <sz val="10"/>
      <color rgb="FF000000"/>
      <name val="Tahoma"/>
      <family val="2"/>
    </font>
    <font>
      <sz val="14"/>
      <color rgb="FF000000"/>
      <name val="Tw Cen MT"/>
      <family val="2"/>
    </font>
    <font>
      <sz val="12"/>
      <color theme="1"/>
      <name val="Tw Cen MT"/>
      <family val="2"/>
    </font>
    <font>
      <sz val="12"/>
      <color rgb="FFFF0000"/>
      <name val="Calibri"/>
      <family val="2"/>
      <scheme val="minor"/>
    </font>
    <font>
      <sz val="12"/>
      <color rgb="FF000000"/>
      <name val="Tw Cen MT"/>
      <family val="2"/>
    </font>
    <font>
      <sz val="12"/>
      <color rgb="FFFF0000"/>
      <name val="Tw Cen MT"/>
      <family val="2"/>
    </font>
    <font>
      <b/>
      <sz val="20"/>
      <color rgb="FF000000"/>
      <name val="Tw Cen MT"/>
      <family val="2"/>
    </font>
    <font>
      <sz val="12"/>
      <name val="Tw Cen M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0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2" fillId="2" borderId="1" xfId="0" applyFont="1" applyFill="1" applyBorder="1"/>
    <xf numFmtId="164" fontId="2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164" fontId="2" fillId="4" borderId="1" xfId="1" applyNumberFormat="1" applyFont="1" applyFill="1" applyBorder="1"/>
    <xf numFmtId="0" fontId="0" fillId="0" borderId="1" xfId="0" applyBorder="1"/>
    <xf numFmtId="0" fontId="4" fillId="0" borderId="5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1" xfId="0" applyFont="1" applyBorder="1"/>
    <xf numFmtId="0" fontId="4" fillId="5" borderId="8" xfId="0" applyFont="1" applyFill="1" applyBorder="1"/>
    <xf numFmtId="0" fontId="4" fillId="5" borderId="1" xfId="0" applyFont="1" applyFill="1" applyBorder="1"/>
    <xf numFmtId="0" fontId="4" fillId="5" borderId="5" xfId="0" applyFont="1" applyFill="1" applyBorder="1"/>
    <xf numFmtId="0" fontId="4" fillId="5" borderId="2" xfId="0" applyFont="1" applyFill="1" applyBorder="1"/>
    <xf numFmtId="0" fontId="4" fillId="5" borderId="4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vertical="center"/>
    </xf>
    <xf numFmtId="43" fontId="2" fillId="0" borderId="1" xfId="1" applyFont="1" applyBorder="1"/>
    <xf numFmtId="43" fontId="2" fillId="0" borderId="0" xfId="1" applyFont="1" applyBorder="1"/>
    <xf numFmtId="164" fontId="2" fillId="0" borderId="0" xfId="1" applyNumberFormat="1" applyFont="1" applyBorder="1"/>
    <xf numFmtId="0" fontId="2" fillId="4" borderId="1" xfId="0" applyFont="1" applyFill="1" applyBorder="1"/>
    <xf numFmtId="164" fontId="2" fillId="6" borderId="1" xfId="1" applyNumberFormat="1" applyFont="1" applyFill="1" applyBorder="1"/>
    <xf numFmtId="164" fontId="2" fillId="0" borderId="0" xfId="0" applyNumberFormat="1" applyFont="1"/>
    <xf numFmtId="166" fontId="2" fillId="0" borderId="1" xfId="1" applyNumberFormat="1" applyFont="1" applyBorder="1"/>
    <xf numFmtId="167" fontId="2" fillId="0" borderId="1" xfId="0" applyNumberFormat="1" applyFont="1" applyBorder="1"/>
    <xf numFmtId="167" fontId="2" fillId="0" borderId="0" xfId="0" applyNumberFormat="1" applyFont="1"/>
    <xf numFmtId="164" fontId="4" fillId="0" borderId="5" xfId="0" applyNumberFormat="1" applyFont="1" applyBorder="1"/>
    <xf numFmtId="0" fontId="2" fillId="0" borderId="1" xfId="0" applyFont="1" applyBorder="1" applyAlignment="1">
      <alignment vertical="center" wrapText="1"/>
    </xf>
    <xf numFmtId="43" fontId="2" fillId="0" borderId="0" xfId="0" applyNumberFormat="1" applyFont="1"/>
    <xf numFmtId="165" fontId="2" fillId="0" borderId="1" xfId="1" applyNumberFormat="1" applyFont="1" applyBorder="1"/>
    <xf numFmtId="168" fontId="2" fillId="0" borderId="1" xfId="1" applyNumberFormat="1" applyFont="1" applyBorder="1"/>
    <xf numFmtId="43" fontId="0" fillId="0" borderId="0" xfId="1" applyFont="1"/>
    <xf numFmtId="164" fontId="0" fillId="0" borderId="1" xfId="1" applyNumberFormat="1" applyFont="1" applyBorder="1"/>
    <xf numFmtId="10" fontId="0" fillId="0" borderId="1" xfId="2" applyNumberFormat="1" applyFont="1" applyBorder="1"/>
    <xf numFmtId="0" fontId="0" fillId="3" borderId="1" xfId="0" applyFill="1" applyBorder="1"/>
    <xf numFmtId="164" fontId="0" fillId="3" borderId="1" xfId="1" applyNumberFormat="1" applyFont="1" applyFill="1" applyBorder="1"/>
    <xf numFmtId="10" fontId="0" fillId="3" borderId="1" xfId="2" applyNumberFormat="1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10" fontId="0" fillId="4" borderId="1" xfId="2" applyNumberFormat="1" applyFont="1" applyFill="1" applyBorder="1"/>
    <xf numFmtId="0" fontId="0" fillId="0" borderId="6" xfId="0" applyBorder="1"/>
    <xf numFmtId="10" fontId="2" fillId="0" borderId="1" xfId="2" applyNumberFormat="1" applyFont="1" applyBorder="1"/>
    <xf numFmtId="0" fontId="4" fillId="4" borderId="1" xfId="0" applyFont="1" applyFill="1" applyBorder="1"/>
    <xf numFmtId="166" fontId="2" fillId="4" borderId="1" xfId="1" applyNumberFormat="1" applyFont="1" applyFill="1" applyBorder="1"/>
    <xf numFmtId="10" fontId="2" fillId="4" borderId="1" xfId="2" applyNumberFormat="1" applyFont="1" applyFill="1" applyBorder="1"/>
    <xf numFmtId="0" fontId="5" fillId="4" borderId="1" xfId="0" applyFont="1" applyFill="1" applyBorder="1"/>
    <xf numFmtId="0" fontId="2" fillId="7" borderId="1" xfId="0" applyFont="1" applyFill="1" applyBorder="1"/>
    <xf numFmtId="166" fontId="2" fillId="7" borderId="1" xfId="1" applyNumberFormat="1" applyFont="1" applyFill="1" applyBorder="1"/>
    <xf numFmtId="164" fontId="2" fillId="7" borderId="1" xfId="1" applyNumberFormat="1" applyFont="1" applyFill="1" applyBorder="1"/>
    <xf numFmtId="10" fontId="2" fillId="7" borderId="1" xfId="2" applyNumberFormat="1" applyFont="1" applyFill="1" applyBorder="1"/>
    <xf numFmtId="169" fontId="0" fillId="4" borderId="1" xfId="2" applyNumberFormat="1" applyFont="1" applyFill="1" applyBorder="1"/>
    <xf numFmtId="0" fontId="4" fillId="2" borderId="8" xfId="0" applyFont="1" applyFill="1" applyBorder="1"/>
    <xf numFmtId="0" fontId="4" fillId="8" borderId="8" xfId="0" applyFont="1" applyFill="1" applyBorder="1"/>
    <xf numFmtId="0" fontId="4" fillId="9" borderId="8" xfId="0" applyFont="1" applyFill="1" applyBorder="1"/>
    <xf numFmtId="0" fontId="4" fillId="9" borderId="1" xfId="0" applyFont="1" applyFill="1" applyBorder="1"/>
    <xf numFmtId="0" fontId="4" fillId="2" borderId="1" xfId="0" applyFont="1" applyFill="1" applyBorder="1"/>
    <xf numFmtId="0" fontId="4" fillId="10" borderId="5" xfId="0" applyFont="1" applyFill="1" applyBorder="1"/>
    <xf numFmtId="0" fontId="4" fillId="10" borderId="8" xfId="0" applyFont="1" applyFill="1" applyBorder="1"/>
    <xf numFmtId="0" fontId="4" fillId="11" borderId="5" xfId="0" applyFont="1" applyFill="1" applyBorder="1"/>
    <xf numFmtId="0" fontId="4" fillId="11" borderId="8" xfId="0" applyFont="1" applyFill="1" applyBorder="1"/>
    <xf numFmtId="0" fontId="4" fillId="11" borderId="1" xfId="0" applyFont="1" applyFill="1" applyBorder="1"/>
    <xf numFmtId="164" fontId="2" fillId="0" borderId="1" xfId="1" quotePrefix="1" applyNumberFormat="1" applyFont="1" applyBorder="1"/>
    <xf numFmtId="43" fontId="2" fillId="2" borderId="1" xfId="1" applyFont="1" applyFill="1" applyBorder="1"/>
    <xf numFmtId="164" fontId="2" fillId="2" borderId="1" xfId="1" applyNumberFormat="1" applyFont="1" applyFill="1" applyBorder="1"/>
    <xf numFmtId="166" fontId="2" fillId="2" borderId="1" xfId="1" applyNumberFormat="1" applyFont="1" applyFill="1" applyBorder="1"/>
    <xf numFmtId="0" fontId="2" fillId="0" borderId="9" xfId="0" applyFont="1" applyBorder="1"/>
    <xf numFmtId="43" fontId="2" fillId="0" borderId="1" xfId="1" applyFont="1" applyFill="1" applyBorder="1"/>
    <xf numFmtId="0" fontId="2" fillId="0" borderId="6" xfId="0" applyFont="1" applyBorder="1"/>
    <xf numFmtId="43" fontId="2" fillId="0" borderId="0" xfId="1" applyFont="1" applyFill="1" applyBorder="1"/>
    <xf numFmtId="16" fontId="0" fillId="0" borderId="1" xfId="0" applyNumberFormat="1" applyBorder="1"/>
    <xf numFmtId="3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3" xfId="1" applyNumberFormat="1" applyFont="1" applyBorder="1"/>
    <xf numFmtId="43" fontId="2" fillId="0" borderId="3" xfId="1" applyFont="1" applyBorder="1"/>
    <xf numFmtId="0" fontId="4" fillId="0" borderId="0" xfId="0" applyFont="1"/>
    <xf numFmtId="43" fontId="2" fillId="2" borderId="3" xfId="1" applyFont="1" applyFill="1" applyBorder="1"/>
    <xf numFmtId="43" fontId="2" fillId="0" borderId="9" xfId="1" applyFont="1" applyFill="1" applyBorder="1"/>
    <xf numFmtId="0" fontId="2" fillId="0" borderId="9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0" borderId="9" xfId="0" applyFont="1" applyBorder="1"/>
    <xf numFmtId="164" fontId="0" fillId="0" borderId="0" xfId="0" applyNumberFormat="1"/>
    <xf numFmtId="47" fontId="0" fillId="0" borderId="0" xfId="0" applyNumberFormat="1"/>
    <xf numFmtId="0" fontId="0" fillId="0" borderId="1" xfId="0" applyBorder="1" applyAlignment="1">
      <alignment horizontal="center"/>
    </xf>
    <xf numFmtId="43" fontId="0" fillId="0" borderId="0" xfId="0" applyNumberForma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3" fontId="5" fillId="0" borderId="1" xfId="1" applyFont="1" applyBorder="1"/>
    <xf numFmtId="43" fontId="7" fillId="0" borderId="1" xfId="1" applyFont="1" applyBorder="1"/>
    <xf numFmtId="43" fontId="5" fillId="0" borderId="1" xfId="1" applyFont="1" applyBorder="1" applyAlignment="1">
      <alignment horizontal="center" vertical="center"/>
    </xf>
    <xf numFmtId="43" fontId="7" fillId="0" borderId="1" xfId="1" applyFont="1" applyFill="1" applyBorder="1"/>
    <xf numFmtId="43" fontId="5" fillId="0" borderId="1" xfId="1" applyFont="1" applyFill="1" applyBorder="1"/>
    <xf numFmtId="43" fontId="5" fillId="0" borderId="3" xfId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3" fontId="5" fillId="0" borderId="1" xfId="1" applyFont="1" applyBorder="1" applyAlignment="1">
      <alignment vertical="center"/>
    </xf>
    <xf numFmtId="43" fontId="7" fillId="0" borderId="1" xfId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43" fontId="7" fillId="0" borderId="1" xfId="1" applyFont="1" applyFill="1" applyBorder="1" applyAlignment="1">
      <alignment vertical="center"/>
    </xf>
    <xf numFmtId="164" fontId="5" fillId="0" borderId="1" xfId="1" quotePrefix="1" applyNumberFormat="1" applyFont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164" fontId="7" fillId="0" borderId="8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vertical="center"/>
    </xf>
    <xf numFmtId="43" fontId="5" fillId="0" borderId="1" xfId="1" applyFont="1" applyFill="1" applyBorder="1" applyAlignment="1">
      <alignment horizontal="center" vertical="center"/>
    </xf>
    <xf numFmtId="43" fontId="5" fillId="0" borderId="10" xfId="1" applyFont="1" applyBorder="1" applyAlignment="1">
      <alignment vertical="center"/>
    </xf>
    <xf numFmtId="43" fontId="5" fillId="0" borderId="10" xfId="1" applyFont="1" applyBorder="1" applyAlignment="1">
      <alignment vertical="center" textRotation="90" wrapText="1"/>
    </xf>
    <xf numFmtId="0" fontId="7" fillId="3" borderId="1" xfId="0" applyFont="1" applyFill="1" applyBorder="1" applyAlignment="1">
      <alignment horizontal="center" vertical="center"/>
    </xf>
    <xf numFmtId="43" fontId="5" fillId="3" borderId="1" xfId="1" applyFont="1" applyFill="1" applyBorder="1"/>
    <xf numFmtId="43" fontId="7" fillId="3" borderId="1" xfId="1" applyFont="1" applyFill="1" applyBorder="1"/>
    <xf numFmtId="43" fontId="8" fillId="3" borderId="1" xfId="1" applyFont="1" applyFill="1" applyBorder="1"/>
    <xf numFmtId="43" fontId="0" fillId="3" borderId="1" xfId="1" applyFont="1" applyFill="1" applyBorder="1"/>
    <xf numFmtId="43" fontId="0" fillId="0" borderId="1" xfId="1" applyFont="1" applyBorder="1"/>
    <xf numFmtId="43" fontId="7" fillId="0" borderId="1" xfId="1" applyFont="1" applyBorder="1" applyAlignment="1">
      <alignment horizontal="center" vertical="center"/>
    </xf>
    <xf numFmtId="43" fontId="7" fillId="3" borderId="1" xfId="1" applyFont="1" applyFill="1" applyBorder="1" applyAlignment="1">
      <alignment horizontal="center" vertical="center"/>
    </xf>
    <xf numFmtId="43" fontId="5" fillId="0" borderId="1" xfId="1" quotePrefix="1" applyFont="1" applyBorder="1" applyAlignment="1">
      <alignment vertical="center"/>
    </xf>
    <xf numFmtId="43" fontId="5" fillId="0" borderId="1" xfId="1" applyFont="1" applyBorder="1" applyAlignment="1">
      <alignment vertical="center" textRotation="90" wrapText="1"/>
    </xf>
    <xf numFmtId="43" fontId="5" fillId="0" borderId="1" xfId="1" applyFont="1" applyBorder="1" applyAlignment="1">
      <alignment vertical="center" textRotation="90"/>
    </xf>
    <xf numFmtId="43" fontId="7" fillId="0" borderId="1" xfId="1" applyFont="1" applyFill="1" applyBorder="1" applyAlignment="1">
      <alignment horizontal="center" vertical="center"/>
    </xf>
    <xf numFmtId="43" fontId="0" fillId="0" borderId="1" xfId="1" applyFont="1" applyFill="1" applyBorder="1"/>
    <xf numFmtId="43" fontId="1" fillId="3" borderId="1" xfId="1" applyFont="1" applyFill="1" applyBorder="1"/>
    <xf numFmtId="43" fontId="1" fillId="0" borderId="1" xfId="1" applyFont="1" applyBorder="1"/>
    <xf numFmtId="43" fontId="7" fillId="3" borderId="1" xfId="0" applyNumberFormat="1" applyFont="1" applyFill="1" applyBorder="1"/>
    <xf numFmtId="43" fontId="10" fillId="0" borderId="1" xfId="1" applyFont="1" applyFill="1" applyBorder="1"/>
    <xf numFmtId="43" fontId="0" fillId="3" borderId="1" xfId="0" applyNumberFormat="1" applyFill="1" applyBorder="1"/>
    <xf numFmtId="43" fontId="0" fillId="0" borderId="1" xfId="0" applyNumberFormat="1" applyBorder="1"/>
    <xf numFmtId="164" fontId="5" fillId="0" borderId="10" xfId="1" applyNumberFormat="1" applyFont="1" applyBorder="1" applyAlignment="1">
      <alignment vertical="center"/>
    </xf>
    <xf numFmtId="43" fontId="5" fillId="0" borderId="10" xfId="1" applyFont="1" applyBorder="1"/>
    <xf numFmtId="43" fontId="7" fillId="3" borderId="10" xfId="1" applyFont="1" applyFill="1" applyBorder="1"/>
    <xf numFmtId="43" fontId="5" fillId="3" borderId="10" xfId="1" applyFont="1" applyFill="1" applyBorder="1"/>
    <xf numFmtId="43" fontId="1" fillId="3" borderId="10" xfId="1" applyFont="1" applyFill="1" applyBorder="1"/>
    <xf numFmtId="43" fontId="1" fillId="0" borderId="10" xfId="1" applyFont="1" applyBorder="1"/>
    <xf numFmtId="43" fontId="7" fillId="0" borderId="10" xfId="1" applyFont="1" applyBorder="1" applyAlignment="1">
      <alignment horizontal="center" vertical="center"/>
    </xf>
    <xf numFmtId="43" fontId="7" fillId="3" borderId="10" xfId="1" applyFont="1" applyFill="1" applyBorder="1" applyAlignment="1">
      <alignment horizontal="center" vertical="center"/>
    </xf>
    <xf numFmtId="43" fontId="7" fillId="0" borderId="15" xfId="1" applyFont="1" applyFill="1" applyBorder="1" applyAlignment="1">
      <alignment vertical="center"/>
    </xf>
    <xf numFmtId="43" fontId="5" fillId="0" borderId="15" xfId="1" applyFont="1" applyBorder="1"/>
    <xf numFmtId="43" fontId="5" fillId="3" borderId="15" xfId="1" applyFont="1" applyFill="1" applyBorder="1"/>
    <xf numFmtId="43" fontId="0" fillId="3" borderId="15" xfId="0" applyNumberFormat="1" applyFill="1" applyBorder="1"/>
    <xf numFmtId="0" fontId="0" fillId="3" borderId="15" xfId="0" applyFill="1" applyBorder="1"/>
    <xf numFmtId="43" fontId="1" fillId="3" borderId="15" xfId="1" applyFont="1" applyFill="1" applyBorder="1"/>
    <xf numFmtId="43" fontId="0" fillId="0" borderId="15" xfId="0" applyNumberFormat="1" applyBorder="1"/>
    <xf numFmtId="0" fontId="0" fillId="0" borderId="15" xfId="0" applyBorder="1"/>
    <xf numFmtId="43" fontId="1" fillId="0" borderId="15" xfId="1" applyFont="1" applyBorder="1"/>
    <xf numFmtId="43" fontId="7" fillId="3" borderId="15" xfId="1" applyFont="1" applyFill="1" applyBorder="1"/>
    <xf numFmtId="43" fontId="7" fillId="0" borderId="15" xfId="1" applyFont="1" applyBorder="1"/>
    <xf numFmtId="43" fontId="5" fillId="0" borderId="15" xfId="1" applyFont="1" applyFill="1" applyBorder="1"/>
    <xf numFmtId="43" fontId="5" fillId="0" borderId="10" xfId="1" quotePrefix="1" applyFont="1" applyBorder="1" applyAlignment="1">
      <alignment vertical="center"/>
    </xf>
    <xf numFmtId="43" fontId="0" fillId="3" borderId="10" xfId="1" applyFont="1" applyFill="1" applyBorder="1"/>
    <xf numFmtId="43" fontId="0" fillId="3" borderId="15" xfId="1" applyFont="1" applyFill="1" applyBorder="1"/>
    <xf numFmtId="43" fontId="7" fillId="3" borderId="15" xfId="0" applyNumberFormat="1" applyFont="1" applyFill="1" applyBorder="1"/>
    <xf numFmtId="164" fontId="5" fillId="2" borderId="1" xfId="1" applyNumberFormat="1" applyFont="1" applyFill="1" applyBorder="1" applyAlignment="1">
      <alignment vertical="center"/>
    </xf>
    <xf numFmtId="43" fontId="7" fillId="2" borderId="10" xfId="1" applyFont="1" applyFill="1" applyBorder="1"/>
    <xf numFmtId="43" fontId="7" fillId="2" borderId="1" xfId="1" applyFont="1" applyFill="1" applyBorder="1"/>
    <xf numFmtId="43" fontId="8" fillId="2" borderId="1" xfId="1" applyFont="1" applyFill="1" applyBorder="1"/>
    <xf numFmtId="43" fontId="7" fillId="2" borderId="10" xfId="1" applyFont="1" applyFill="1" applyBorder="1" applyAlignment="1">
      <alignment horizontal="center" vertical="center"/>
    </xf>
    <xf numFmtId="43" fontId="5" fillId="0" borderId="10" xfId="1" applyFont="1" applyFill="1" applyBorder="1"/>
    <xf numFmtId="43" fontId="5" fillId="0" borderId="7" xfId="1" applyFont="1" applyBorder="1" applyAlignment="1">
      <alignment vertical="center" textRotation="90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43" fontId="5" fillId="3" borderId="1" xfId="1" applyFont="1" applyFill="1" applyBorder="1" applyAlignment="1">
      <alignment vertical="center"/>
    </xf>
    <xf numFmtId="43" fontId="5" fillId="3" borderId="6" xfId="1" applyFont="1" applyFill="1" applyBorder="1" applyAlignment="1">
      <alignment vertical="center"/>
    </xf>
    <xf numFmtId="43" fontId="7" fillId="0" borderId="10" xfId="1" applyFont="1" applyFill="1" applyBorder="1"/>
    <xf numFmtId="43" fontId="7" fillId="0" borderId="15" xfId="1" applyFont="1" applyFill="1" applyBorder="1"/>
    <xf numFmtId="43" fontId="8" fillId="0" borderId="1" xfId="1" applyFont="1" applyFill="1" applyBorder="1"/>
    <xf numFmtId="43" fontId="7" fillId="3" borderId="15" xfId="1" applyFont="1" applyFill="1" applyBorder="1" applyAlignment="1">
      <alignment horizontal="center" vertical="center"/>
    </xf>
    <xf numFmtId="43" fontId="0" fillId="0" borderId="15" xfId="1" applyFont="1" applyFill="1" applyBorder="1"/>
    <xf numFmtId="43" fontId="7" fillId="0" borderId="10" xfId="1" applyFont="1" applyFill="1" applyBorder="1" applyAlignment="1">
      <alignment horizontal="center" vertical="center"/>
    </xf>
    <xf numFmtId="43" fontId="0" fillId="0" borderId="10" xfId="1" applyFont="1" applyFill="1" applyBorder="1"/>
    <xf numFmtId="43" fontId="10" fillId="0" borderId="1" xfId="1" applyFont="1" applyBorder="1" applyAlignment="1">
      <alignment vertical="center"/>
    </xf>
    <xf numFmtId="43" fontId="10" fillId="3" borderId="1" xfId="1" applyFont="1" applyFill="1" applyBorder="1" applyAlignment="1">
      <alignment vertical="center"/>
    </xf>
    <xf numFmtId="43" fontId="6" fillId="3" borderId="1" xfId="1" applyFont="1" applyFill="1" applyBorder="1"/>
    <xf numFmtId="164" fontId="7" fillId="0" borderId="1" xfId="1" applyNumberFormat="1" applyFont="1" applyFill="1" applyBorder="1" applyAlignment="1">
      <alignment vertical="center"/>
    </xf>
    <xf numFmtId="43" fontId="5" fillId="0" borderId="1" xfId="1" quotePrefix="1" applyFont="1" applyFill="1" applyBorder="1" applyAlignment="1">
      <alignment vertical="center"/>
    </xf>
    <xf numFmtId="43" fontId="10" fillId="0" borderId="1" xfId="1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43" fontId="5" fillId="4" borderId="10" xfId="1" quotePrefix="1" applyFont="1" applyFill="1" applyBorder="1" applyAlignment="1">
      <alignment vertical="center"/>
    </xf>
    <xf numFmtId="43" fontId="5" fillId="4" borderId="10" xfId="1" applyFont="1" applyFill="1" applyBorder="1" applyAlignment="1">
      <alignment vertical="center"/>
    </xf>
    <xf numFmtId="43" fontId="5" fillId="4" borderId="1" xfId="1" quotePrefix="1" applyFont="1" applyFill="1" applyBorder="1" applyAlignment="1">
      <alignment vertical="center"/>
    </xf>
    <xf numFmtId="43" fontId="5" fillId="4" borderId="1" xfId="1" applyFont="1" applyFill="1" applyBorder="1" applyAlignment="1">
      <alignment vertical="center"/>
    </xf>
    <xf numFmtId="0" fontId="0" fillId="13" borderId="1" xfId="0" applyFill="1" applyBorder="1" applyAlignment="1">
      <alignment horizontal="center"/>
    </xf>
    <xf numFmtId="43" fontId="5" fillId="13" borderId="10" xfId="1" applyFont="1" applyFill="1" applyBorder="1" applyAlignment="1">
      <alignment vertical="center"/>
    </xf>
    <xf numFmtId="43" fontId="5" fillId="13" borderId="1" xfId="1" applyFont="1" applyFill="1" applyBorder="1" applyAlignment="1">
      <alignment vertical="center"/>
    </xf>
    <xf numFmtId="9" fontId="0" fillId="0" borderId="0" xfId="2" applyFont="1"/>
    <xf numFmtId="43" fontId="0" fillId="0" borderId="9" xfId="1" applyFont="1" applyFill="1" applyBorder="1"/>
    <xf numFmtId="170" fontId="0" fillId="0" borderId="0" xfId="1" applyNumberFormat="1" applyFont="1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43" fontId="5" fillId="0" borderId="6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43" fontId="5" fillId="0" borderId="6" xfId="1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 textRotation="90"/>
    </xf>
    <xf numFmtId="43" fontId="5" fillId="0" borderId="1" xfId="1" applyFont="1" applyBorder="1" applyAlignment="1">
      <alignment horizontal="center" vertical="center" textRotation="90"/>
    </xf>
    <xf numFmtId="43" fontId="5" fillId="0" borderId="6" xfId="1" applyFont="1" applyBorder="1" applyAlignment="1">
      <alignment horizontal="center" vertical="center" textRotation="90" wrapText="1"/>
    </xf>
    <xf numFmtId="43" fontId="5" fillId="0" borderId="9" xfId="1" applyFont="1" applyBorder="1" applyAlignment="1">
      <alignment horizontal="center" vertical="center" textRotation="90" wrapText="1"/>
    </xf>
    <xf numFmtId="43" fontId="5" fillId="0" borderId="16" xfId="1" applyFont="1" applyBorder="1" applyAlignment="1">
      <alignment horizontal="center" vertical="center" textRotation="90" wrapText="1"/>
    </xf>
    <xf numFmtId="43" fontId="5" fillId="0" borderId="9" xfId="1" applyFont="1" applyBorder="1" applyAlignment="1">
      <alignment horizontal="center" vertical="center" textRotation="90"/>
    </xf>
    <xf numFmtId="43" fontId="5" fillId="0" borderId="7" xfId="1" applyFont="1" applyBorder="1" applyAlignment="1">
      <alignment horizontal="center" vertical="center" textRotation="90"/>
    </xf>
    <xf numFmtId="43" fontId="5" fillId="0" borderId="14" xfId="1" applyFont="1" applyBorder="1" applyAlignment="1">
      <alignment horizontal="center" vertical="center" textRotation="90" wrapText="1"/>
    </xf>
    <xf numFmtId="43" fontId="5" fillId="0" borderId="7" xfId="1" applyFont="1" applyBorder="1" applyAlignment="1">
      <alignment horizontal="center" vertical="center" textRotation="90" wrapText="1"/>
    </xf>
    <xf numFmtId="43" fontId="5" fillId="0" borderId="1" xfId="1" applyFont="1" applyBorder="1" applyAlignment="1">
      <alignment horizontal="center" vertical="center" textRotation="90" wrapText="1"/>
    </xf>
    <xf numFmtId="43" fontId="5" fillId="0" borderId="15" xfId="1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3" fontId="5" fillId="0" borderId="13" xfId="1" applyFont="1" applyBorder="1" applyAlignment="1">
      <alignment horizontal="center" vertical="center"/>
    </xf>
    <xf numFmtId="43" fontId="5" fillId="0" borderId="14" xfId="1" applyFont="1" applyBorder="1" applyAlignment="1">
      <alignment horizontal="center" vertical="center"/>
    </xf>
    <xf numFmtId="43" fontId="5" fillId="0" borderId="11" xfId="1" applyFont="1" applyBorder="1" applyAlignment="1">
      <alignment horizontal="center" vertical="center"/>
    </xf>
    <xf numFmtId="43" fontId="5" fillId="0" borderId="8" xfId="1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3" fontId="5" fillId="0" borderId="10" xfId="1" applyFont="1" applyBorder="1" applyAlignment="1">
      <alignment horizontal="center" vertical="center" textRotation="90" wrapText="1"/>
    </xf>
    <xf numFmtId="43" fontId="5" fillId="0" borderId="6" xfId="1" applyFont="1" applyBorder="1" applyAlignment="1">
      <alignment horizontal="center" vertical="center" textRotation="90"/>
    </xf>
    <xf numFmtId="0" fontId="9" fillId="14" borderId="12" xfId="0" applyFont="1" applyFill="1" applyBorder="1" applyAlignment="1">
      <alignment horizontal="center"/>
    </xf>
    <xf numFmtId="0" fontId="9" fillId="14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 wrapText="1"/>
    </xf>
    <xf numFmtId="43" fontId="5" fillId="0" borderId="3" xfId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43" fontId="5" fillId="13" borderId="6" xfId="1" applyFont="1" applyFill="1" applyBorder="1" applyAlignment="1">
      <alignment horizontal="center" vertical="center" textRotation="90" wrapText="1"/>
    </xf>
    <xf numFmtId="43" fontId="5" fillId="13" borderId="9" xfId="1" applyFont="1" applyFill="1" applyBorder="1" applyAlignment="1">
      <alignment horizontal="center" vertical="center" textRotation="90" wrapText="1"/>
    </xf>
    <xf numFmtId="43" fontId="5" fillId="13" borderId="10" xfId="1" applyFont="1" applyFill="1" applyBorder="1" applyAlignment="1">
      <alignment horizontal="center" vertical="center" textRotation="90" wrapText="1"/>
    </xf>
    <xf numFmtId="43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43" fontId="0" fillId="2" borderId="0" xfId="1" applyFont="1" applyFill="1"/>
    <xf numFmtId="0" fontId="0" fillId="2" borderId="0" xfId="0" applyFill="1"/>
    <xf numFmtId="43" fontId="5" fillId="0" borderId="1" xfId="0" applyNumberFormat="1" applyFont="1" applyBorder="1"/>
    <xf numFmtId="0" fontId="5" fillId="0" borderId="9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4150614391195"/>
          <c:y val="0.21904053659959175"/>
          <c:w val="0.86015141814020657"/>
          <c:h val="0.49911064936327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Static_Overhead_SPEC2017!$B$23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Static_Overhead_SPEC2017!$B$24:$B$40</c:f>
              <c:numCache>
                <c:formatCode>_(* #,##0.00_);_(* \(#,##0.00\);_(* "-"??_);_(@_)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E64D-8E3A-629F42E216D8}"/>
            </c:ext>
          </c:extLst>
        </c:ser>
        <c:ser>
          <c:idx val="1"/>
          <c:order val="1"/>
          <c:tx>
            <c:strRef>
              <c:f>Static_Overhead_SPEC2017!$C$23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Static_Overhead_SPEC2017!$C$24:$C$40</c:f>
              <c:numCache>
                <c:formatCode>_(* #,##0.00_);_(* \(#,##0.00\);_(* "-"??_);_(@_)</c:formatCode>
                <c:ptCount val="17"/>
                <c:pt idx="0">
                  <c:v>1.7103958136846269</c:v>
                </c:pt>
                <c:pt idx="1">
                  <c:v>1.6373122834039275</c:v>
                </c:pt>
                <c:pt idx="2">
                  <c:v>2.5291974471078951</c:v>
                </c:pt>
                <c:pt idx="3">
                  <c:v>1.2255798758575629</c:v>
                </c:pt>
                <c:pt idx="4">
                  <c:v>1.3342740265120132</c:v>
                </c:pt>
                <c:pt idx="5">
                  <c:v>1.7915722547262336</c:v>
                </c:pt>
                <c:pt idx="6">
                  <c:v>1.8157203658426153</c:v>
                </c:pt>
                <c:pt idx="7">
                  <c:v>1.687632842635598</c:v>
                </c:pt>
                <c:pt idx="8">
                  <c:v>1.6695261097693013</c:v>
                </c:pt>
                <c:pt idx="9">
                  <c:v>1.6856932175588026</c:v>
                </c:pt>
                <c:pt idx="10">
                  <c:v>0.96508848263882918</c:v>
                </c:pt>
                <c:pt idx="11">
                  <c:v>1.3483768598480907</c:v>
                </c:pt>
                <c:pt idx="12">
                  <c:v>1.7081217409086262</c:v>
                </c:pt>
                <c:pt idx="13">
                  <c:v>1.6892061781609196</c:v>
                </c:pt>
                <c:pt idx="14">
                  <c:v>1.599460464629004</c:v>
                </c:pt>
                <c:pt idx="15">
                  <c:v>1.9476324365774171</c:v>
                </c:pt>
                <c:pt idx="16">
                  <c:v>1.6126845866503123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E64D-8E3A-629F42E216D8}"/>
            </c:ext>
          </c:extLst>
        </c:ser>
        <c:ser>
          <c:idx val="2"/>
          <c:order val="2"/>
          <c:tx>
            <c:strRef>
              <c:f>Static_Overhead_SPEC2017!$D$23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197614730283263E-3"/>
                  <c:y val="0.267603285700398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6-0844-8284-BFB1EFEDB2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66-0844-8284-BFB1EFEDB2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66-0844-8284-BFB1EFEDB2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66-0844-8284-BFB1EFEDB2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76-7A47-B64D-348715FFE6B8}"/>
                </c:ext>
              </c:extLst>
            </c:dLbl>
            <c:dLbl>
              <c:idx val="5"/>
              <c:layout>
                <c:manualLayout>
                  <c:x val="-2.1387512363533119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66-0844-8284-BFB1EFEDB2A0}"/>
                </c:ext>
              </c:extLst>
            </c:dLbl>
            <c:dLbl>
              <c:idx val="6"/>
              <c:layout>
                <c:manualLayout>
                  <c:x val="7.2726138243466585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66-0844-8284-BFB1EFEDB2A0}"/>
                </c:ext>
              </c:extLst>
            </c:dLbl>
            <c:dLbl>
              <c:idx val="7"/>
              <c:layout>
                <c:manualLayout>
                  <c:x val="1.3860569366836707E-2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66-0844-8284-BFB1EFEDB2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66-0844-8284-BFB1EFEDB2A0}"/>
                </c:ext>
              </c:extLst>
            </c:dLbl>
            <c:dLbl>
              <c:idx val="9"/>
              <c:layout>
                <c:manualLayout>
                  <c:x val="-2.564782242132488E-4"/>
                  <c:y val="0.269146495576941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66-0844-8284-BFB1EFEDB2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66-0844-8284-BFB1EFEDB2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76-7A47-B64D-348715FFE6B8}"/>
                </c:ext>
              </c:extLst>
            </c:dLbl>
            <c:dLbl>
              <c:idx val="12"/>
              <c:layout>
                <c:manualLayout>
                  <c:x val="-3.0798877424232395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66-0844-8284-BFB1EFEDB2A0}"/>
                </c:ext>
              </c:extLst>
            </c:dLbl>
            <c:dLbl>
              <c:idx val="13"/>
              <c:layout>
                <c:manualLayout>
                  <c:x val="2.566931293996742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66-0844-8284-BFB1EFEDB2A0}"/>
                </c:ext>
              </c:extLst>
            </c:dLbl>
            <c:dLbl>
              <c:idx val="14"/>
              <c:layout>
                <c:manualLayout>
                  <c:x val="7.2726138243465891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466-0844-8284-BFB1EFEDB2A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466-0844-8284-BFB1EFEDB2A0}"/>
                </c:ext>
              </c:extLst>
            </c:dLbl>
            <c:dLbl>
              <c:idx val="16"/>
              <c:layout>
                <c:manualLayout>
                  <c:x val="-7.9840982018883049E-3"/>
                  <c:y val="0.2166500194420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466-0844-8284-BFB1EFEDB2A0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Static_Overhead_SPEC2017!$D$24:$D$40</c:f>
              <c:numCache>
                <c:formatCode>_(* #,##0.00_);_(* \(#,##0.00\);_(* "-"??_);_(@_)</c:formatCode>
                <c:ptCount val="17"/>
                <c:pt idx="0">
                  <c:v>21.375764398065048</c:v>
                </c:pt>
                <c:pt idx="1">
                  <c:v>2.6425490951097421</c:v>
                </c:pt>
                <c:pt idx="2">
                  <c:v>2.8280315593748431</c:v>
                </c:pt>
                <c:pt idx="3">
                  <c:v>1.310764456060111</c:v>
                </c:pt>
                <c:pt idx="4">
                  <c:v>2.9559859154929575</c:v>
                </c:pt>
                <c:pt idx="5">
                  <c:v>12.316953566234908</c:v>
                </c:pt>
                <c:pt idx="6">
                  <c:v>12.43412116272752</c:v>
                </c:pt>
                <c:pt idx="7">
                  <c:v>12.902463984885459</c:v>
                </c:pt>
                <c:pt idx="8">
                  <c:v>2.4952944115932372</c:v>
                </c:pt>
                <c:pt idx="9">
                  <c:v>24.357797474831077</c:v>
                </c:pt>
                <c:pt idx="10">
                  <c:v>1.0063803807591105</c:v>
                </c:pt>
                <c:pt idx="11">
                  <c:v>2.9344761211112269</c:v>
                </c:pt>
                <c:pt idx="12">
                  <c:v>12.368358269997614</c:v>
                </c:pt>
                <c:pt idx="13">
                  <c:v>12.338362068965518</c:v>
                </c:pt>
                <c:pt idx="14">
                  <c:v>12.940991592676985</c:v>
                </c:pt>
                <c:pt idx="15">
                  <c:v>3.087737235606109</c:v>
                </c:pt>
                <c:pt idx="16">
                  <c:v>5.7268698795566282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4-E64D-8E3A-629F42E216D8}"/>
            </c:ext>
          </c:extLst>
        </c:ser>
        <c:ser>
          <c:idx val="3"/>
          <c:order val="3"/>
          <c:tx>
            <c:strRef>
              <c:f>Static_Overhead_SPEC2017!$E$23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Static_Overhead_SPEC2017!$E$24:$E$40</c:f>
              <c:numCache>
                <c:formatCode>_(* #,##0.00_);_(* \(#,##0.00\);_(* "-"??_);_(@_)</c:formatCode>
                <c:ptCount val="17"/>
                <c:pt idx="0">
                  <c:v>1.7343393471051751</c:v>
                </c:pt>
                <c:pt idx="1">
                  <c:v>1.7070465922217943</c:v>
                </c:pt>
                <c:pt idx="2">
                  <c:v>2.5778682345846526</c:v>
                </c:pt>
                <c:pt idx="3">
                  <c:v>1.314970597843842</c:v>
                </c:pt>
                <c:pt idx="4">
                  <c:v>1.309419014084507</c:v>
                </c:pt>
                <c:pt idx="5">
                  <c:v>1.7757448679360142</c:v>
                </c:pt>
                <c:pt idx="6">
                  <c:v>1.89133387666395</c:v>
                </c:pt>
                <c:pt idx="7">
                  <c:v>1.6882363746096722</c:v>
                </c:pt>
                <c:pt idx="8">
                  <c:v>1.6823519613558757</c:v>
                </c:pt>
                <c:pt idx="9">
                  <c:v>1.7502370167491836</c:v>
                </c:pt>
                <c:pt idx="10">
                  <c:v>1.0087622749238998</c:v>
                </c:pt>
                <c:pt idx="11">
                  <c:v>1.3315731973780043</c:v>
                </c:pt>
                <c:pt idx="12">
                  <c:v>1.7895095600013633</c:v>
                </c:pt>
                <c:pt idx="13">
                  <c:v>1.8683548850574712</c:v>
                </c:pt>
                <c:pt idx="14">
                  <c:v>1.6913386239228936</c:v>
                </c:pt>
                <c:pt idx="15">
                  <c:v>2.0097130807080323</c:v>
                </c:pt>
                <c:pt idx="16">
                  <c:v>1.6607677624132051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4-E64D-8E3A-629F42E216D8}"/>
            </c:ext>
          </c:extLst>
        </c:ser>
        <c:ser>
          <c:idx val="4"/>
          <c:order val="4"/>
          <c:tx>
            <c:strRef>
              <c:f>Static_Overhead_SPEC2017!$F$23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Static_Overhead_SPEC2017!$F$24:$F$40</c:f>
              <c:numCache>
                <c:formatCode>_(* #,##0.00_);_(* \(#,##0.00\);_(* "-"??_);_(@_)</c:formatCode>
                <c:ptCount val="17"/>
                <c:pt idx="0">
                  <c:v>1.936718488545438</c:v>
                </c:pt>
                <c:pt idx="1">
                  <c:v>1.7102425876010781</c:v>
                </c:pt>
                <c:pt idx="2">
                  <c:v>2.5839991959394943</c:v>
                </c:pt>
                <c:pt idx="3">
                  <c:v>1.3118670369160406</c:v>
                </c:pt>
                <c:pt idx="4">
                  <c:v>1.4245028997514499</c:v>
                </c:pt>
                <c:pt idx="5">
                  <c:v>1.8433156346173358</c:v>
                </c:pt>
                <c:pt idx="6">
                  <c:v>1.9429502852485738</c:v>
                </c:pt>
                <c:pt idx="7">
                  <c:v>1.7269149019916554</c:v>
                </c:pt>
                <c:pt idx="8">
                  <c:v>1.6696093945198633</c:v>
                </c:pt>
                <c:pt idx="9">
                  <c:v>1.9552753156461151</c:v>
                </c:pt>
                <c:pt idx="10">
                  <c:v>1.009673757889487</c:v>
                </c:pt>
                <c:pt idx="11">
                  <c:v>1.4384299240453646</c:v>
                </c:pt>
                <c:pt idx="12">
                  <c:v>1.8334753416720631</c:v>
                </c:pt>
                <c:pt idx="13">
                  <c:v>1.9264547413793103</c:v>
                </c:pt>
                <c:pt idx="14">
                  <c:v>1.7253869725779838</c:v>
                </c:pt>
                <c:pt idx="15">
                  <c:v>2.0301616716723112</c:v>
                </c:pt>
                <c:pt idx="16">
                  <c:v>1.7188099331003612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4-E64D-8E3A-629F42E2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30071631671041"/>
          <c:y val="1.8259089141635074E-2"/>
          <c:w val="0.88536041393263332"/>
          <c:h val="0.1847027802080295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50274667013279"/>
          <c:y val="0.19776854282103626"/>
          <c:w val="0.85189024265103264"/>
          <c:h val="0.409576164090599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Static_Overhead_Splash3!$B$17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Static_Overhead_Splash3!$B$18:$B$31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E-5847-AE4A-75628940829F}"/>
            </c:ext>
          </c:extLst>
        </c:ser>
        <c:ser>
          <c:idx val="1"/>
          <c:order val="1"/>
          <c:tx>
            <c:strRef>
              <c:f>Static_Overhead_Splash3!$C$17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Static_Overhead_Splash3!$C$18:$C$31</c:f>
              <c:numCache>
                <c:formatCode>_(* #,##0.00_);_(* \(#,##0.00\);_(* "-"??_);_(@_)</c:formatCode>
                <c:ptCount val="14"/>
                <c:pt idx="0">
                  <c:v>2.1923076923076925</c:v>
                </c:pt>
                <c:pt idx="1">
                  <c:v>1.0454545454545454</c:v>
                </c:pt>
                <c:pt idx="2">
                  <c:v>1.0241137304300882</c:v>
                </c:pt>
                <c:pt idx="3">
                  <c:v>0.93181818181818177</c:v>
                </c:pt>
                <c:pt idx="4">
                  <c:v>1.7817142857142858</c:v>
                </c:pt>
                <c:pt idx="5">
                  <c:v>1.5210866752910737</c:v>
                </c:pt>
                <c:pt idx="6">
                  <c:v>1.0066334991708126</c:v>
                </c:pt>
                <c:pt idx="7">
                  <c:v>0.97901168969181718</c:v>
                </c:pt>
                <c:pt idx="8">
                  <c:v>2.6774193548387095</c:v>
                </c:pt>
                <c:pt idx="9">
                  <c:v>1.3530031612223392</c:v>
                </c:pt>
                <c:pt idx="10">
                  <c:v>1.0370496261046906</c:v>
                </c:pt>
                <c:pt idx="11">
                  <c:v>1.3771186440677967</c:v>
                </c:pt>
                <c:pt idx="12">
                  <c:v>1.5</c:v>
                </c:pt>
                <c:pt idx="13">
                  <c:v>1.3409621318138527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E-5847-AE4A-75628940829F}"/>
            </c:ext>
          </c:extLst>
        </c:ser>
        <c:ser>
          <c:idx val="2"/>
          <c:order val="2"/>
          <c:tx>
            <c:strRef>
              <c:f>Static_Overhead_Splash3!$D$17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1037839020122485E-3"/>
                  <c:y val="0.233965077282006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4A-D240-9DAC-93CE07DA462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4A-D240-9DAC-93CE07DA46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4A-D240-9DAC-93CE07DA46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4A-D240-9DAC-93CE07DA4624}"/>
                </c:ext>
              </c:extLst>
            </c:dLbl>
            <c:dLbl>
              <c:idx val="4"/>
              <c:layout>
                <c:manualLayout>
                  <c:x val="2.3676727909011375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4A-D240-9DAC-93CE07DA4624}"/>
                </c:ext>
              </c:extLst>
            </c:dLbl>
            <c:dLbl>
              <c:idx val="5"/>
              <c:layout>
                <c:manualLayout>
                  <c:x val="1.4387849956255469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4A-D240-9DAC-93CE07DA46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4A-D240-9DAC-93CE07DA462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4A-D240-9DAC-93CE07DA4624}"/>
                </c:ext>
              </c:extLst>
            </c:dLbl>
            <c:dLbl>
              <c:idx val="8"/>
              <c:layout>
                <c:manualLayout>
                  <c:x val="6.3156167979002624E-4"/>
                  <c:y val="0.238594706911636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4A-D240-9DAC-93CE07DA4624}"/>
                </c:ext>
              </c:extLst>
            </c:dLbl>
            <c:dLbl>
              <c:idx val="9"/>
              <c:layout>
                <c:manualLayout>
                  <c:x val="7.5152422353455817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4A-D240-9DAC-93CE07DA462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EB-8E4E-BB5A-AE877AD3F3CE}"/>
                </c:ext>
              </c:extLst>
            </c:dLbl>
            <c:dLbl>
              <c:idx val="11"/>
              <c:layout>
                <c:manualLayout>
                  <c:x val="7.5152422353455817E-3"/>
                  <c:y val="0.23550828715854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4A-D240-9DAC-93CE07DA4624}"/>
                </c:ext>
              </c:extLst>
            </c:dLbl>
            <c:dLbl>
              <c:idx val="12"/>
              <c:layout>
                <c:manualLayout>
                  <c:x val="1.1855485837707659E-2"/>
                  <c:y val="0.190171575775250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4A-D240-9DAC-93CE07DA462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4A-D240-9DAC-93CE07DA462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Static_Overhead_Splash3!$D$18:$D$31</c:f>
              <c:numCache>
                <c:formatCode>_(* #,##0.00_);_(* \(#,##0.00\);_(* "-"??_);_(@_)</c:formatCode>
                <c:ptCount val="14"/>
                <c:pt idx="0">
                  <c:v>15.76923076923077</c:v>
                </c:pt>
                <c:pt idx="1">
                  <c:v>2.6363636363636362</c:v>
                </c:pt>
                <c:pt idx="2">
                  <c:v>2.5805290624437647</c:v>
                </c:pt>
                <c:pt idx="3">
                  <c:v>1.7045454545454546</c:v>
                </c:pt>
                <c:pt idx="4">
                  <c:v>11.063619047619047</c:v>
                </c:pt>
                <c:pt idx="5">
                  <c:v>7.9055627425614485</c:v>
                </c:pt>
                <c:pt idx="6">
                  <c:v>1.0182421227197347</c:v>
                </c:pt>
                <c:pt idx="7">
                  <c:v>0.98618490967056327</c:v>
                </c:pt>
                <c:pt idx="8">
                  <c:v>28.838709677419356</c:v>
                </c:pt>
                <c:pt idx="9">
                  <c:v>8.1707060063224439</c:v>
                </c:pt>
                <c:pt idx="10">
                  <c:v>2.6730115567641062</c:v>
                </c:pt>
                <c:pt idx="11">
                  <c:v>6.8919491525423728</c:v>
                </c:pt>
                <c:pt idx="12">
                  <c:v>6.2777777777777777</c:v>
                </c:pt>
                <c:pt idx="13">
                  <c:v>4.6206638097694075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E-5847-AE4A-75628940829F}"/>
            </c:ext>
          </c:extLst>
        </c:ser>
        <c:ser>
          <c:idx val="3"/>
          <c:order val="3"/>
          <c:tx>
            <c:strRef>
              <c:f>Static_Overhead_Splash3!$E$17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Static_Overhead_Splash3!$E$18:$E$31</c:f>
              <c:numCache>
                <c:formatCode>_(* #,##0.00_);_(* \(#,##0.00\);_(* "-"??_);_(@_)</c:formatCode>
                <c:ptCount val="14"/>
                <c:pt idx="0">
                  <c:v>2.7307692307692308</c:v>
                </c:pt>
                <c:pt idx="1">
                  <c:v>1.0909090909090908</c:v>
                </c:pt>
                <c:pt idx="2">
                  <c:v>1.1693359726471118</c:v>
                </c:pt>
                <c:pt idx="3">
                  <c:v>0.95454545454545459</c:v>
                </c:pt>
                <c:pt idx="4">
                  <c:v>1.8213333333333332</c:v>
                </c:pt>
                <c:pt idx="5">
                  <c:v>1.4271668822768435</c:v>
                </c:pt>
                <c:pt idx="6">
                  <c:v>1.0071862907683804</c:v>
                </c:pt>
                <c:pt idx="7">
                  <c:v>0.98591923485653565</c:v>
                </c:pt>
                <c:pt idx="8">
                  <c:v>3.161290322580645</c:v>
                </c:pt>
                <c:pt idx="9">
                  <c:v>1.3582718651211803</c:v>
                </c:pt>
                <c:pt idx="10">
                  <c:v>1.073929299796057</c:v>
                </c:pt>
                <c:pt idx="11">
                  <c:v>1.4682203389830508</c:v>
                </c:pt>
                <c:pt idx="12">
                  <c:v>1.537037037037037</c:v>
                </c:pt>
                <c:pt idx="13">
                  <c:v>1.4127695343529236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E-5847-AE4A-75628940829F}"/>
            </c:ext>
          </c:extLst>
        </c:ser>
        <c:ser>
          <c:idx val="4"/>
          <c:order val="4"/>
          <c:tx>
            <c:strRef>
              <c:f>Static_Overhead_Splash3!$F$17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Static_Overhead_Splash3!$F$18:$F$31</c:f>
              <c:numCache>
                <c:formatCode>_(* #,##0.00_);_(* \(#,##0.00\);_(* "-"??_);_(@_)</c:formatCode>
                <c:ptCount val="14"/>
                <c:pt idx="0">
                  <c:v>2.8461538461538463</c:v>
                </c:pt>
                <c:pt idx="1">
                  <c:v>1.1363636363636365</c:v>
                </c:pt>
                <c:pt idx="2">
                  <c:v>1.1182292603922981</c:v>
                </c:pt>
                <c:pt idx="3">
                  <c:v>0.97727272727272729</c:v>
                </c:pt>
                <c:pt idx="4">
                  <c:v>1.7344761904761905</c:v>
                </c:pt>
                <c:pt idx="5">
                  <c:v>1.5060802069857697</c:v>
                </c:pt>
                <c:pt idx="6">
                  <c:v>1.007739082365948</c:v>
                </c:pt>
                <c:pt idx="7">
                  <c:v>1.0092986184909671</c:v>
                </c:pt>
                <c:pt idx="8">
                  <c:v>3.4193548387096775</c:v>
                </c:pt>
                <c:pt idx="9">
                  <c:v>1.3909378292939938</c:v>
                </c:pt>
                <c:pt idx="10">
                  <c:v>1.1794697484704282</c:v>
                </c:pt>
                <c:pt idx="11">
                  <c:v>1.6271186440677967</c:v>
                </c:pt>
                <c:pt idx="12">
                  <c:v>1.6851851851851851</c:v>
                </c:pt>
                <c:pt idx="13">
                  <c:v>1.4659923378379092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E-5847-AE4A-756289408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842239203157816"/>
          <c:y val="1.596431775142031E-2"/>
          <c:w val="0.85387701211544909"/>
          <c:h val="0.1582680810731991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7212106299212"/>
          <c:y val="0.2491331291921843"/>
          <c:w val="0.85272077318460193"/>
          <c:h val="0.46508675998833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Dyn_Overhead_SPEC2017!$B$21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Dyn_Overhead_SPEC2017!$B$22:$B$36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084A-8FE5-233D7BA91360}"/>
            </c:ext>
          </c:extLst>
        </c:ser>
        <c:ser>
          <c:idx val="2"/>
          <c:order val="1"/>
          <c:tx>
            <c:strRef>
              <c:f>Dyn_Overhead_SPEC2017!$C$21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Dyn_Overhead_SPEC2017!$C$22:$C$36</c:f>
              <c:numCache>
                <c:formatCode>_(* #,##0.00_);_(* \(#,##0.00\);_(* "-"??_);_(@_)</c:formatCode>
                <c:ptCount val="15"/>
                <c:pt idx="0">
                  <c:v>1.8634275457117648</c:v>
                </c:pt>
                <c:pt idx="1">
                  <c:v>1.7180978051597997</c:v>
                </c:pt>
                <c:pt idx="2">
                  <c:v>2.6148801447308911</c:v>
                </c:pt>
                <c:pt idx="3">
                  <c:v>1.7126347598823914</c:v>
                </c:pt>
                <c:pt idx="4">
                  <c:v>1.871047380702763</c:v>
                </c:pt>
                <c:pt idx="5">
                  <c:v>2.0961695191524043</c:v>
                </c:pt>
                <c:pt idx="6">
                  <c:v>1.8667506363326249</c:v>
                </c:pt>
                <c:pt idx="7">
                  <c:v>1.745898226034813</c:v>
                </c:pt>
                <c:pt idx="8">
                  <c:v>1.872116296218266</c:v>
                </c:pt>
                <c:pt idx="9">
                  <c:v>1.051567578722892</c:v>
                </c:pt>
                <c:pt idx="10">
                  <c:v>1.8700453290617225</c:v>
                </c:pt>
                <c:pt idx="11">
                  <c:v>2.078753591954023</c:v>
                </c:pt>
                <c:pt idx="12">
                  <c:v>1.8705377019983762</c:v>
                </c:pt>
                <c:pt idx="13">
                  <c:v>2.0591411591795001</c:v>
                </c:pt>
                <c:pt idx="14">
                  <c:v>1.8476181560103755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C-084A-8FE5-233D7BA91360}"/>
            </c:ext>
          </c:extLst>
        </c:ser>
        <c:ser>
          <c:idx val="3"/>
          <c:order val="2"/>
          <c:tx>
            <c:strRef>
              <c:f>Dyn_Overhead_SPEC2017!$D$21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Dyn_Overhead_SPEC2017!$D$22:$D$36</c:f>
              <c:numCache>
                <c:formatCode>_(* #,##0.00_);_(* \(#,##0.00\);_(* "-"??_);_(@_)</c:formatCode>
                <c:ptCount val="15"/>
                <c:pt idx="0">
                  <c:v>11.977851470990903</c:v>
                </c:pt>
                <c:pt idx="1">
                  <c:v>2.1906815556411243</c:v>
                </c:pt>
                <c:pt idx="2">
                  <c:v>4.5557816975727423</c:v>
                </c:pt>
                <c:pt idx="3">
                  <c:v>1.6963819013394315</c:v>
                </c:pt>
                <c:pt idx="4">
                  <c:v>7.6688761878994898</c:v>
                </c:pt>
                <c:pt idx="5">
                  <c:v>7.2963868513990766</c:v>
                </c:pt>
                <c:pt idx="6">
                  <c:v>7.2846571675982048</c:v>
                </c:pt>
                <c:pt idx="7">
                  <c:v>2.2697593070708755</c:v>
                </c:pt>
                <c:pt idx="8">
                  <c:v>11.527290785691713</c:v>
                </c:pt>
                <c:pt idx="9">
                  <c:v>1.0193905102584828</c:v>
                </c:pt>
                <c:pt idx="10">
                  <c:v>7.7165059132272251</c:v>
                </c:pt>
                <c:pt idx="11">
                  <c:v>7.2301544540229887</c:v>
                </c:pt>
                <c:pt idx="12">
                  <c:v>7.2107330871375819</c:v>
                </c:pt>
                <c:pt idx="13">
                  <c:v>2.6106140967473959</c:v>
                </c:pt>
                <c:pt idx="14">
                  <c:v>4.6655435097550528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C-084A-8FE5-233D7BA91360}"/>
            </c:ext>
          </c:extLst>
        </c:ser>
        <c:ser>
          <c:idx val="4"/>
          <c:order val="3"/>
          <c:tx>
            <c:strRef>
              <c:f>Dyn_Overhead_SPEC2017!$E$21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Dyn_Overhead_SPEC2017!$E$22:$E$36</c:f>
              <c:numCache>
                <c:formatCode>_(* #,##0.00_);_(* \(#,##0.00\);_(* "-"??_);_(@_)</c:formatCode>
                <c:ptCount val="15"/>
                <c:pt idx="0">
                  <c:v>9.8078128327603515</c:v>
                </c:pt>
                <c:pt idx="1">
                  <c:v>1.9727762803234501</c:v>
                </c:pt>
                <c:pt idx="2">
                  <c:v>3.6053319262274486</c:v>
                </c:pt>
                <c:pt idx="3">
                  <c:v>1.7067134923227703</c:v>
                </c:pt>
                <c:pt idx="4">
                  <c:v>4.8612059927626907</c:v>
                </c:pt>
                <c:pt idx="5">
                  <c:v>5.6994476138730414</c:v>
                </c:pt>
                <c:pt idx="6">
                  <c:v>4.3248051641344567</c:v>
                </c:pt>
                <c:pt idx="7">
                  <c:v>2.0695427667194135</c:v>
                </c:pt>
                <c:pt idx="8">
                  <c:v>9.4144557643978271</c:v>
                </c:pt>
                <c:pt idx="9">
                  <c:v>1.0154694137272775</c:v>
                </c:pt>
                <c:pt idx="10">
                  <c:v>4.8336457516785387</c:v>
                </c:pt>
                <c:pt idx="11">
                  <c:v>5.6506824712643677</c:v>
                </c:pt>
                <c:pt idx="12">
                  <c:v>4.3492574840889446</c:v>
                </c:pt>
                <c:pt idx="13">
                  <c:v>2.4405393315866828</c:v>
                </c:pt>
                <c:pt idx="14">
                  <c:v>3.6745826883437345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C-084A-8FE5-233D7BA91360}"/>
            </c:ext>
          </c:extLst>
        </c:ser>
        <c:ser>
          <c:idx val="5"/>
          <c:order val="4"/>
          <c:tx>
            <c:strRef>
              <c:f>Dyn_Overhead_SPEC2017!$F$21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Dyn_Overhead_SPEC2017!$F$22:$F$36</c:f>
              <c:numCache>
                <c:formatCode>_(* #,##0.00_);_(* \(#,##0.00\);_(* "-"??_);_(@_)</c:formatCode>
                <c:ptCount val="15"/>
                <c:pt idx="0">
                  <c:v>13.95844108430436</c:v>
                </c:pt>
                <c:pt idx="1">
                  <c:v>2.2666923373122834</c:v>
                </c:pt>
                <c:pt idx="2">
                  <c:v>4.9206241519674352</c:v>
                </c:pt>
                <c:pt idx="3">
                  <c:v>1.7083061091146685</c:v>
                </c:pt>
                <c:pt idx="4">
                  <c:v>8.8169704758361807</c:v>
                </c:pt>
                <c:pt idx="5">
                  <c:v>8.3346011047722541</c:v>
                </c:pt>
                <c:pt idx="6">
                  <c:v>8.2738723136267023</c:v>
                </c:pt>
                <c:pt idx="7">
                  <c:v>2.36886816023986</c:v>
                </c:pt>
                <c:pt idx="8">
                  <c:v>13.259394140043039</c:v>
                </c:pt>
                <c:pt idx="9">
                  <c:v>1.0154436170395722</c:v>
                </c:pt>
                <c:pt idx="10">
                  <c:v>8.8725673971575603</c:v>
                </c:pt>
                <c:pt idx="11">
                  <c:v>8.2584410919540225</c:v>
                </c:pt>
                <c:pt idx="12">
                  <c:v>8.301458840784683</c:v>
                </c:pt>
                <c:pt idx="13">
                  <c:v>2.7455108952648732</c:v>
                </c:pt>
                <c:pt idx="14">
                  <c:v>5.1245444978469061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C-084A-8FE5-233D7BA91360}"/>
            </c:ext>
          </c:extLst>
        </c:ser>
        <c:ser>
          <c:idx val="1"/>
          <c:order val="5"/>
          <c:tx>
            <c:strRef>
              <c:f>Dyn_Overhead_SPEC2017!$G$21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Dyn_Overhead_SPEC2017!$G$22:$G$36</c:f>
              <c:numCache>
                <c:formatCode>_(* #,##0.00_);_(* \(#,##0.00\);_(* "-"??_);_(@_)</c:formatCode>
                <c:ptCount val="15"/>
                <c:pt idx="0">
                  <c:v>11.831817213788067</c:v>
                </c:pt>
                <c:pt idx="1">
                  <c:v>2.0347708894878704</c:v>
                </c:pt>
                <c:pt idx="2">
                  <c:v>3.9598723553947432</c:v>
                </c:pt>
                <c:pt idx="3">
                  <c:v>1.7029157138190134</c:v>
                </c:pt>
                <c:pt idx="4">
                  <c:v>5.9611079170753154</c:v>
                </c:pt>
                <c:pt idx="5">
                  <c:v>6.6386851399076336</c:v>
                </c:pt>
                <c:pt idx="6">
                  <c:v>5.1537432102652918</c:v>
                </c:pt>
                <c:pt idx="7">
                  <c:v>2.1584075955692512</c:v>
                </c:pt>
                <c:pt idx="8">
                  <c:v>11.355735805330243</c:v>
                </c:pt>
                <c:pt idx="9">
                  <c:v>1.0191669389650369</c:v>
                </c:pt>
                <c:pt idx="10">
                  <c:v>5.9641798166388327</c:v>
                </c:pt>
                <c:pt idx="11">
                  <c:v>6.5884518678160919</c:v>
                </c:pt>
                <c:pt idx="12">
                  <c:v>5.1725989366438805</c:v>
                </c:pt>
                <c:pt idx="13">
                  <c:v>2.5617611348967984</c:v>
                </c:pt>
                <c:pt idx="14">
                  <c:v>4.13737523717624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4-924A-9BF4-082FE7807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Relative</a:t>
                </a:r>
                <a:r>
                  <a:rPr lang="en-US" baseline="0"/>
                  <a:t> to Native </a:t>
                </a:r>
                <a:r>
                  <a:rPr lang="en-US"/>
                  <a:t>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9879429133858"/>
          <c:y val="2.9372752017108969E-2"/>
          <c:w val="0.86169694608486447"/>
          <c:h val="0.211971784776902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0415848574877"/>
          <c:y val="0.2491331291921843"/>
          <c:w val="0.83708870776524558"/>
          <c:h val="0.445025031593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Dyn_Overhead_SPEC2017!$H$42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Dyn_Overhead_SPEC2017!$H$43:$H$56</c:f>
              <c:numCache>
                <c:formatCode>_(* #,##0_);_(* \(#,##0\);_(* "-"??_);_(@_)</c:formatCode>
                <c:ptCount val="14"/>
                <c:pt idx="0">
                  <c:v>7.48828125</c:v>
                </c:pt>
                <c:pt idx="1">
                  <c:v>8.20703125</c:v>
                </c:pt>
                <c:pt idx="2">
                  <c:v>105.4453125</c:v>
                </c:pt>
                <c:pt idx="3">
                  <c:v>7.1171875</c:v>
                </c:pt>
                <c:pt idx="4">
                  <c:v>17.78125</c:v>
                </c:pt>
                <c:pt idx="5">
                  <c:v>11.984375</c:v>
                </c:pt>
                <c:pt idx="6">
                  <c:v>57.11328125</c:v>
                </c:pt>
                <c:pt idx="7">
                  <c:v>8.19921875</c:v>
                </c:pt>
                <c:pt idx="8">
                  <c:v>7.21875</c:v>
                </c:pt>
                <c:pt idx="9">
                  <c:v>8.03515625</c:v>
                </c:pt>
                <c:pt idx="10">
                  <c:v>17.32421875</c:v>
                </c:pt>
                <c:pt idx="11">
                  <c:v>11.71484375</c:v>
                </c:pt>
                <c:pt idx="12">
                  <c:v>56.8203125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1-3C4E-A9FD-4221930020F9}"/>
            </c:ext>
          </c:extLst>
        </c:ser>
        <c:ser>
          <c:idx val="1"/>
          <c:order val="1"/>
          <c:tx>
            <c:strRef>
              <c:f>Dyn_Overhead_SPEC2017!$I$42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F1-3C4E-A9FD-4221930020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F1-3C4E-A9FD-4221930020F9}"/>
                </c:ext>
              </c:extLst>
            </c:dLbl>
            <c:dLbl>
              <c:idx val="2"/>
              <c:layout>
                <c:manualLayout>
                  <c:x val="-3.8902722369197014E-2"/>
                  <c:y val="0.27463739727380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F1-3C4E-A9FD-4221930020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F1-3C4E-A9FD-4221930020F9}"/>
                </c:ext>
              </c:extLst>
            </c:dLbl>
            <c:dLbl>
              <c:idx val="4"/>
              <c:layout>
                <c:manualLayout>
                  <c:x val="-2.8899120246276604E-2"/>
                  <c:y val="0.3484980512121981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F1-3C4E-A9FD-4221930020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F1-3C4E-A9FD-4221930020F9}"/>
                </c:ext>
              </c:extLst>
            </c:dLbl>
            <c:dLbl>
              <c:idx val="6"/>
              <c:layout>
                <c:manualLayout>
                  <c:x val="-3.3241911312273144E-2"/>
                  <c:y val="0.29663844312779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F1-3C4E-A9FD-4221930020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F1-3C4E-A9FD-4221930020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F1-3C4E-A9FD-4221930020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F1-3C4E-A9FD-4221930020F9}"/>
                </c:ext>
              </c:extLst>
            </c:dLbl>
            <c:dLbl>
              <c:idx val="10"/>
              <c:layout>
                <c:manualLayout>
                  <c:x val="-3.1504794885874529E-2"/>
                  <c:y val="0.2604938677962351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F1-3C4E-A9FD-4221930020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F1-3C4E-A9FD-4221930020F9}"/>
                </c:ext>
              </c:extLst>
            </c:dLbl>
            <c:dLbl>
              <c:idx val="12"/>
              <c:layout>
                <c:manualLayout>
                  <c:x val="-2.8899120246276732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F1-3C4E-A9FD-4221930020F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F1-3C4E-A9FD-4221930020F9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Dyn_Overhead_SPEC2017!$I$43:$I$56</c:f>
              <c:numCache>
                <c:formatCode>_(* #,##0_);_(* \(#,##0\);_(* "-"??_);_(@_)</c:formatCode>
                <c:ptCount val="14"/>
                <c:pt idx="0">
                  <c:v>54.671875</c:v>
                </c:pt>
                <c:pt idx="1">
                  <c:v>67.1953125</c:v>
                </c:pt>
                <c:pt idx="2">
                  <c:v>1380.61328125</c:v>
                </c:pt>
                <c:pt idx="3">
                  <c:v>51.30078125</c:v>
                </c:pt>
                <c:pt idx="4">
                  <c:v>242.8515625</c:v>
                </c:pt>
                <c:pt idx="5">
                  <c:v>113.21484375</c:v>
                </c:pt>
                <c:pt idx="6">
                  <c:v>298.70703125</c:v>
                </c:pt>
                <c:pt idx="7">
                  <c:v>52.9296875</c:v>
                </c:pt>
                <c:pt idx="8">
                  <c:v>54.03515625</c:v>
                </c:pt>
                <c:pt idx="9">
                  <c:v>66.70703125</c:v>
                </c:pt>
                <c:pt idx="10">
                  <c:v>241.95703125</c:v>
                </c:pt>
                <c:pt idx="11">
                  <c:v>112.9296875</c:v>
                </c:pt>
                <c:pt idx="12">
                  <c:v>298.203125</c:v>
                </c:pt>
                <c:pt idx="13">
                  <c:v>37.1875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1-3C4E-A9FD-4221930020F9}"/>
            </c:ext>
          </c:extLst>
        </c:ser>
        <c:ser>
          <c:idx val="2"/>
          <c:order val="2"/>
          <c:tx>
            <c:strRef>
              <c:f>Dyn_Overhead_SPEC2017!$J$42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Dyn_Overhead_SPEC2017!$J$43:$J$56</c:f>
              <c:numCache>
                <c:formatCode>_(* #,##0_);_(* \(#,##0\);_(* "-"??_);_(@_)</c:formatCode>
                <c:ptCount val="14"/>
                <c:pt idx="0">
                  <c:v>8.3359375</c:v>
                </c:pt>
                <c:pt idx="1">
                  <c:v>9.34765625</c:v>
                </c:pt>
                <c:pt idx="2">
                  <c:v>109.13671875</c:v>
                </c:pt>
                <c:pt idx="3">
                  <c:v>8.21484375</c:v>
                </c:pt>
                <c:pt idx="4">
                  <c:v>20.62890625</c:v>
                </c:pt>
                <c:pt idx="5">
                  <c:v>16.43359375</c:v>
                </c:pt>
                <c:pt idx="6">
                  <c:v>58.2109375</c:v>
                </c:pt>
                <c:pt idx="7">
                  <c:v>9.5390625</c:v>
                </c:pt>
                <c:pt idx="8">
                  <c:v>8.1171875</c:v>
                </c:pt>
                <c:pt idx="9">
                  <c:v>10.0859375</c:v>
                </c:pt>
                <c:pt idx="10">
                  <c:v>20.171875</c:v>
                </c:pt>
                <c:pt idx="11">
                  <c:v>16.20703125</c:v>
                </c:pt>
                <c:pt idx="12">
                  <c:v>57.7734375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F1-3C4E-A9FD-4221930020F9}"/>
            </c:ext>
          </c:extLst>
        </c:ser>
        <c:ser>
          <c:idx val="3"/>
          <c:order val="3"/>
          <c:tx>
            <c:strRef>
              <c:f>Dyn_Overhead_SPEC2017!$K$42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AA-F747-80D7-B98211AA08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AA-F747-80D7-B98211AA089C}"/>
                </c:ext>
              </c:extLst>
            </c:dLbl>
            <c:dLbl>
              <c:idx val="2"/>
              <c:layout>
                <c:manualLayout>
                  <c:x val="3.4056167539544872E-2"/>
                  <c:y val="0.276208900549085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AA-F747-80D7-B98211AA08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AA-F747-80D7-B98211AA089C}"/>
                </c:ext>
              </c:extLst>
            </c:dLbl>
            <c:dLbl>
              <c:idx val="4"/>
              <c:layout>
                <c:manualLayout>
                  <c:x val="1.9740139692884656E-2"/>
                  <c:y val="0.401929162571890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AA-F747-80D7-B98211AA08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AA-F747-80D7-B98211AA089C}"/>
                </c:ext>
              </c:extLst>
            </c:dLbl>
            <c:dLbl>
              <c:idx val="6"/>
              <c:layout>
                <c:manualLayout>
                  <c:x val="3.1899954677674904E-2"/>
                  <c:y val="0.299781449678361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AA-F747-80D7-B98211AA08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A-F747-80D7-B98211AA08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AA-F747-80D7-B98211AA08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AA-F747-80D7-B98211AA089C}"/>
                </c:ext>
              </c:extLst>
            </c:dLbl>
            <c:dLbl>
              <c:idx val="10"/>
              <c:layout>
                <c:manualLayout>
                  <c:x val="2.9294280038077044E-2"/>
                  <c:y val="0.262065371071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AA-F747-80D7-B98211AA08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AA-F747-80D7-B98211AA089C}"/>
                </c:ext>
              </c:extLst>
            </c:dLbl>
            <c:dLbl>
              <c:idx val="12"/>
              <c:layout>
                <c:manualLayout>
                  <c:x val="2.9294280038077044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AA-F747-80D7-B98211AA08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AA-F747-80D7-B98211AA089C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Dyn_Overhead_SPEC2017!$K$43:$K$56</c:f>
              <c:numCache>
                <c:formatCode>_(* #,##0_);_(* \(#,##0\);_(* "-"??_);_(@_)</c:formatCode>
                <c:ptCount val="14"/>
                <c:pt idx="0">
                  <c:v>54.78125</c:v>
                </c:pt>
                <c:pt idx="1">
                  <c:v>67.359375</c:v>
                </c:pt>
                <c:pt idx="2">
                  <c:v>1382.62890625</c:v>
                </c:pt>
                <c:pt idx="3">
                  <c:v>51.62890625</c:v>
                </c:pt>
                <c:pt idx="4">
                  <c:v>244.703125</c:v>
                </c:pt>
                <c:pt idx="5">
                  <c:v>110.625</c:v>
                </c:pt>
                <c:pt idx="6">
                  <c:v>299.15234375</c:v>
                </c:pt>
                <c:pt idx="7">
                  <c:v>53.09375</c:v>
                </c:pt>
                <c:pt idx="8">
                  <c:v>54.34375</c:v>
                </c:pt>
                <c:pt idx="9">
                  <c:v>66.59765625</c:v>
                </c:pt>
                <c:pt idx="10">
                  <c:v>243.75</c:v>
                </c:pt>
                <c:pt idx="11">
                  <c:v>110.4140625</c:v>
                </c:pt>
                <c:pt idx="12">
                  <c:v>298.734375</c:v>
                </c:pt>
                <c:pt idx="13">
                  <c:v>52.69140625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F1-3C4E-A9FD-4221930020F9}"/>
            </c:ext>
          </c:extLst>
        </c:ser>
        <c:ser>
          <c:idx val="4"/>
          <c:order val="4"/>
          <c:tx>
            <c:strRef>
              <c:f>Dyn_Overhead_SPEC2017!$L$42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Dyn_Overhead_SPEC2017!$L$43:$L$56</c:f>
              <c:numCache>
                <c:formatCode>_(* #,##0_);_(* \(#,##0\);_(* "-"??_);_(@_)</c:formatCode>
                <c:ptCount val="14"/>
                <c:pt idx="0">
                  <c:v>8.4296875</c:v>
                </c:pt>
                <c:pt idx="1">
                  <c:v>9.41796875</c:v>
                </c:pt>
                <c:pt idx="2">
                  <c:v>110.66796875</c:v>
                </c:pt>
                <c:pt idx="3">
                  <c:v>8.08984375</c:v>
                </c:pt>
                <c:pt idx="4">
                  <c:v>22.17578125</c:v>
                </c:pt>
                <c:pt idx="5">
                  <c:v>16.78125</c:v>
                </c:pt>
                <c:pt idx="6">
                  <c:v>58.375</c:v>
                </c:pt>
                <c:pt idx="7">
                  <c:v>9.62890625</c:v>
                </c:pt>
                <c:pt idx="8">
                  <c:v>8.171875</c:v>
                </c:pt>
                <c:pt idx="9">
                  <c:v>10.296875</c:v>
                </c:pt>
                <c:pt idx="10">
                  <c:v>21.703125</c:v>
                </c:pt>
                <c:pt idx="11">
                  <c:v>16.5546875</c:v>
                </c:pt>
                <c:pt idx="12">
                  <c:v>58.02734375</c:v>
                </c:pt>
                <c:pt idx="13">
                  <c:v>21.30859375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F1-3C4E-A9FD-42219300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Difference</a:t>
                </a:r>
                <a:r>
                  <a:rPr lang="en-US" baseline="0"/>
                  <a:t> </a:t>
                </a:r>
              </a:p>
              <a:p>
                <a:pPr>
                  <a:defRPr/>
                </a:pPr>
                <a:r>
                  <a:rPr lang="en-US" baseline="0"/>
                  <a:t>from Native </a:t>
                </a:r>
                <a:r>
                  <a:rPr lang="en-US"/>
                  <a:t>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47585165135608"/>
          <c:y val="3.0915961893652182E-2"/>
          <c:w val="0.86482481681977252"/>
          <c:h val="0.202144089627685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1222969511"/>
          <c:y val="0.20376275882181397"/>
          <c:w val="0.84468068982763012"/>
          <c:h val="0.4020209973753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E-5147-9617-421561E354A5}"/>
            </c:ext>
          </c:extLst>
        </c:ser>
        <c:ser>
          <c:idx val="1"/>
          <c:order val="1"/>
          <c:tx>
            <c:strRef>
              <c:f>Dyn_Overhead_Splash3!$C$16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Dyn_Overhead_Splash3!$C$17:$C$29</c:f>
              <c:numCache>
                <c:formatCode>_(* #,##0.00_);_(* \(#,##0.00\);_(* "-"??_);_(@_)</c:formatCode>
                <c:ptCount val="13"/>
                <c:pt idx="0">
                  <c:v>1.1153846153846154</c:v>
                </c:pt>
                <c:pt idx="1">
                  <c:v>1.4090909090909092</c:v>
                </c:pt>
                <c:pt idx="2">
                  <c:v>1.5463379521324456</c:v>
                </c:pt>
                <c:pt idx="3">
                  <c:v>1.2727272727272727</c:v>
                </c:pt>
                <c:pt idx="4">
                  <c:v>1.0331428571428571</c:v>
                </c:pt>
                <c:pt idx="5">
                  <c:v>1.0388098318240622</c:v>
                </c:pt>
                <c:pt idx="6">
                  <c:v>1.0334821428571428</c:v>
                </c:pt>
                <c:pt idx="7">
                  <c:v>1.0154091392136027</c:v>
                </c:pt>
                <c:pt idx="8">
                  <c:v>1.3225806451612903</c:v>
                </c:pt>
                <c:pt idx="9">
                  <c:v>1.0147523709167545</c:v>
                </c:pt>
                <c:pt idx="10">
                  <c:v>1.097457627118644</c:v>
                </c:pt>
                <c:pt idx="11">
                  <c:v>1.4259259259259258</c:v>
                </c:pt>
                <c:pt idx="12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E-5147-9617-421561E354A5}"/>
            </c:ext>
          </c:extLst>
        </c:ser>
        <c:ser>
          <c:idx val="2"/>
          <c:order val="2"/>
          <c:tx>
            <c:strRef>
              <c:f>Dyn_Overhead_Splash3!$D$16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Dyn_Overhead_Splash3!$D$17:$D$29</c:f>
              <c:numCache>
                <c:formatCode>_(* #,##0.00_);_(* \(#,##0.00\);_(* "-"??_);_(@_)</c:formatCode>
                <c:ptCount val="13"/>
                <c:pt idx="0">
                  <c:v>14.76923076923077</c:v>
                </c:pt>
                <c:pt idx="1">
                  <c:v>3.3636363636363638</c:v>
                </c:pt>
                <c:pt idx="2">
                  <c:v>7.2513946373942773</c:v>
                </c:pt>
                <c:pt idx="3">
                  <c:v>2.3409090909090908</c:v>
                </c:pt>
                <c:pt idx="4">
                  <c:v>6.5039999999999996</c:v>
                </c:pt>
                <c:pt idx="5">
                  <c:v>5.0623544631306601</c:v>
                </c:pt>
                <c:pt idx="6">
                  <c:v>1.0758928571428572</c:v>
                </c:pt>
                <c:pt idx="7">
                  <c:v>1.0162061636556854</c:v>
                </c:pt>
                <c:pt idx="8">
                  <c:v>14</c:v>
                </c:pt>
                <c:pt idx="9">
                  <c:v>4.7692307692307692</c:v>
                </c:pt>
                <c:pt idx="10">
                  <c:v>4.6207627118644066</c:v>
                </c:pt>
                <c:pt idx="11">
                  <c:v>6.4814814814814818</c:v>
                </c:pt>
                <c:pt idx="12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E-5147-9617-421561E354A5}"/>
            </c:ext>
          </c:extLst>
        </c:ser>
        <c:ser>
          <c:idx val="3"/>
          <c:order val="3"/>
          <c:tx>
            <c:strRef>
              <c:f>Dyn_Overhead_Splash3!$E$16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Dyn_Overhead_Splash3!$E$17:$E$29</c:f>
              <c:numCache>
                <c:formatCode>_(* #,##0.00_);_(* \(#,##0.00\);_(* "-"??_);_(@_)</c:formatCode>
                <c:ptCount val="13"/>
                <c:pt idx="0">
                  <c:v>14.23076923076923</c:v>
                </c:pt>
                <c:pt idx="1">
                  <c:v>3.0909090909090908</c:v>
                </c:pt>
                <c:pt idx="2">
                  <c:v>6.1943494691380243</c:v>
                </c:pt>
                <c:pt idx="3">
                  <c:v>2.1363636363636362</c:v>
                </c:pt>
                <c:pt idx="4">
                  <c:v>5.7344761904761903</c:v>
                </c:pt>
                <c:pt idx="5">
                  <c:v>4.5068564036222512</c:v>
                </c:pt>
                <c:pt idx="6">
                  <c:v>1.0714285714285714</c:v>
                </c:pt>
                <c:pt idx="7">
                  <c:v>1.0185972369819341</c:v>
                </c:pt>
                <c:pt idx="8">
                  <c:v>12.096774193548388</c:v>
                </c:pt>
                <c:pt idx="9">
                  <c:v>4.3076923076923075</c:v>
                </c:pt>
                <c:pt idx="10">
                  <c:v>4.1716101694915251</c:v>
                </c:pt>
                <c:pt idx="11">
                  <c:v>5.7777777777777777</c:v>
                </c:pt>
                <c:pt idx="12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E-5147-9617-421561E354A5}"/>
            </c:ext>
          </c:extLst>
        </c:ser>
        <c:ser>
          <c:idx val="4"/>
          <c:order val="4"/>
          <c:tx>
            <c:strRef>
              <c:f>Dyn_Overhead_Splash3!$F$16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8860728346456693E-2"/>
                  <c:y val="0.13997108000388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46-D648-86BC-6D3F98F140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46-D648-86BC-6D3F98F140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46-D648-86BC-6D3F98F140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46-D648-86BC-6D3F98F140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46-D648-86BC-6D3F98F140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46-D648-86BC-6D3F98F140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46-D648-86BC-6D3F98F140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46-D648-86BC-6D3F98F14014}"/>
                </c:ext>
              </c:extLst>
            </c:dLbl>
            <c:dLbl>
              <c:idx val="8"/>
              <c:layout>
                <c:manualLayout>
                  <c:x val="-3.6694827209098863E-2"/>
                  <c:y val="0.142589068727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46-D648-86BC-6D3F98F140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46-D648-86BC-6D3F98F140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46-D648-86BC-6D3F98F140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46-D648-86BC-6D3F98F140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46-D648-86BC-6D3F98F1401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Dyn_Overhead_Splash3!$F$17:$F$29</c:f>
              <c:numCache>
                <c:formatCode>_(* #,##0.00_);_(* \(#,##0.00\);_(* "-"??_);_(@_)</c:formatCode>
                <c:ptCount val="13"/>
                <c:pt idx="0">
                  <c:v>20.846153846153847</c:v>
                </c:pt>
                <c:pt idx="1">
                  <c:v>4.5</c:v>
                </c:pt>
                <c:pt idx="2">
                  <c:v>10.853158178873493</c:v>
                </c:pt>
                <c:pt idx="3">
                  <c:v>3.1363636363636362</c:v>
                </c:pt>
                <c:pt idx="4">
                  <c:v>9.0712380952380958</c:v>
                </c:pt>
                <c:pt idx="5">
                  <c:v>6.6631306597671411</c:v>
                </c:pt>
                <c:pt idx="6">
                  <c:v>1.1551339285714286</c:v>
                </c:pt>
                <c:pt idx="7">
                  <c:v>1.0209883103081827</c:v>
                </c:pt>
                <c:pt idx="8">
                  <c:v>21.516129032258064</c:v>
                </c:pt>
                <c:pt idx="9">
                  <c:v>6.3308746048472075</c:v>
                </c:pt>
                <c:pt idx="10">
                  <c:v>6.1652542372881358</c:v>
                </c:pt>
                <c:pt idx="11">
                  <c:v>9.3148148148148149</c:v>
                </c:pt>
                <c:pt idx="12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E-5147-9617-421561E354A5}"/>
            </c:ext>
          </c:extLst>
        </c:ser>
        <c:ser>
          <c:idx val="5"/>
          <c:order val="5"/>
          <c:tx>
            <c:strRef>
              <c:f>Dyn_Overhead_Splash3!$G$16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Dyn_Overhead_Splash3!$G$17:$G$29</c:f>
              <c:numCache>
                <c:formatCode>_(* #,##0.00_);_(* \(#,##0.00\);_(* "-"??_);_(@_)</c:formatCode>
                <c:ptCount val="13"/>
                <c:pt idx="0">
                  <c:v>17.73076923076923</c:v>
                </c:pt>
                <c:pt idx="1">
                  <c:v>3.9545454545454546</c:v>
                </c:pt>
                <c:pt idx="2">
                  <c:v>9.534640993341732</c:v>
                </c:pt>
                <c:pt idx="3">
                  <c:v>2.7954545454545454</c:v>
                </c:pt>
                <c:pt idx="4">
                  <c:v>6.8994285714285715</c:v>
                </c:pt>
                <c:pt idx="5">
                  <c:v>5.0401034928848638</c:v>
                </c:pt>
                <c:pt idx="6">
                  <c:v>1.1238839285714286</c:v>
                </c:pt>
                <c:pt idx="7">
                  <c:v>0.99123273113708821</c:v>
                </c:pt>
                <c:pt idx="8">
                  <c:v>16.903225806451612</c:v>
                </c:pt>
                <c:pt idx="9">
                  <c:v>5.8177028451001052</c:v>
                </c:pt>
                <c:pt idx="10">
                  <c:v>4.9110169491525424</c:v>
                </c:pt>
                <c:pt idx="11">
                  <c:v>7.5185185185185182</c:v>
                </c:pt>
                <c:pt idx="12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EE-5147-9617-421561E3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6661595034995631"/>
          <c:h val="0.1672187226596675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9317555731646"/>
          <c:y val="0.22470287745983708"/>
          <c:w val="0.84549974214608736"/>
          <c:h val="0.3810808496715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Dyn_Overhead_Splash3!$H$33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Dyn_Overhead_Splash3!$H$34:$H$46</c:f>
              <c:numCache>
                <c:formatCode>_(* #,##0.0_);_(* \(#,##0.0\);_(* "-"??_);_(@_)</c:formatCode>
                <c:ptCount val="13"/>
                <c:pt idx="0">
                  <c:v>7.6015625</c:v>
                </c:pt>
                <c:pt idx="1">
                  <c:v>8.31640625</c:v>
                </c:pt>
                <c:pt idx="2">
                  <c:v>7.421875</c:v>
                </c:pt>
                <c:pt idx="3">
                  <c:v>7.9140625</c:v>
                </c:pt>
                <c:pt idx="4">
                  <c:v>7.453125</c:v>
                </c:pt>
                <c:pt idx="5">
                  <c:v>7.45703125</c:v>
                </c:pt>
                <c:pt idx="6">
                  <c:v>8.07421875</c:v>
                </c:pt>
                <c:pt idx="7">
                  <c:v>7.734375</c:v>
                </c:pt>
                <c:pt idx="8">
                  <c:v>7.8515625</c:v>
                </c:pt>
                <c:pt idx="9">
                  <c:v>7.53125</c:v>
                </c:pt>
                <c:pt idx="10">
                  <c:v>7.7578125</c:v>
                </c:pt>
                <c:pt idx="11">
                  <c:v>8.0390625</c:v>
                </c:pt>
                <c:pt idx="12" formatCode="0.0">
                  <c:v>7.7579290223578559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8-2945-8492-6F664603998D}"/>
            </c:ext>
          </c:extLst>
        </c:ser>
        <c:ser>
          <c:idx val="1"/>
          <c:order val="1"/>
          <c:tx>
            <c:strRef>
              <c:f>Dyn_Overhead_Splash3!$I$33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8-2945-8492-6F664603998D}"/>
                </c:ext>
              </c:extLst>
            </c:dLbl>
            <c:dLbl>
              <c:idx val="8"/>
              <c:layout>
                <c:manualLayout>
                  <c:x val="-3.1170177422225109E-2"/>
                  <c:y val="0.23491079875682749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8-2945-8492-6F664603998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Dyn_Overhead_Splash3!$I$34:$I$46</c:f>
              <c:numCache>
                <c:formatCode>_(* #,##0.0_);_(* \(#,##0.0\);_(* "-"??_);_(@_)</c:formatCode>
                <c:ptCount val="13"/>
                <c:pt idx="0">
                  <c:v>56.1171875</c:v>
                </c:pt>
                <c:pt idx="1">
                  <c:v>64.94140625</c:v>
                </c:pt>
                <c:pt idx="2">
                  <c:v>53.46484375</c:v>
                </c:pt>
                <c:pt idx="3">
                  <c:v>62.7890625</c:v>
                </c:pt>
                <c:pt idx="4">
                  <c:v>54.55078125</c:v>
                </c:pt>
                <c:pt idx="5">
                  <c:v>54.65234375</c:v>
                </c:pt>
                <c:pt idx="6">
                  <c:v>58.08203125</c:v>
                </c:pt>
                <c:pt idx="7">
                  <c:v>56.39453125</c:v>
                </c:pt>
                <c:pt idx="8">
                  <c:v>303.7109375</c:v>
                </c:pt>
                <c:pt idx="9">
                  <c:v>52.95703125</c:v>
                </c:pt>
                <c:pt idx="10">
                  <c:v>57.65234375</c:v>
                </c:pt>
                <c:pt idx="11">
                  <c:v>58.46875</c:v>
                </c:pt>
                <c:pt idx="12" formatCode="0.0">
                  <c:v>65.707549857590024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8-2945-8492-6F664603998D}"/>
            </c:ext>
          </c:extLst>
        </c:ser>
        <c:ser>
          <c:idx val="2"/>
          <c:order val="2"/>
          <c:tx>
            <c:strRef>
              <c:f>Dyn_Overhead_Splash3!$J$33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8-2945-8492-6F664603998D}"/>
                </c:ext>
              </c:extLst>
            </c:dLbl>
            <c:dLbl>
              <c:idx val="8"/>
              <c:layout>
                <c:manualLayout>
                  <c:x val="3.1561276335741503E-2"/>
                  <c:y val="0.23341507223593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8-2945-8492-6F664603998D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Dyn_Overhead_Splash3!$J$34:$J$46</c:f>
              <c:numCache>
                <c:formatCode>_(* #,##0.0_);_(* \(#,##0.0\);_(* "-"??_);_(@_)</c:formatCode>
                <c:ptCount val="13"/>
                <c:pt idx="0">
                  <c:v>56.359375</c:v>
                </c:pt>
                <c:pt idx="1">
                  <c:v>65.10546875</c:v>
                </c:pt>
                <c:pt idx="2">
                  <c:v>53.5234375</c:v>
                </c:pt>
                <c:pt idx="3">
                  <c:v>63.0625</c:v>
                </c:pt>
                <c:pt idx="4">
                  <c:v>54.87890625</c:v>
                </c:pt>
                <c:pt idx="5">
                  <c:v>54.54296875</c:v>
                </c:pt>
                <c:pt idx="6">
                  <c:v>58.0703125</c:v>
                </c:pt>
                <c:pt idx="7">
                  <c:v>56.484375</c:v>
                </c:pt>
                <c:pt idx="8">
                  <c:v>304.41796875</c:v>
                </c:pt>
                <c:pt idx="9">
                  <c:v>53.1328125</c:v>
                </c:pt>
                <c:pt idx="10">
                  <c:v>57.76953125</c:v>
                </c:pt>
                <c:pt idx="11">
                  <c:v>58.69921875</c:v>
                </c:pt>
                <c:pt idx="12" formatCode="0.0">
                  <c:v>65.867950232364592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98-2945-8492-6F664603998D}"/>
            </c:ext>
          </c:extLst>
        </c:ser>
        <c:ser>
          <c:idx val="3"/>
          <c:order val="3"/>
          <c:tx>
            <c:strRef>
              <c:f>Dyn_Overhead_Splash3!$K$33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Dyn_Overhead_Splash3!$K$34:$K$46</c:f>
              <c:numCache>
                <c:formatCode>_(* #,##0.0_);_(* \(#,##0.0\);_(* "-"??_);_(@_)</c:formatCode>
                <c:ptCount val="13"/>
                <c:pt idx="0">
                  <c:v>8.34375</c:v>
                </c:pt>
                <c:pt idx="1">
                  <c:v>9.44140625</c:v>
                </c:pt>
                <c:pt idx="2">
                  <c:v>8.23828125</c:v>
                </c:pt>
                <c:pt idx="3">
                  <c:v>8.74609375</c:v>
                </c:pt>
                <c:pt idx="4">
                  <c:v>8.14453125</c:v>
                </c:pt>
                <c:pt idx="5">
                  <c:v>8.171875</c:v>
                </c:pt>
                <c:pt idx="6">
                  <c:v>9.09765625</c:v>
                </c:pt>
                <c:pt idx="7">
                  <c:v>8.8359375</c:v>
                </c:pt>
                <c:pt idx="8">
                  <c:v>9.13671875</c:v>
                </c:pt>
                <c:pt idx="9">
                  <c:v>8.16796875</c:v>
                </c:pt>
                <c:pt idx="10">
                  <c:v>8.4296875</c:v>
                </c:pt>
                <c:pt idx="11">
                  <c:v>8.828125</c:v>
                </c:pt>
                <c:pt idx="12" formatCode="0.0">
                  <c:v>8.6215148237372947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98-2945-8492-6F664603998D}"/>
            </c:ext>
          </c:extLst>
        </c:ser>
        <c:ser>
          <c:idx val="4"/>
          <c:order val="4"/>
          <c:tx>
            <c:strRef>
              <c:f>Dyn_Overhead_Splash3!$L$33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Dyn_Overhead_Splash3!$L$34:$L$46</c:f>
              <c:numCache>
                <c:formatCode>_(* #,##0.0_);_(* \(#,##0.0\);_(* "-"??_);_(@_)</c:formatCode>
                <c:ptCount val="13"/>
                <c:pt idx="0">
                  <c:v>8.35546875</c:v>
                </c:pt>
                <c:pt idx="1">
                  <c:v>9.45703125</c:v>
                </c:pt>
                <c:pt idx="2">
                  <c:v>8.22265625</c:v>
                </c:pt>
                <c:pt idx="3">
                  <c:v>8.7890625</c:v>
                </c:pt>
                <c:pt idx="4">
                  <c:v>8.19921875</c:v>
                </c:pt>
                <c:pt idx="5">
                  <c:v>8.3046875</c:v>
                </c:pt>
                <c:pt idx="6">
                  <c:v>9.11328125</c:v>
                </c:pt>
                <c:pt idx="7">
                  <c:v>8.8671875</c:v>
                </c:pt>
                <c:pt idx="8">
                  <c:v>9.1875</c:v>
                </c:pt>
                <c:pt idx="9">
                  <c:v>8.265625</c:v>
                </c:pt>
                <c:pt idx="10">
                  <c:v>8.60546875</c:v>
                </c:pt>
                <c:pt idx="11">
                  <c:v>8.82421875</c:v>
                </c:pt>
                <c:pt idx="12" formatCode="0.0">
                  <c:v>8.6732137773689146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98-2945-8492-6F664603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</a:t>
                </a:r>
              </a:p>
              <a:p>
                <a:pPr>
                  <a:defRPr/>
                </a:pPr>
                <a:r>
                  <a:rPr lang="en-US"/>
                  <a:t>Difference from</a:t>
                </a:r>
                <a:r>
                  <a:rPr lang="en-US" baseline="0"/>
                  <a:t> Native</a:t>
                </a:r>
                <a:r>
                  <a:rPr lang="en-US"/>
                  <a:t>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7842429919715992"/>
          <c:h val="0.179471283051875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1222969511"/>
          <c:y val="0.20376275882181397"/>
          <c:w val="0.84468068982763012"/>
          <c:h val="0.4020209973753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'Dyn_Overhead_Splash3-analysis'!$B$16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B-1F40-84E0-6D5C081B5B94}"/>
            </c:ext>
          </c:extLst>
        </c:ser>
        <c:ser>
          <c:idx val="1"/>
          <c:order val="1"/>
          <c:tx>
            <c:strRef>
              <c:f>'Dyn_Overhead_Splash3-analysis'!$C$16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'Dyn_Overhead_Splash3-analysis'!$C$17:$C$29</c:f>
              <c:numCache>
                <c:formatCode>_(* #,##0.00_);_(* \(#,##0.00\);_(* "-"??_);_(@_)</c:formatCode>
                <c:ptCount val="13"/>
                <c:pt idx="0">
                  <c:v>1.1153846153846154</c:v>
                </c:pt>
                <c:pt idx="1">
                  <c:v>1.4090909090909092</c:v>
                </c:pt>
                <c:pt idx="2">
                  <c:v>1.5463379521324456</c:v>
                </c:pt>
                <c:pt idx="3">
                  <c:v>1.2727272727272727</c:v>
                </c:pt>
                <c:pt idx="4">
                  <c:v>1.0331428571428571</c:v>
                </c:pt>
                <c:pt idx="5">
                  <c:v>1.0388098318240622</c:v>
                </c:pt>
                <c:pt idx="6">
                  <c:v>1.0334821428571428</c:v>
                </c:pt>
                <c:pt idx="7">
                  <c:v>1.0154091392136027</c:v>
                </c:pt>
                <c:pt idx="8">
                  <c:v>1.3225806451612903</c:v>
                </c:pt>
                <c:pt idx="9">
                  <c:v>1.0147523709167545</c:v>
                </c:pt>
                <c:pt idx="10">
                  <c:v>1.097457627118644</c:v>
                </c:pt>
                <c:pt idx="11">
                  <c:v>1.4259259259259258</c:v>
                </c:pt>
                <c:pt idx="12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B-1F40-84E0-6D5C081B5B94}"/>
            </c:ext>
          </c:extLst>
        </c:ser>
        <c:ser>
          <c:idx val="2"/>
          <c:order val="2"/>
          <c:tx>
            <c:strRef>
              <c:f>'Dyn_Overhead_Splash3-analysis'!$D$16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'Dyn_Overhead_Splash3-analysis'!$D$17:$D$29</c:f>
              <c:numCache>
                <c:formatCode>_(* #,##0.00_);_(* \(#,##0.00\);_(* "-"??_);_(@_)</c:formatCode>
                <c:ptCount val="13"/>
                <c:pt idx="0">
                  <c:v>14.76923076923077</c:v>
                </c:pt>
                <c:pt idx="1">
                  <c:v>3.3636363636363638</c:v>
                </c:pt>
                <c:pt idx="2">
                  <c:v>7.2513946373942773</c:v>
                </c:pt>
                <c:pt idx="3">
                  <c:v>2.3409090909090908</c:v>
                </c:pt>
                <c:pt idx="4">
                  <c:v>6.5039999999999996</c:v>
                </c:pt>
                <c:pt idx="5">
                  <c:v>5.0623544631306601</c:v>
                </c:pt>
                <c:pt idx="6">
                  <c:v>1.0758928571428572</c:v>
                </c:pt>
                <c:pt idx="7">
                  <c:v>1.0162061636556854</c:v>
                </c:pt>
                <c:pt idx="8">
                  <c:v>14</c:v>
                </c:pt>
                <c:pt idx="9">
                  <c:v>4.7692307692307692</c:v>
                </c:pt>
                <c:pt idx="10">
                  <c:v>4.6207627118644066</c:v>
                </c:pt>
                <c:pt idx="11">
                  <c:v>6.4814814814814818</c:v>
                </c:pt>
                <c:pt idx="12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B-1F40-84E0-6D5C081B5B94}"/>
            </c:ext>
          </c:extLst>
        </c:ser>
        <c:ser>
          <c:idx val="3"/>
          <c:order val="3"/>
          <c:tx>
            <c:strRef>
              <c:f>'Dyn_Overhead_Splash3-analysis'!$E$16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'Dyn_Overhead_Splash3-analysis'!$E$17:$E$29</c:f>
              <c:numCache>
                <c:formatCode>_(* #,##0.00_);_(* \(#,##0.00\);_(* "-"??_);_(@_)</c:formatCode>
                <c:ptCount val="13"/>
                <c:pt idx="0">
                  <c:v>14.23076923076923</c:v>
                </c:pt>
                <c:pt idx="1">
                  <c:v>3.0909090909090908</c:v>
                </c:pt>
                <c:pt idx="2">
                  <c:v>6.1943494691380243</c:v>
                </c:pt>
                <c:pt idx="3">
                  <c:v>2.1363636363636362</c:v>
                </c:pt>
                <c:pt idx="4">
                  <c:v>5.7344761904761903</c:v>
                </c:pt>
                <c:pt idx="5">
                  <c:v>4.5068564036222512</c:v>
                </c:pt>
                <c:pt idx="6">
                  <c:v>1.0714285714285714</c:v>
                </c:pt>
                <c:pt idx="7">
                  <c:v>1.0185972369819341</c:v>
                </c:pt>
                <c:pt idx="8">
                  <c:v>12.096774193548388</c:v>
                </c:pt>
                <c:pt idx="9">
                  <c:v>4.3076923076923075</c:v>
                </c:pt>
                <c:pt idx="10">
                  <c:v>4.1716101694915251</c:v>
                </c:pt>
                <c:pt idx="11">
                  <c:v>5.7777777777777777</c:v>
                </c:pt>
                <c:pt idx="12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AB-1F40-84E0-6D5C081B5B94}"/>
            </c:ext>
          </c:extLst>
        </c:ser>
        <c:ser>
          <c:idx val="4"/>
          <c:order val="4"/>
          <c:tx>
            <c:strRef>
              <c:f>'Dyn_Overhead_Splash3-analysis'!$F$16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8860728346456693E-2"/>
                  <c:y val="0.13997108000388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AB-1F40-84E0-6D5C081B5B9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AB-1F40-84E0-6D5C081B5B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AB-1F40-84E0-6D5C081B5B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AB-1F40-84E0-6D5C081B5B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AB-1F40-84E0-6D5C081B5B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AB-1F40-84E0-6D5C081B5B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AB-1F40-84E0-6D5C081B5B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AB-1F40-84E0-6D5C081B5B94}"/>
                </c:ext>
              </c:extLst>
            </c:dLbl>
            <c:dLbl>
              <c:idx val="8"/>
              <c:layout>
                <c:manualLayout>
                  <c:x val="-3.6694827209098863E-2"/>
                  <c:y val="0.142589068727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AB-1F40-84E0-6D5C081B5B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AB-1F40-84E0-6D5C081B5B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AB-1F40-84E0-6D5C081B5B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AB-1F40-84E0-6D5C081B5B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AB-1F40-84E0-6D5C081B5B9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'Dyn_Overhead_Splash3-analysis'!$F$17:$F$29</c:f>
              <c:numCache>
                <c:formatCode>_(* #,##0.00_);_(* \(#,##0.00\);_(* "-"??_);_(@_)</c:formatCode>
                <c:ptCount val="13"/>
                <c:pt idx="0">
                  <c:v>20.846153846153847</c:v>
                </c:pt>
                <c:pt idx="1">
                  <c:v>4.5</c:v>
                </c:pt>
                <c:pt idx="2">
                  <c:v>10.853158178873493</c:v>
                </c:pt>
                <c:pt idx="3">
                  <c:v>3.1363636363636362</c:v>
                </c:pt>
                <c:pt idx="4">
                  <c:v>9.0712380952380958</c:v>
                </c:pt>
                <c:pt idx="5">
                  <c:v>6.6631306597671411</c:v>
                </c:pt>
                <c:pt idx="6">
                  <c:v>1.1551339285714286</c:v>
                </c:pt>
                <c:pt idx="7">
                  <c:v>1.0209883103081827</c:v>
                </c:pt>
                <c:pt idx="8">
                  <c:v>21.516129032258064</c:v>
                </c:pt>
                <c:pt idx="9">
                  <c:v>6.3308746048472075</c:v>
                </c:pt>
                <c:pt idx="10">
                  <c:v>6.1652542372881358</c:v>
                </c:pt>
                <c:pt idx="11">
                  <c:v>9.3148148148148149</c:v>
                </c:pt>
                <c:pt idx="12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AB-1F40-84E0-6D5C081B5B94}"/>
            </c:ext>
          </c:extLst>
        </c:ser>
        <c:ser>
          <c:idx val="5"/>
          <c:order val="5"/>
          <c:tx>
            <c:strRef>
              <c:f>'Dyn_Overhead_Splash3-analysis'!$G$16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'Dyn_Overhead_Splash3-analysis'!$G$17:$G$29</c:f>
              <c:numCache>
                <c:formatCode>_(* #,##0.00_);_(* \(#,##0.00\);_(* "-"??_);_(@_)</c:formatCode>
                <c:ptCount val="13"/>
                <c:pt idx="0">
                  <c:v>17.73076923076923</c:v>
                </c:pt>
                <c:pt idx="1">
                  <c:v>3.9545454545454546</c:v>
                </c:pt>
                <c:pt idx="2">
                  <c:v>9.534640993341732</c:v>
                </c:pt>
                <c:pt idx="3">
                  <c:v>2.7954545454545454</c:v>
                </c:pt>
                <c:pt idx="4">
                  <c:v>6.8994285714285715</c:v>
                </c:pt>
                <c:pt idx="5">
                  <c:v>5.0401034928848638</c:v>
                </c:pt>
                <c:pt idx="6">
                  <c:v>1.1238839285714286</c:v>
                </c:pt>
                <c:pt idx="7">
                  <c:v>0.99123273113708821</c:v>
                </c:pt>
                <c:pt idx="8">
                  <c:v>16.903225806451612</c:v>
                </c:pt>
                <c:pt idx="9">
                  <c:v>5.8177028451001052</c:v>
                </c:pt>
                <c:pt idx="10">
                  <c:v>4.9110169491525424</c:v>
                </c:pt>
                <c:pt idx="11">
                  <c:v>7.5185185185185182</c:v>
                </c:pt>
                <c:pt idx="12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3AB-1F40-84E0-6D5C081B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6661595034995631"/>
          <c:h val="0.1672187226596675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9317555731646"/>
          <c:y val="0.22470287745983708"/>
          <c:w val="0.84549974214608736"/>
          <c:h val="0.3810808496715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'Dyn_Overhead_Splash3-analysis'!$H$33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'Dyn_Overhead_Splash3-analysis'!$H$34:$H$46</c:f>
              <c:numCache>
                <c:formatCode>_(* #,##0.0_);_(* \(#,##0.0\);_(* "-"??_);_(@_)</c:formatCode>
                <c:ptCount val="13"/>
                <c:pt idx="0">
                  <c:v>7.6015625</c:v>
                </c:pt>
                <c:pt idx="1">
                  <c:v>8.31640625</c:v>
                </c:pt>
                <c:pt idx="2">
                  <c:v>7.421875</c:v>
                </c:pt>
                <c:pt idx="3">
                  <c:v>7.9140625</c:v>
                </c:pt>
                <c:pt idx="4">
                  <c:v>7.453125</c:v>
                </c:pt>
                <c:pt idx="5">
                  <c:v>7.45703125</c:v>
                </c:pt>
                <c:pt idx="6">
                  <c:v>8.07421875</c:v>
                </c:pt>
                <c:pt idx="7">
                  <c:v>7.734375</c:v>
                </c:pt>
                <c:pt idx="8">
                  <c:v>7.8515625</c:v>
                </c:pt>
                <c:pt idx="9">
                  <c:v>7.53125</c:v>
                </c:pt>
                <c:pt idx="10">
                  <c:v>7.7578125</c:v>
                </c:pt>
                <c:pt idx="11">
                  <c:v>8.0390625</c:v>
                </c:pt>
                <c:pt idx="12" formatCode="0.0">
                  <c:v>7.7579290223578559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D-4C4D-889D-468F6484D7A0}"/>
            </c:ext>
          </c:extLst>
        </c:ser>
        <c:ser>
          <c:idx val="1"/>
          <c:order val="1"/>
          <c:tx>
            <c:strRef>
              <c:f>'Dyn_Overhead_Splash3-analysis'!$I$33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9D-4C4D-889D-468F6484D7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9D-4C4D-889D-468F6484D7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9D-4C4D-889D-468F6484D7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9D-4C4D-889D-468F6484D7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9D-4C4D-889D-468F6484D7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9D-4C4D-889D-468F6484D7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9D-4C4D-889D-468F6484D7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9D-4C4D-889D-468F6484D7A0}"/>
                </c:ext>
              </c:extLst>
            </c:dLbl>
            <c:dLbl>
              <c:idx val="8"/>
              <c:layout>
                <c:manualLayout>
                  <c:x val="-3.1170177422225109E-2"/>
                  <c:y val="0.23491079875682749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9D-4C4D-889D-468F6484D7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9D-4C4D-889D-468F6484D7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9D-4C4D-889D-468F6484D7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9D-4C4D-889D-468F6484D7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9D-4C4D-889D-468F6484D7A0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'Dyn_Overhead_Splash3-analysis'!$I$34:$I$46</c:f>
              <c:numCache>
                <c:formatCode>_(* #,##0.0_);_(* \(#,##0.0\);_(* "-"??_);_(@_)</c:formatCode>
                <c:ptCount val="13"/>
                <c:pt idx="0">
                  <c:v>56.1171875</c:v>
                </c:pt>
                <c:pt idx="1">
                  <c:v>64.94140625</c:v>
                </c:pt>
                <c:pt idx="2">
                  <c:v>53.46484375</c:v>
                </c:pt>
                <c:pt idx="3">
                  <c:v>62.7890625</c:v>
                </c:pt>
                <c:pt idx="4">
                  <c:v>54.55078125</c:v>
                </c:pt>
                <c:pt idx="5">
                  <c:v>54.65234375</c:v>
                </c:pt>
                <c:pt idx="6">
                  <c:v>58.08203125</c:v>
                </c:pt>
                <c:pt idx="7">
                  <c:v>56.39453125</c:v>
                </c:pt>
                <c:pt idx="8">
                  <c:v>303.7109375</c:v>
                </c:pt>
                <c:pt idx="9">
                  <c:v>52.95703125</c:v>
                </c:pt>
                <c:pt idx="10">
                  <c:v>57.65234375</c:v>
                </c:pt>
                <c:pt idx="11">
                  <c:v>58.46875</c:v>
                </c:pt>
                <c:pt idx="12" formatCode="0.0">
                  <c:v>65.707549857590024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9D-4C4D-889D-468F6484D7A0}"/>
            </c:ext>
          </c:extLst>
        </c:ser>
        <c:ser>
          <c:idx val="2"/>
          <c:order val="2"/>
          <c:tx>
            <c:strRef>
              <c:f>'Dyn_Overhead_Splash3-analysis'!$J$33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9D-4C4D-889D-468F6484D7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9D-4C4D-889D-468F6484D7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9D-4C4D-889D-468F6484D7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B9D-4C4D-889D-468F6484D7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B9D-4C4D-889D-468F6484D7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B9D-4C4D-889D-468F6484D7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9D-4C4D-889D-468F6484D7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B9D-4C4D-889D-468F6484D7A0}"/>
                </c:ext>
              </c:extLst>
            </c:dLbl>
            <c:dLbl>
              <c:idx val="8"/>
              <c:layout>
                <c:manualLayout>
                  <c:x val="3.1561276335741503E-2"/>
                  <c:y val="0.23341507223593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B9D-4C4D-889D-468F6484D7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B9D-4C4D-889D-468F6484D7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B9D-4C4D-889D-468F6484D7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B9D-4C4D-889D-468F6484D7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B9D-4C4D-889D-468F6484D7A0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'Dyn_Overhead_Splash3-analysis'!$J$34:$J$46</c:f>
              <c:numCache>
                <c:formatCode>_(* #,##0.0_);_(* \(#,##0.0\);_(* "-"??_);_(@_)</c:formatCode>
                <c:ptCount val="13"/>
                <c:pt idx="0">
                  <c:v>56.359375</c:v>
                </c:pt>
                <c:pt idx="1">
                  <c:v>65.10546875</c:v>
                </c:pt>
                <c:pt idx="2">
                  <c:v>53.5234375</c:v>
                </c:pt>
                <c:pt idx="3">
                  <c:v>63.0625</c:v>
                </c:pt>
                <c:pt idx="4">
                  <c:v>54.87890625</c:v>
                </c:pt>
                <c:pt idx="5">
                  <c:v>54.54296875</c:v>
                </c:pt>
                <c:pt idx="6">
                  <c:v>58.0703125</c:v>
                </c:pt>
                <c:pt idx="7">
                  <c:v>56.484375</c:v>
                </c:pt>
                <c:pt idx="8">
                  <c:v>304.41796875</c:v>
                </c:pt>
                <c:pt idx="9">
                  <c:v>53.1328125</c:v>
                </c:pt>
                <c:pt idx="10">
                  <c:v>57.76953125</c:v>
                </c:pt>
                <c:pt idx="11">
                  <c:v>58.69921875</c:v>
                </c:pt>
                <c:pt idx="12" formatCode="0.0">
                  <c:v>65.867950232364592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B9D-4C4D-889D-468F6484D7A0}"/>
            </c:ext>
          </c:extLst>
        </c:ser>
        <c:ser>
          <c:idx val="3"/>
          <c:order val="3"/>
          <c:tx>
            <c:strRef>
              <c:f>'Dyn_Overhead_Splash3-analysis'!$K$33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'Dyn_Overhead_Splash3-analysis'!$K$34:$K$46</c:f>
              <c:numCache>
                <c:formatCode>_(* #,##0.0_);_(* \(#,##0.0\);_(* "-"??_);_(@_)</c:formatCode>
                <c:ptCount val="13"/>
                <c:pt idx="0">
                  <c:v>8.34375</c:v>
                </c:pt>
                <c:pt idx="1">
                  <c:v>9.44140625</c:v>
                </c:pt>
                <c:pt idx="2">
                  <c:v>8.23828125</c:v>
                </c:pt>
                <c:pt idx="3">
                  <c:v>8.74609375</c:v>
                </c:pt>
                <c:pt idx="4">
                  <c:v>8.14453125</c:v>
                </c:pt>
                <c:pt idx="5">
                  <c:v>8.171875</c:v>
                </c:pt>
                <c:pt idx="6">
                  <c:v>9.09765625</c:v>
                </c:pt>
                <c:pt idx="7">
                  <c:v>8.8359375</c:v>
                </c:pt>
                <c:pt idx="8">
                  <c:v>9.13671875</c:v>
                </c:pt>
                <c:pt idx="9">
                  <c:v>8.16796875</c:v>
                </c:pt>
                <c:pt idx="10">
                  <c:v>8.4296875</c:v>
                </c:pt>
                <c:pt idx="11">
                  <c:v>8.828125</c:v>
                </c:pt>
                <c:pt idx="12" formatCode="0.0">
                  <c:v>8.6215148237372947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9D-4C4D-889D-468F6484D7A0}"/>
            </c:ext>
          </c:extLst>
        </c:ser>
        <c:ser>
          <c:idx val="4"/>
          <c:order val="4"/>
          <c:tx>
            <c:strRef>
              <c:f>'Dyn_Overhead_Splash3-analysis'!$L$33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'Dyn_Overhead_Splash3-analysis'!$L$34:$L$46</c:f>
              <c:numCache>
                <c:formatCode>_(* #,##0.0_);_(* \(#,##0.0\);_(* "-"??_);_(@_)</c:formatCode>
                <c:ptCount val="13"/>
                <c:pt idx="0">
                  <c:v>8.35546875</c:v>
                </c:pt>
                <c:pt idx="1">
                  <c:v>9.45703125</c:v>
                </c:pt>
                <c:pt idx="2">
                  <c:v>8.22265625</c:v>
                </c:pt>
                <c:pt idx="3">
                  <c:v>8.7890625</c:v>
                </c:pt>
                <c:pt idx="4">
                  <c:v>8.19921875</c:v>
                </c:pt>
                <c:pt idx="5">
                  <c:v>8.3046875</c:v>
                </c:pt>
                <c:pt idx="6">
                  <c:v>9.11328125</c:v>
                </c:pt>
                <c:pt idx="7">
                  <c:v>8.8671875</c:v>
                </c:pt>
                <c:pt idx="8">
                  <c:v>9.1875</c:v>
                </c:pt>
                <c:pt idx="9">
                  <c:v>8.265625</c:v>
                </c:pt>
                <c:pt idx="10">
                  <c:v>8.60546875</c:v>
                </c:pt>
                <c:pt idx="11">
                  <c:v>8.82421875</c:v>
                </c:pt>
                <c:pt idx="12" formatCode="0.0">
                  <c:v>8.6732137773689146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B9D-4C4D-889D-468F6484D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</a:t>
                </a:r>
              </a:p>
              <a:p>
                <a:pPr>
                  <a:defRPr/>
                </a:pPr>
                <a:r>
                  <a:rPr lang="en-US"/>
                  <a:t>Difference from</a:t>
                </a:r>
                <a:r>
                  <a:rPr lang="en-US" baseline="0"/>
                  <a:t> Native</a:t>
                </a:r>
                <a:r>
                  <a:rPr lang="en-US"/>
                  <a:t>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7842429919715992"/>
          <c:h val="0.179471283051875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6134102180834E-2"/>
          <c:y val="0.171284441282512"/>
          <c:w val="0.87650059727442731"/>
          <c:h val="0.53909259337235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'barrier-elision'!$B$18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'barrier-elision'!$B$19:$B$32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0D40-931C-5646C6A86955}"/>
            </c:ext>
          </c:extLst>
        </c:ser>
        <c:ser>
          <c:idx val="1"/>
          <c:order val="1"/>
          <c:tx>
            <c:strRef>
              <c:f>'barrier-elision'!$C$18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'barrier-elision'!$C$19:$C$32</c:f>
              <c:numCache>
                <c:formatCode>_(* #,##0.00_);_(* \(#,##0.00\);_(* "-"??_);_(@_)</c:formatCode>
                <c:ptCount val="14"/>
                <c:pt idx="0">
                  <c:v>1.4</c:v>
                </c:pt>
                <c:pt idx="1">
                  <c:v>1.3636363636363635</c:v>
                </c:pt>
                <c:pt idx="2">
                  <c:v>1.5293288708825084</c:v>
                </c:pt>
                <c:pt idx="3">
                  <c:v>1.2195121951219512</c:v>
                </c:pt>
                <c:pt idx="4">
                  <c:v>1.0377295492487479</c:v>
                </c:pt>
                <c:pt idx="5">
                  <c:v>1.0470823941898322</c:v>
                </c:pt>
                <c:pt idx="6">
                  <c:v>1.0883816213052384</c:v>
                </c:pt>
                <c:pt idx="7">
                  <c:v>0.95233142659039693</c:v>
                </c:pt>
                <c:pt idx="8">
                  <c:v>1.3793103448275863</c:v>
                </c:pt>
                <c:pt idx="9">
                  <c:v>1.0706467661691543</c:v>
                </c:pt>
                <c:pt idx="10">
                  <c:v>1.2215416028586012</c:v>
                </c:pt>
                <c:pt idx="11">
                  <c:v>1.1012931034482758</c:v>
                </c:pt>
                <c:pt idx="12">
                  <c:v>1.4615384615384615</c:v>
                </c:pt>
                <c:pt idx="13">
                  <c:v>1.207830443650467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F-0D40-931C-5646C6A86955}"/>
            </c:ext>
          </c:extLst>
        </c:ser>
        <c:ser>
          <c:idx val="3"/>
          <c:order val="2"/>
          <c:tx>
            <c:strRef>
              <c:f>'barrier-elision'!$D$18</c:f>
              <c:strCache>
                <c:ptCount val="1"/>
                <c:pt idx="0">
                  <c:v>DrCCTLib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'barrier-elision'!$D$19:$D$32</c:f>
              <c:numCache>
                <c:formatCode>_(* #,##0.00_);_(* \(#,##0.00\);_(* "-"??_);_(@_)</c:formatCode>
                <c:ptCount val="14"/>
                <c:pt idx="0">
                  <c:v>19.649999999999999</c:v>
                </c:pt>
                <c:pt idx="1">
                  <c:v>4</c:v>
                </c:pt>
                <c:pt idx="2">
                  <c:v>9.3655099524396697</c:v>
                </c:pt>
                <c:pt idx="3">
                  <c:v>2.975609756097561</c:v>
                </c:pt>
                <c:pt idx="4">
                  <c:v>6.1445742904841403</c:v>
                </c:pt>
                <c:pt idx="5">
                  <c:v>4.8690207863761579</c:v>
                </c:pt>
                <c:pt idx="6">
                  <c:v>1.2780216564237636</c:v>
                </c:pt>
                <c:pt idx="7">
                  <c:v>1.0570289478245796</c:v>
                </c:pt>
                <c:pt idx="8">
                  <c:v>18.413793103448278</c:v>
                </c:pt>
                <c:pt idx="9">
                  <c:v>5.5562189054726367</c:v>
                </c:pt>
                <c:pt idx="10">
                  <c:v>14.344053088310362</c:v>
                </c:pt>
                <c:pt idx="11">
                  <c:v>5.0107758620689653</c:v>
                </c:pt>
                <c:pt idx="12">
                  <c:v>7.8461538461538458</c:v>
                </c:pt>
                <c:pt idx="13">
                  <c:v>5.5819772016716263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6F-0D40-931C-5646C6A86955}"/>
            </c:ext>
          </c:extLst>
        </c:ser>
        <c:ser>
          <c:idx val="2"/>
          <c:order val="3"/>
          <c:tx>
            <c:strRef>
              <c:f>'barrier-elision'!$E$18</c:f>
              <c:strCache>
                <c:ptCount val="1"/>
                <c:pt idx="0">
                  <c:v>DCCE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'barrier-elision'!$E$19:$E$32</c:f>
              <c:numCache>
                <c:formatCode>_(* #,##0.00_);_(* \(#,##0.00\);_(* "-"??_);_(@_)</c:formatCode>
                <c:ptCount val="14"/>
                <c:pt idx="0">
                  <c:v>12.55</c:v>
                </c:pt>
                <c:pt idx="1">
                  <c:v>2.8636363636363638</c:v>
                </c:pt>
                <c:pt idx="2">
                  <c:v>5.7646644354412544</c:v>
                </c:pt>
                <c:pt idx="3">
                  <c:v>2.1707317073170733</c:v>
                </c:pt>
                <c:pt idx="4">
                  <c:v>4.9288814691151916</c:v>
                </c:pt>
                <c:pt idx="5">
                  <c:v>4.1277235161532682</c:v>
                </c:pt>
                <c:pt idx="6">
                  <c:v>1.2250512145156569</c:v>
                </c:pt>
                <c:pt idx="7">
                  <c:v>0.95510487086150109</c:v>
                </c:pt>
                <c:pt idx="8">
                  <c:v>12.206896551724139</c:v>
                </c:pt>
                <c:pt idx="9">
                  <c:v>3.9293532338308457</c:v>
                </c:pt>
                <c:pt idx="10">
                  <c:v>10.118938233792752</c:v>
                </c:pt>
                <c:pt idx="11">
                  <c:v>4.3232758620689653</c:v>
                </c:pt>
                <c:pt idx="12">
                  <c:v>6.0384615384615383</c:v>
                </c:pt>
                <c:pt idx="13">
                  <c:v>4.2225007715773319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F-0D40-931C-5646C6A8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2942280149850218E-2"/>
          <c:y val="2.7520851560221639E-2"/>
          <c:w val="0.87895436312313446"/>
          <c:h val="0.119379192184310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of ECC lookup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'barrier-elision'!$B$116</c:f>
              <c:strCache>
                <c:ptCount val="1"/>
                <c:pt idx="0">
                  <c:v>Runtime of DCCE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'barrier-elision'!$A$117:$A$153</c:f>
              <c:strCache>
                <c:ptCount val="36"/>
                <c:pt idx="0">
                  <c:v>10_10</c:v>
                </c:pt>
                <c:pt idx="1">
                  <c:v>10_100</c:v>
                </c:pt>
                <c:pt idx="2">
                  <c:v>10_200</c:v>
                </c:pt>
                <c:pt idx="3">
                  <c:v>10_400</c:v>
                </c:pt>
                <c:pt idx="4">
                  <c:v>10_800</c:v>
                </c:pt>
                <c:pt idx="5">
                  <c:v>10_1600</c:v>
                </c:pt>
                <c:pt idx="6">
                  <c:v>100_10</c:v>
                </c:pt>
                <c:pt idx="7">
                  <c:v>100_100</c:v>
                </c:pt>
                <c:pt idx="8">
                  <c:v>100_200</c:v>
                </c:pt>
                <c:pt idx="9">
                  <c:v>100_400</c:v>
                </c:pt>
                <c:pt idx="10">
                  <c:v>100_800</c:v>
                </c:pt>
                <c:pt idx="11">
                  <c:v>100_1600</c:v>
                </c:pt>
                <c:pt idx="12">
                  <c:v>200_10</c:v>
                </c:pt>
                <c:pt idx="13">
                  <c:v>200_100</c:v>
                </c:pt>
                <c:pt idx="14">
                  <c:v>200_200</c:v>
                </c:pt>
                <c:pt idx="15">
                  <c:v>200_400</c:v>
                </c:pt>
                <c:pt idx="16">
                  <c:v>200_800</c:v>
                </c:pt>
                <c:pt idx="17">
                  <c:v>200_1600</c:v>
                </c:pt>
                <c:pt idx="18">
                  <c:v>400_10</c:v>
                </c:pt>
                <c:pt idx="19">
                  <c:v>400_100</c:v>
                </c:pt>
                <c:pt idx="20">
                  <c:v>400_200</c:v>
                </c:pt>
                <c:pt idx="21">
                  <c:v>400_400</c:v>
                </c:pt>
                <c:pt idx="22">
                  <c:v>400_800</c:v>
                </c:pt>
                <c:pt idx="23">
                  <c:v>400_1600</c:v>
                </c:pt>
                <c:pt idx="24">
                  <c:v>800_10</c:v>
                </c:pt>
                <c:pt idx="25">
                  <c:v>800_100</c:v>
                </c:pt>
                <c:pt idx="26">
                  <c:v>800_200</c:v>
                </c:pt>
                <c:pt idx="27">
                  <c:v>800_400</c:v>
                </c:pt>
                <c:pt idx="28">
                  <c:v>800_800</c:v>
                </c:pt>
                <c:pt idx="29">
                  <c:v>800_1600</c:v>
                </c:pt>
                <c:pt idx="30">
                  <c:v>1600_10</c:v>
                </c:pt>
                <c:pt idx="31">
                  <c:v>1600_100</c:v>
                </c:pt>
                <c:pt idx="32">
                  <c:v>1600_200</c:v>
                </c:pt>
                <c:pt idx="33">
                  <c:v>1600_400</c:v>
                </c:pt>
                <c:pt idx="34">
                  <c:v>1600_800</c:v>
                </c:pt>
                <c:pt idx="35">
                  <c:v>1600_1600</c:v>
                </c:pt>
              </c:strCache>
            </c:strRef>
          </c:cat>
          <c:val>
            <c:numRef>
              <c:f>'barrier-elision'!$B$117:$B$153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8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8</c:v>
                </c:pt>
                <c:pt idx="17">
                  <c:v>17</c:v>
                </c:pt>
                <c:pt idx="18">
                  <c:v>0</c:v>
                </c:pt>
                <c:pt idx="19">
                  <c:v>2</c:v>
                </c:pt>
                <c:pt idx="20">
                  <c:v>3</c:v>
                </c:pt>
                <c:pt idx="21">
                  <c:v>7</c:v>
                </c:pt>
                <c:pt idx="22">
                  <c:v>19</c:v>
                </c:pt>
                <c:pt idx="23">
                  <c:v>33</c:v>
                </c:pt>
                <c:pt idx="24">
                  <c:v>0</c:v>
                </c:pt>
                <c:pt idx="25">
                  <c:v>3</c:v>
                </c:pt>
                <c:pt idx="26">
                  <c:v>8</c:v>
                </c:pt>
                <c:pt idx="27">
                  <c:v>16</c:v>
                </c:pt>
                <c:pt idx="28">
                  <c:v>34</c:v>
                </c:pt>
                <c:pt idx="29">
                  <c:v>67</c:v>
                </c:pt>
                <c:pt idx="30">
                  <c:v>0</c:v>
                </c:pt>
                <c:pt idx="31">
                  <c:v>8</c:v>
                </c:pt>
                <c:pt idx="32">
                  <c:v>20</c:v>
                </c:pt>
                <c:pt idx="33">
                  <c:v>42</c:v>
                </c:pt>
                <c:pt idx="34">
                  <c:v>87</c:v>
                </c:pt>
                <c:pt idx="3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14F-8131-7768E0A29960}"/>
            </c:ext>
          </c:extLst>
        </c:ser>
        <c:ser>
          <c:idx val="1"/>
          <c:order val="1"/>
          <c:tx>
            <c:strRef>
              <c:f>'barrier-elision'!$C$116</c:f>
              <c:strCache>
                <c:ptCount val="1"/>
                <c:pt idx="0">
                  <c:v>Runtime of PCCE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'barrier-elision'!$A$117:$A$153</c:f>
              <c:strCache>
                <c:ptCount val="36"/>
                <c:pt idx="0">
                  <c:v>10_10</c:v>
                </c:pt>
                <c:pt idx="1">
                  <c:v>10_100</c:v>
                </c:pt>
                <c:pt idx="2">
                  <c:v>10_200</c:v>
                </c:pt>
                <c:pt idx="3">
                  <c:v>10_400</c:v>
                </c:pt>
                <c:pt idx="4">
                  <c:v>10_800</c:v>
                </c:pt>
                <c:pt idx="5">
                  <c:v>10_1600</c:v>
                </c:pt>
                <c:pt idx="6">
                  <c:v>100_10</c:v>
                </c:pt>
                <c:pt idx="7">
                  <c:v>100_100</c:v>
                </c:pt>
                <c:pt idx="8">
                  <c:v>100_200</c:v>
                </c:pt>
                <c:pt idx="9">
                  <c:v>100_400</c:v>
                </c:pt>
                <c:pt idx="10">
                  <c:v>100_800</c:v>
                </c:pt>
                <c:pt idx="11">
                  <c:v>100_1600</c:v>
                </c:pt>
                <c:pt idx="12">
                  <c:v>200_10</c:v>
                </c:pt>
                <c:pt idx="13">
                  <c:v>200_100</c:v>
                </c:pt>
                <c:pt idx="14">
                  <c:v>200_200</c:v>
                </c:pt>
                <c:pt idx="15">
                  <c:v>200_400</c:v>
                </c:pt>
                <c:pt idx="16">
                  <c:v>200_800</c:v>
                </c:pt>
                <c:pt idx="17">
                  <c:v>200_1600</c:v>
                </c:pt>
                <c:pt idx="18">
                  <c:v>400_10</c:v>
                </c:pt>
                <c:pt idx="19">
                  <c:v>400_100</c:v>
                </c:pt>
                <c:pt idx="20">
                  <c:v>400_200</c:v>
                </c:pt>
                <c:pt idx="21">
                  <c:v>400_400</c:v>
                </c:pt>
                <c:pt idx="22">
                  <c:v>400_800</c:v>
                </c:pt>
                <c:pt idx="23">
                  <c:v>400_1600</c:v>
                </c:pt>
                <c:pt idx="24">
                  <c:v>800_10</c:v>
                </c:pt>
                <c:pt idx="25">
                  <c:v>800_100</c:v>
                </c:pt>
                <c:pt idx="26">
                  <c:v>800_200</c:v>
                </c:pt>
                <c:pt idx="27">
                  <c:v>800_400</c:v>
                </c:pt>
                <c:pt idx="28">
                  <c:v>800_800</c:v>
                </c:pt>
                <c:pt idx="29">
                  <c:v>800_1600</c:v>
                </c:pt>
                <c:pt idx="30">
                  <c:v>1600_10</c:v>
                </c:pt>
                <c:pt idx="31">
                  <c:v>1600_100</c:v>
                </c:pt>
                <c:pt idx="32">
                  <c:v>1600_200</c:v>
                </c:pt>
                <c:pt idx="33">
                  <c:v>1600_400</c:v>
                </c:pt>
                <c:pt idx="34">
                  <c:v>1600_800</c:v>
                </c:pt>
                <c:pt idx="35">
                  <c:v>1600_1600</c:v>
                </c:pt>
              </c:strCache>
            </c:strRef>
          </c:cat>
          <c:val>
            <c:numRef>
              <c:f>'barrier-elision'!$C$117:$C$153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350</c:v>
                </c:pt>
                <c:pt idx="31">
                  <c:v>350</c:v>
                </c:pt>
                <c:pt idx="32">
                  <c:v>348</c:v>
                </c:pt>
                <c:pt idx="33">
                  <c:v>350</c:v>
                </c:pt>
                <c:pt idx="34">
                  <c:v>355</c:v>
                </c:pt>
                <c:pt idx="3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9-414F-8131-7768E0A2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319087"/>
        <c:axId val="1092451967"/>
      </c:barChart>
      <c:catAx>
        <c:axId val="1131319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numFuncEntry_numCCID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1967"/>
        <c:crosses val="autoZero"/>
        <c:auto val="1"/>
        <c:lblAlgn val="ctr"/>
        <c:lblOffset val="100"/>
        <c:noMultiLvlLbl val="0"/>
      </c:catAx>
      <c:valAx>
        <c:axId val="10924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19087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tls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'barrier-elision'!$B$180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'barrier-elision'!$A$181:$A$194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'barrier-elision'!$B$181:$B$194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2-4A4E-A869-AC06262D1B67}"/>
            </c:ext>
          </c:extLst>
        </c:ser>
        <c:ser>
          <c:idx val="1"/>
          <c:order val="1"/>
          <c:tx>
            <c:strRef>
              <c:f>'barrier-elision'!$C$180</c:f>
              <c:strCache>
                <c:ptCount val="1"/>
                <c:pt idx="0">
                  <c:v>PCCE-onlyccid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'barrier-elision'!$A$181:$A$194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'barrier-elision'!$C$181:$C$194</c:f>
              <c:numCache>
                <c:formatCode>_(* #,##0.00_);_(* \(#,##0.00\);_(* "-"??_);_(@_)</c:formatCode>
                <c:ptCount val="14"/>
                <c:pt idx="0">
                  <c:v>1.0952380952380953</c:v>
                </c:pt>
                <c:pt idx="1">
                  <c:v>0.88888888888888884</c:v>
                </c:pt>
                <c:pt idx="2">
                  <c:v>1.0737139826763302</c:v>
                </c:pt>
                <c:pt idx="3">
                  <c:v>1</c:v>
                </c:pt>
                <c:pt idx="4">
                  <c:v>0.98901098901098905</c:v>
                </c:pt>
                <c:pt idx="5">
                  <c:v>1.0947973986993498</c:v>
                </c:pt>
                <c:pt idx="6">
                  <c:v>0.95748116254036597</c:v>
                </c:pt>
                <c:pt idx="7">
                  <c:v>1.0139695210449928</c:v>
                </c:pt>
                <c:pt idx="8">
                  <c:v>1.1212121212121211</c:v>
                </c:pt>
                <c:pt idx="9">
                  <c:v>1.1352459016393444</c:v>
                </c:pt>
                <c:pt idx="10">
                  <c:v>1.0126774847870184</c:v>
                </c:pt>
                <c:pt idx="11">
                  <c:v>1.1115879828326181</c:v>
                </c:pt>
                <c:pt idx="12">
                  <c:v>1.1372549019607843</c:v>
                </c:pt>
                <c:pt idx="13">
                  <c:v>1.7560627674750358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2-4A4E-A869-AC06262D1B67}"/>
            </c:ext>
          </c:extLst>
        </c:ser>
        <c:ser>
          <c:idx val="2"/>
          <c:order val="2"/>
          <c:tx>
            <c:strRef>
              <c:f>'barrier-elision'!$D$180</c:f>
              <c:strCache>
                <c:ptCount val="1"/>
                <c:pt idx="0">
                  <c:v>DCCE-onlyccid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'barrier-elision'!$A$181:$A$194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'barrier-elision'!$D$181:$D$194</c:f>
              <c:numCache>
                <c:formatCode>_(* #,##0.00_);_(* \(#,##0.00\);_(* "-"??_);_(@_)</c:formatCode>
                <c:ptCount val="14"/>
                <c:pt idx="0">
                  <c:v>1.2857142857142858</c:v>
                </c:pt>
                <c:pt idx="1">
                  <c:v>0.88888888888888884</c:v>
                </c:pt>
                <c:pt idx="2">
                  <c:v>1.1095987272405869</c:v>
                </c:pt>
                <c:pt idx="3">
                  <c:v>1</c:v>
                </c:pt>
                <c:pt idx="4">
                  <c:v>1.1055611055611057</c:v>
                </c:pt>
                <c:pt idx="5">
                  <c:v>1.0787893946973486</c:v>
                </c:pt>
                <c:pt idx="6">
                  <c:v>0.88482238966630788</c:v>
                </c:pt>
                <c:pt idx="7">
                  <c:v>0.93595791001451378</c:v>
                </c:pt>
                <c:pt idx="8">
                  <c:v>1.2121212121212122</c:v>
                </c:pt>
                <c:pt idx="9">
                  <c:v>1.0932377049180328</c:v>
                </c:pt>
                <c:pt idx="10">
                  <c:v>1.0589925625422583</c:v>
                </c:pt>
                <c:pt idx="11">
                  <c:v>1.1416309012875536</c:v>
                </c:pt>
                <c:pt idx="12">
                  <c:v>1.1372549019607843</c:v>
                </c:pt>
                <c:pt idx="13">
                  <c:v>1.8359486447931526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2-4A4E-A869-AC06262D1B67}"/>
            </c:ext>
          </c:extLst>
        </c:ser>
        <c:ser>
          <c:idx val="5"/>
          <c:order val="3"/>
          <c:tx>
            <c:strRef>
              <c:f>'barrier-elision'!$E$180</c:f>
              <c:strCache>
                <c:ptCount val="1"/>
                <c:pt idx="0">
                  <c:v>PCCE-all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'barrier-elision'!$A$181:$A$194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'barrier-elision'!$E$181:$E$194</c:f>
              <c:numCache>
                <c:formatCode>_(* #,##0.00_);_(* \(#,##0.00\);_(* "-"??_);_(@_)</c:formatCode>
                <c:ptCount val="14"/>
                <c:pt idx="0">
                  <c:v>1.2380952380952381</c:v>
                </c:pt>
                <c:pt idx="1">
                  <c:v>0.85185185185185186</c:v>
                </c:pt>
                <c:pt idx="2">
                  <c:v>1.0528548700724765</c:v>
                </c:pt>
                <c:pt idx="3">
                  <c:v>1</c:v>
                </c:pt>
                <c:pt idx="4">
                  <c:v>1.0666000666000666</c:v>
                </c:pt>
                <c:pt idx="5">
                  <c:v>1.1920960480240119</c:v>
                </c:pt>
                <c:pt idx="6">
                  <c:v>1.0134553283100107</c:v>
                </c:pt>
                <c:pt idx="7">
                  <c:v>1.0223149492017416</c:v>
                </c:pt>
                <c:pt idx="8">
                  <c:v>1.3636363636363635</c:v>
                </c:pt>
                <c:pt idx="9">
                  <c:v>1.1854508196721312</c:v>
                </c:pt>
                <c:pt idx="10">
                  <c:v>1.1435091277890466</c:v>
                </c:pt>
                <c:pt idx="11">
                  <c:v>1.1630901287553648</c:v>
                </c:pt>
                <c:pt idx="12">
                  <c:v>1.1764705882352942</c:v>
                </c:pt>
                <c:pt idx="13">
                  <c:v>1.7218259629101285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02-4A4E-A869-AC06262D1B67}"/>
            </c:ext>
          </c:extLst>
        </c:ser>
        <c:ser>
          <c:idx val="6"/>
          <c:order val="4"/>
          <c:tx>
            <c:strRef>
              <c:f>'barrier-elision'!$F$180</c:f>
              <c:strCache>
                <c:ptCount val="1"/>
                <c:pt idx="0">
                  <c:v>DCCE-all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'barrier-elision'!$A$181:$A$194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'barrier-elision'!$F$181:$F$194</c:f>
              <c:numCache>
                <c:formatCode>_(* #,##0.00_);_(* \(#,##0.00\);_(* "-"??_);_(@_)</c:formatCode>
                <c:ptCount val="14"/>
                <c:pt idx="0">
                  <c:v>1.4761904761904763</c:v>
                </c:pt>
                <c:pt idx="1">
                  <c:v>0.85185185185185186</c:v>
                </c:pt>
                <c:pt idx="2">
                  <c:v>1.1143715750397738</c:v>
                </c:pt>
                <c:pt idx="3">
                  <c:v>1.0238095238095237</c:v>
                </c:pt>
                <c:pt idx="4">
                  <c:v>1.1645021645021645</c:v>
                </c:pt>
                <c:pt idx="5">
                  <c:v>1.1435717858929464</c:v>
                </c:pt>
                <c:pt idx="6">
                  <c:v>0.84607104413347689</c:v>
                </c:pt>
                <c:pt idx="7">
                  <c:v>1.0226777939042091</c:v>
                </c:pt>
                <c:pt idx="8">
                  <c:v>1.5151515151515151</c:v>
                </c:pt>
                <c:pt idx="9">
                  <c:v>1.1547131147540983</c:v>
                </c:pt>
                <c:pt idx="10">
                  <c:v>1.2778904665314401</c:v>
                </c:pt>
                <c:pt idx="11">
                  <c:v>1.1995708154506437</c:v>
                </c:pt>
                <c:pt idx="12">
                  <c:v>1.1764705882352942</c:v>
                </c:pt>
                <c:pt idx="13">
                  <c:v>1.7945791726105564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02-4A4E-A869-AC06262D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86095"/>
        <c:axId val="1427488367"/>
      </c:barChart>
      <c:catAx>
        <c:axId val="14274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8367"/>
        <c:crosses val="autoZero"/>
        <c:auto val="1"/>
        <c:lblAlgn val="ctr"/>
        <c:lblOffset val="100"/>
        <c:noMultiLvlLbl val="0"/>
      </c:catAx>
      <c:valAx>
        <c:axId val="14274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</a:t>
                </a:r>
                <a:r>
                  <a:rPr lang="en-US" baseline="0"/>
                  <a:t> to Native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6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'barrier-elision'!$B$211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'barrier-elision'!$A$212:$A$221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'barrier-elision'!$B$212:$B$221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7-E24D-9010-743067FB9BC7}"/>
            </c:ext>
          </c:extLst>
        </c:ser>
        <c:ser>
          <c:idx val="1"/>
          <c:order val="1"/>
          <c:tx>
            <c:strRef>
              <c:f>'barrier-elision'!$C$211</c:f>
              <c:strCache>
                <c:ptCount val="1"/>
                <c:pt idx="0">
                  <c:v>PCCE-onlyccid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'barrier-elision'!$A$212:$A$221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'barrier-elision'!$C$212:$C$221</c:f>
              <c:numCache>
                <c:formatCode>_(* #,##0.00_);_(* \(#,##0.00\);_(* "-"??_);_(@_)</c:formatCode>
                <c:ptCount val="10"/>
                <c:pt idx="0">
                  <c:v>1.7638043896804005</c:v>
                </c:pt>
                <c:pt idx="1">
                  <c:v>2.738630081913664</c:v>
                </c:pt>
                <c:pt idx="2">
                  <c:v>1.9756813290996373</c:v>
                </c:pt>
                <c:pt idx="3">
                  <c:v>1.0620496328271449</c:v>
                </c:pt>
                <c:pt idx="4">
                  <c:v>1.3959525543647904</c:v>
                </c:pt>
                <c:pt idx="5">
                  <c:v>1.8219215432330187</c:v>
                </c:pt>
                <c:pt idx="6">
                  <c:v>1.9227729885057472</c:v>
                </c:pt>
                <c:pt idx="7">
                  <c:v>1.8090149550823709</c:v>
                </c:pt>
                <c:pt idx="8">
                  <c:v>2.0184676337146144</c:v>
                </c:pt>
                <c:pt idx="9">
                  <c:v>1.7817576962365587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7-E24D-9010-743067FB9BC7}"/>
            </c:ext>
          </c:extLst>
        </c:ser>
        <c:ser>
          <c:idx val="2"/>
          <c:order val="2"/>
          <c:tx>
            <c:strRef>
              <c:f>'barrier-elision'!$D$211</c:f>
              <c:strCache>
                <c:ptCount val="1"/>
                <c:pt idx="0">
                  <c:v>DCCE-onlyccid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'barrier-elision'!$A$212:$A$221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'barrier-elision'!$D$212:$D$221</c:f>
              <c:numCache>
                <c:formatCode>_(* #,##0.00_);_(* \(#,##0.00\);_(* "-"??_);_(@_)</c:formatCode>
                <c:ptCount val="10"/>
                <c:pt idx="0">
                  <c:v>1.7537158259530228</c:v>
                </c:pt>
                <c:pt idx="1">
                  <c:v>2.7260415096235993</c:v>
                </c:pt>
                <c:pt idx="2">
                  <c:v>1.9648613263908745</c:v>
                </c:pt>
                <c:pt idx="3">
                  <c:v>1.0613617211550037</c:v>
                </c:pt>
                <c:pt idx="4">
                  <c:v>1.3423681198626574</c:v>
                </c:pt>
                <c:pt idx="5">
                  <c:v>1.7979278143212569</c:v>
                </c:pt>
                <c:pt idx="6">
                  <c:v>1.9365122126436782</c:v>
                </c:pt>
                <c:pt idx="7">
                  <c:v>1.8354940939210602</c:v>
                </c:pt>
                <c:pt idx="8">
                  <c:v>2.0181481244807973</c:v>
                </c:pt>
                <c:pt idx="9">
                  <c:v>1.7724006753992942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7-E24D-9010-743067FB9BC7}"/>
            </c:ext>
          </c:extLst>
        </c:ser>
        <c:ser>
          <c:idx val="3"/>
          <c:order val="3"/>
          <c:tx>
            <c:strRef>
              <c:f>'barrier-elision'!$E$211</c:f>
              <c:strCache>
                <c:ptCount val="1"/>
                <c:pt idx="0">
                  <c:v>PCCE-all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'barrier-elision'!$A$212:$A$221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'barrier-elision'!$E$212:$E$221</c:f>
              <c:numCache>
                <c:formatCode>_(* #,##0.00_);_(* \(#,##0.00\);_(* "-"??_);_(@_)</c:formatCode>
                <c:ptCount val="10"/>
                <c:pt idx="0">
                  <c:v>1.8129380053908355</c:v>
                </c:pt>
                <c:pt idx="1">
                  <c:v>2.7666465651540277</c:v>
                </c:pt>
                <c:pt idx="2">
                  <c:v>2.1335570570796527</c:v>
                </c:pt>
                <c:pt idx="3">
                  <c:v>1.0623677919755103</c:v>
                </c:pt>
                <c:pt idx="4">
                  <c:v>1.5790760586827592</c:v>
                </c:pt>
                <c:pt idx="5">
                  <c:v>1.922736103063972</c:v>
                </c:pt>
                <c:pt idx="6">
                  <c:v>2.052801724137931</c:v>
                </c:pt>
                <c:pt idx="7">
                  <c:v>1.8957858620779968</c:v>
                </c:pt>
                <c:pt idx="8">
                  <c:v>2.0456898204358107</c:v>
                </c:pt>
                <c:pt idx="9">
                  <c:v>1.8663866580002677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7-E24D-9010-743067FB9BC7}"/>
            </c:ext>
          </c:extLst>
        </c:ser>
        <c:ser>
          <c:idx val="4"/>
          <c:order val="4"/>
          <c:tx>
            <c:strRef>
              <c:f>'barrier-elision'!$F$211</c:f>
              <c:strCache>
                <c:ptCount val="1"/>
                <c:pt idx="0">
                  <c:v>DCCE-all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'barrier-elision'!$A$212:$A$221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'barrier-elision'!$F$212:$F$221</c:f>
              <c:numCache>
                <c:formatCode>_(* #,##0.00_);_(* \(#,##0.00\);_(* "-"??_);_(@_)</c:formatCode>
                <c:ptCount val="10"/>
                <c:pt idx="0">
                  <c:v>1.7733153638814017</c:v>
                </c:pt>
                <c:pt idx="1">
                  <c:v>2.7350118096386753</c:v>
                </c:pt>
                <c:pt idx="2">
                  <c:v>2.1487411777098915</c:v>
                </c:pt>
                <c:pt idx="3">
                  <c:v>1.0597193320377662</c:v>
                </c:pt>
                <c:pt idx="4">
                  <c:v>1.5289251898865883</c:v>
                </c:pt>
                <c:pt idx="5">
                  <c:v>1.910125762584779</c:v>
                </c:pt>
                <c:pt idx="6">
                  <c:v>2.0421156609195403</c:v>
                </c:pt>
                <c:pt idx="7">
                  <c:v>1.9487441397553757</c:v>
                </c:pt>
                <c:pt idx="8">
                  <c:v>2.038117451594351</c:v>
                </c:pt>
                <c:pt idx="9">
                  <c:v>1.8562046517131745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07-E24D-9010-743067FB9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tls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'barrier-elision'!$B$243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'barrier-elision'!$A$244:$A$258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'barrier-elision'!$B$244:$B$258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2-C849-9804-936308B1B592}"/>
            </c:ext>
          </c:extLst>
        </c:ser>
        <c:ser>
          <c:idx val="1"/>
          <c:order val="1"/>
          <c:tx>
            <c:strRef>
              <c:f>'barrier-elision'!$C$243</c:f>
              <c:strCache>
                <c:ptCount val="1"/>
                <c:pt idx="0">
                  <c:v>PCCE-barrierElider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'barrier-elision'!$A$244:$A$258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'barrier-elision'!$C$244:$C$258</c:f>
              <c:numCache>
                <c:formatCode>_(* #,##0.00_);_(* \(#,##0.00\);_(* "-"??_);_(@_)</c:formatCode>
                <c:ptCount val="15"/>
                <c:pt idx="0">
                  <c:v>1.1428571428571428</c:v>
                </c:pt>
                <c:pt idx="1">
                  <c:v>0.85185185185185186</c:v>
                </c:pt>
                <c:pt idx="2">
                  <c:v>1.0346473395792823</c:v>
                </c:pt>
                <c:pt idx="3">
                  <c:v>1</c:v>
                </c:pt>
                <c:pt idx="4">
                  <c:v>0.98501498501498497</c:v>
                </c:pt>
                <c:pt idx="5">
                  <c:v>1.0607803901950976</c:v>
                </c:pt>
                <c:pt idx="6">
                  <c:v>0.98573735199138857</c:v>
                </c:pt>
                <c:pt idx="7">
                  <c:v>0.94756894049346885</c:v>
                </c:pt>
                <c:pt idx="8">
                  <c:v>1.1818181818181819</c:v>
                </c:pt>
                <c:pt idx="9">
                  <c:v>1.0491803278688525</c:v>
                </c:pt>
                <c:pt idx="10">
                  <c:v>1.0458079783637593</c:v>
                </c:pt>
                <c:pt idx="11">
                  <c:v>1.1609442060085837</c:v>
                </c:pt>
                <c:pt idx="12">
                  <c:v>1.1176470588235294</c:v>
                </c:pt>
                <c:pt idx="13">
                  <c:v>1.8530670470756063</c:v>
                </c:pt>
                <c:pt idx="14">
                  <c:v>1.0832939829222272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2-C849-9804-936308B1B592}"/>
            </c:ext>
          </c:extLst>
        </c:ser>
        <c:ser>
          <c:idx val="2"/>
          <c:order val="2"/>
          <c:tx>
            <c:strRef>
              <c:f>'barrier-elision'!$D$243</c:f>
              <c:strCache>
                <c:ptCount val="1"/>
                <c:pt idx="0">
                  <c:v>DCCE-barrierElider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'barrier-elision'!$A$244:$A$258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'barrier-elision'!$D$244:$D$258</c:f>
              <c:numCache>
                <c:formatCode>_(* #,##0.00_);_(* \(#,##0.00\);_(* "-"??_);_(@_)</c:formatCode>
                <c:ptCount val="15"/>
                <c:pt idx="0">
                  <c:v>1.2857142857142858</c:v>
                </c:pt>
                <c:pt idx="1">
                  <c:v>0.96296296296296291</c:v>
                </c:pt>
                <c:pt idx="2">
                  <c:v>1.1030581580342937</c:v>
                </c:pt>
                <c:pt idx="3">
                  <c:v>1</c:v>
                </c:pt>
                <c:pt idx="4">
                  <c:v>1.0942390942390943</c:v>
                </c:pt>
                <c:pt idx="5">
                  <c:v>1.0960480240120061</c:v>
                </c:pt>
                <c:pt idx="6">
                  <c:v>1.0352529601722282</c:v>
                </c:pt>
                <c:pt idx="7">
                  <c:v>1.0212264150943395</c:v>
                </c:pt>
                <c:pt idx="8">
                  <c:v>1.2424242424242424</c:v>
                </c:pt>
                <c:pt idx="9">
                  <c:v>1.1157786885245902</c:v>
                </c:pt>
                <c:pt idx="10">
                  <c:v>1.1577079107505071</c:v>
                </c:pt>
                <c:pt idx="11">
                  <c:v>1.1781115879828326</c:v>
                </c:pt>
                <c:pt idx="12">
                  <c:v>1.1372549019607843</c:v>
                </c:pt>
                <c:pt idx="13">
                  <c:v>1.7931526390870185</c:v>
                </c:pt>
                <c:pt idx="14">
                  <c:v>1.1452437980395114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2-C849-9804-936308B1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86095"/>
        <c:axId val="1427488367"/>
      </c:barChart>
      <c:catAx>
        <c:axId val="14274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8367"/>
        <c:crosses val="autoZero"/>
        <c:auto val="1"/>
        <c:lblAlgn val="ctr"/>
        <c:lblOffset val="100"/>
        <c:noMultiLvlLbl val="0"/>
      </c:catAx>
      <c:valAx>
        <c:axId val="14274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</a:t>
                </a:r>
                <a:r>
                  <a:rPr lang="en-US" baseline="0"/>
                  <a:t> to Native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6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tls optimization + logging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'barrier-elision'!$B$292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'barrier-elision'!$A$293:$A$307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'barrier-elision'!$B$293:$B$307</c:f>
              <c:numCache>
                <c:formatCode>_(* #,##0_);_(* \(#,##0\);_(*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DE43-865B-38722FBBD194}"/>
            </c:ext>
          </c:extLst>
        </c:ser>
        <c:ser>
          <c:idx val="1"/>
          <c:order val="1"/>
          <c:tx>
            <c:strRef>
              <c:f>'barrier-elision'!$C$292</c:f>
              <c:strCache>
                <c:ptCount val="1"/>
                <c:pt idx="0">
                  <c:v>PCCE-barrierElider-twokey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'barrier-elision'!$A$293:$A$307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'barrier-elision'!$C$293:$C$307</c:f>
              <c:numCache>
                <c:formatCode>_(* #,##0.00_);_(* \(#,##0.00\);_(* "-"??_);_(@_)</c:formatCode>
                <c:ptCount val="15"/>
                <c:pt idx="0">
                  <c:v>1.0952380952380953</c:v>
                </c:pt>
                <c:pt idx="1">
                  <c:v>0.88888888888888884</c:v>
                </c:pt>
                <c:pt idx="2">
                  <c:v>1.0514406929467917</c:v>
                </c:pt>
                <c:pt idx="3">
                  <c:v>1</c:v>
                </c:pt>
                <c:pt idx="4">
                  <c:v>1.1198801198801198</c:v>
                </c:pt>
                <c:pt idx="5">
                  <c:v>1.1070535267633816</c:v>
                </c:pt>
                <c:pt idx="6">
                  <c:v>1.10010764262648</c:v>
                </c:pt>
                <c:pt idx="7">
                  <c:v>1.104499274310595</c:v>
                </c:pt>
                <c:pt idx="8">
                  <c:v>1.0303030303030303</c:v>
                </c:pt>
                <c:pt idx="9">
                  <c:v>1.1127049180327868</c:v>
                </c:pt>
                <c:pt idx="10">
                  <c:v>1.0537525354969575</c:v>
                </c:pt>
                <c:pt idx="11">
                  <c:v>1.1695278969957081</c:v>
                </c:pt>
                <c:pt idx="12">
                  <c:v>1.1372549019607843</c:v>
                </c:pt>
                <c:pt idx="13">
                  <c:v>1.8345221112696148</c:v>
                </c:pt>
                <c:pt idx="14">
                  <c:v>1.1142132648112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F-DE43-865B-38722FBBD194}"/>
            </c:ext>
          </c:extLst>
        </c:ser>
        <c:ser>
          <c:idx val="2"/>
          <c:order val="2"/>
          <c:tx>
            <c:strRef>
              <c:f>'barrier-elision'!$D$292</c:f>
              <c:strCache>
                <c:ptCount val="1"/>
                <c:pt idx="0">
                  <c:v>PCCE-barrierElider-concat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'barrier-elision'!$A$293:$A$307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'barrier-elision'!$D$293:$D$307</c:f>
              <c:numCache>
                <c:formatCode>_(* #,##0.00_);_(* \(#,##0.00\);_(* "-"??_);_(@_)</c:formatCode>
                <c:ptCount val="15"/>
                <c:pt idx="0">
                  <c:v>1.0952380952380953</c:v>
                </c:pt>
                <c:pt idx="1">
                  <c:v>0.92592592592592593</c:v>
                </c:pt>
                <c:pt idx="2">
                  <c:v>1.0468446172883155</c:v>
                </c:pt>
                <c:pt idx="3">
                  <c:v>1.0238095238095237</c:v>
                </c:pt>
                <c:pt idx="4">
                  <c:v>1.086913086913087</c:v>
                </c:pt>
                <c:pt idx="5">
                  <c:v>1.145072536268134</c:v>
                </c:pt>
                <c:pt idx="6">
                  <c:v>0.98358449946178683</c:v>
                </c:pt>
                <c:pt idx="7">
                  <c:v>1.0404571843251089</c:v>
                </c:pt>
                <c:pt idx="8">
                  <c:v>1.0303030303030303</c:v>
                </c:pt>
                <c:pt idx="9">
                  <c:v>1.1844262295081966</c:v>
                </c:pt>
                <c:pt idx="11">
                  <c:v>1.1738197424892705</c:v>
                </c:pt>
                <c:pt idx="12">
                  <c:v>1.1372549019607843</c:v>
                </c:pt>
                <c:pt idx="13">
                  <c:v>1.7817403708987161</c:v>
                </c:pt>
                <c:pt idx="14">
                  <c:v>1.1129190558092552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F-DE43-865B-38722FBBD194}"/>
            </c:ext>
          </c:extLst>
        </c:ser>
        <c:ser>
          <c:idx val="3"/>
          <c:order val="3"/>
          <c:tx>
            <c:strRef>
              <c:f>'barrier-elision'!$E$292</c:f>
              <c:strCache>
                <c:ptCount val="1"/>
                <c:pt idx="0">
                  <c:v>DCCE-barrierElider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'barrier-elision'!$A$293:$A$307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'barrier-elision'!$E$293:$E$307</c:f>
              <c:numCache>
                <c:formatCode>_(* #,##0.00_);_(* \(#,##0.00\);_(* "-"??_);_(@_)</c:formatCode>
                <c:ptCount val="15"/>
                <c:pt idx="0">
                  <c:v>1.2857142857142858</c:v>
                </c:pt>
                <c:pt idx="1">
                  <c:v>0.81481481481481477</c:v>
                </c:pt>
                <c:pt idx="2">
                  <c:v>1.1154322078840375</c:v>
                </c:pt>
                <c:pt idx="3">
                  <c:v>1.0238095238095237</c:v>
                </c:pt>
                <c:pt idx="4">
                  <c:v>1.1265401265401265</c:v>
                </c:pt>
                <c:pt idx="5">
                  <c:v>1.0962981490745374</c:v>
                </c:pt>
                <c:pt idx="6">
                  <c:v>1.0269106566200215</c:v>
                </c:pt>
                <c:pt idx="7">
                  <c:v>1.0852685050798259</c:v>
                </c:pt>
                <c:pt idx="8">
                  <c:v>1.1515151515151516</c:v>
                </c:pt>
                <c:pt idx="9">
                  <c:v>1.1403688524590163</c:v>
                </c:pt>
                <c:pt idx="10">
                  <c:v>1.039553752535497</c:v>
                </c:pt>
                <c:pt idx="11">
                  <c:v>1.1802575107296138</c:v>
                </c:pt>
                <c:pt idx="12">
                  <c:v>1.1372549019607843</c:v>
                </c:pt>
                <c:pt idx="13">
                  <c:v>1.7888730385164051</c:v>
                </c:pt>
                <c:pt idx="14">
                  <c:v>1.1279739541067457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F-DE43-865B-38722FBB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86095"/>
        <c:axId val="1427488367"/>
      </c:barChart>
      <c:catAx>
        <c:axId val="14274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8367"/>
        <c:crosses val="autoZero"/>
        <c:auto val="1"/>
        <c:lblAlgn val="ctr"/>
        <c:lblOffset val="100"/>
        <c:noMultiLvlLbl val="0"/>
      </c:catAx>
      <c:valAx>
        <c:axId val="14274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</a:t>
                </a:r>
                <a:r>
                  <a:rPr lang="en-US" baseline="0"/>
                  <a:t> to Native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6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tls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'barrier-elision'!$B$332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'barrier-elision'!$A$333:$A$347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'barrier-elision'!$B$333:$B$347</c:f>
              <c:numCache>
                <c:formatCode>_(* #,##0_);_(* \(#,##0\);_(*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6-4244-9E14-24B4CC7C8DF6}"/>
            </c:ext>
          </c:extLst>
        </c:ser>
        <c:ser>
          <c:idx val="1"/>
          <c:order val="1"/>
          <c:tx>
            <c:strRef>
              <c:f>'barrier-elision'!$C$332</c:f>
              <c:strCache>
                <c:ptCount val="1"/>
                <c:pt idx="0">
                  <c:v>PCCE-Prof-FuncAcc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'barrier-elision'!$A$333:$A$347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'barrier-elision'!$C$333:$C$347</c:f>
              <c:numCache>
                <c:formatCode>_(* #,##0.00_);_(* \(#,##0.00\);_(* "-"??_);_(@_)</c:formatCode>
                <c:ptCount val="15"/>
                <c:pt idx="0">
                  <c:v>52.238095238095241</c:v>
                </c:pt>
                <c:pt idx="1">
                  <c:v>1.6296296296296295</c:v>
                </c:pt>
                <c:pt idx="2">
                  <c:v>4.9817924695068054</c:v>
                </c:pt>
                <c:pt idx="3">
                  <c:v>2.2619047619047619</c:v>
                </c:pt>
                <c:pt idx="4">
                  <c:v>27.203796203796205</c:v>
                </c:pt>
                <c:pt idx="5">
                  <c:v>19.483241620810404</c:v>
                </c:pt>
                <c:pt idx="6">
                  <c:v>0.99865446716899897</c:v>
                </c:pt>
                <c:pt idx="7">
                  <c:v>1.0003628447024673</c:v>
                </c:pt>
                <c:pt idx="8">
                  <c:v>61.060606060606062</c:v>
                </c:pt>
                <c:pt idx="9">
                  <c:v>20.317622950819672</c:v>
                </c:pt>
                <c:pt idx="10">
                  <c:v>63.049357674104122</c:v>
                </c:pt>
                <c:pt idx="11">
                  <c:v>17.751072961373392</c:v>
                </c:pt>
                <c:pt idx="12">
                  <c:v>15.431372549019608</c:v>
                </c:pt>
                <c:pt idx="13">
                  <c:v>1.8259629101283881</c:v>
                </c:pt>
                <c:pt idx="14">
                  <c:v>8.9099232953161174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6-4244-9E14-24B4CC7C8DF6}"/>
            </c:ext>
          </c:extLst>
        </c:ser>
        <c:ser>
          <c:idx val="2"/>
          <c:order val="2"/>
          <c:tx>
            <c:strRef>
              <c:f>'barrier-elision'!$D$332</c:f>
              <c:strCache>
                <c:ptCount val="1"/>
                <c:pt idx="0">
                  <c:v>DCCE-Prof-FuncAcc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'barrier-elision'!$A$333:$A$347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'barrier-elision'!$D$333:$D$347</c:f>
              <c:numCache>
                <c:formatCode>_(* #,##0.00_);_(* \(#,##0.00\);_(* "-"??_);_(@_)</c:formatCode>
                <c:ptCount val="15"/>
                <c:pt idx="0">
                  <c:v>9.8095238095238102</c:v>
                </c:pt>
                <c:pt idx="1">
                  <c:v>0.92592592592592593</c:v>
                </c:pt>
                <c:pt idx="2">
                  <c:v>1.9282305108714866</c:v>
                </c:pt>
                <c:pt idx="3">
                  <c:v>1.2142857142857142</c:v>
                </c:pt>
                <c:pt idx="4">
                  <c:v>4.9110889110889113</c:v>
                </c:pt>
                <c:pt idx="5">
                  <c:v>3.8229114557278638</c:v>
                </c:pt>
                <c:pt idx="6">
                  <c:v>1.0586652314316469</c:v>
                </c:pt>
                <c:pt idx="7">
                  <c:v>0.95337445573294632</c:v>
                </c:pt>
                <c:pt idx="8">
                  <c:v>11.272727272727273</c:v>
                </c:pt>
                <c:pt idx="9">
                  <c:v>3.805327868852459</c:v>
                </c:pt>
                <c:pt idx="10">
                  <c:v>10.486815415821502</c:v>
                </c:pt>
                <c:pt idx="11">
                  <c:v>3.8154506437768241</c:v>
                </c:pt>
                <c:pt idx="12">
                  <c:v>3.4313725490196076</c:v>
                </c:pt>
                <c:pt idx="13">
                  <c:v>1.8416547788873039</c:v>
                </c:pt>
                <c:pt idx="14">
                  <c:v>2.9807632904212871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6-4244-9E14-24B4CC7C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86095"/>
        <c:axId val="1427488367"/>
      </c:barChart>
      <c:catAx>
        <c:axId val="14274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8367"/>
        <c:crosses val="autoZero"/>
        <c:auto val="1"/>
        <c:lblAlgn val="ctr"/>
        <c:lblOffset val="100"/>
        <c:noMultiLvlLbl val="0"/>
      </c:catAx>
      <c:valAx>
        <c:axId val="1427488367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</a:t>
                </a:r>
                <a:r>
                  <a:rPr lang="en-US" baseline="0"/>
                  <a:t> to Native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609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'ase-submission'!$B$216</c:f>
              <c:strCache>
                <c:ptCount val="1"/>
                <c:pt idx="0">
                  <c:v>Runtime of DCCE (ms)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'ase-submission'!$A$241:$A$253</c:f>
              <c:strCache>
                <c:ptCount val="12"/>
                <c:pt idx="0">
                  <c:v>800_10</c:v>
                </c:pt>
                <c:pt idx="1">
                  <c:v>800_100</c:v>
                </c:pt>
                <c:pt idx="2">
                  <c:v>800_200</c:v>
                </c:pt>
                <c:pt idx="3">
                  <c:v>800_400</c:v>
                </c:pt>
                <c:pt idx="4">
                  <c:v>800_800</c:v>
                </c:pt>
                <c:pt idx="5">
                  <c:v>800_1600</c:v>
                </c:pt>
                <c:pt idx="6">
                  <c:v>1600_10</c:v>
                </c:pt>
                <c:pt idx="7">
                  <c:v>1600_100</c:v>
                </c:pt>
                <c:pt idx="8">
                  <c:v>1600_200</c:v>
                </c:pt>
                <c:pt idx="9">
                  <c:v>1600_400</c:v>
                </c:pt>
                <c:pt idx="10">
                  <c:v>1600_800</c:v>
                </c:pt>
                <c:pt idx="11">
                  <c:v>1600_1600</c:v>
                </c:pt>
              </c:strCache>
            </c:strRef>
          </c:cat>
          <c:val>
            <c:numRef>
              <c:f>'ase-submission'!$B$241:$B$253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16</c:v>
                </c:pt>
                <c:pt idx="4">
                  <c:v>34</c:v>
                </c:pt>
                <c:pt idx="5">
                  <c:v>67</c:v>
                </c:pt>
                <c:pt idx="6">
                  <c:v>0</c:v>
                </c:pt>
                <c:pt idx="7">
                  <c:v>8</c:v>
                </c:pt>
                <c:pt idx="8">
                  <c:v>20</c:v>
                </c:pt>
                <c:pt idx="9">
                  <c:v>42</c:v>
                </c:pt>
                <c:pt idx="10">
                  <c:v>87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E-4247-BD30-EC038AF94186}"/>
            </c:ext>
          </c:extLst>
        </c:ser>
        <c:ser>
          <c:idx val="1"/>
          <c:order val="1"/>
          <c:tx>
            <c:strRef>
              <c:f>'ase-submission'!$C$216</c:f>
              <c:strCache>
                <c:ptCount val="1"/>
                <c:pt idx="0">
                  <c:v>Runtime of PCCE (ms)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'ase-submission'!$A$241:$A$253</c:f>
              <c:strCache>
                <c:ptCount val="12"/>
                <c:pt idx="0">
                  <c:v>800_10</c:v>
                </c:pt>
                <c:pt idx="1">
                  <c:v>800_100</c:v>
                </c:pt>
                <c:pt idx="2">
                  <c:v>800_200</c:v>
                </c:pt>
                <c:pt idx="3">
                  <c:v>800_400</c:v>
                </c:pt>
                <c:pt idx="4">
                  <c:v>800_800</c:v>
                </c:pt>
                <c:pt idx="5">
                  <c:v>800_1600</c:v>
                </c:pt>
                <c:pt idx="6">
                  <c:v>1600_10</c:v>
                </c:pt>
                <c:pt idx="7">
                  <c:v>1600_100</c:v>
                </c:pt>
                <c:pt idx="8">
                  <c:v>1600_200</c:v>
                </c:pt>
                <c:pt idx="9">
                  <c:v>1600_400</c:v>
                </c:pt>
                <c:pt idx="10">
                  <c:v>1600_800</c:v>
                </c:pt>
                <c:pt idx="11">
                  <c:v>1600_1600</c:v>
                </c:pt>
              </c:strCache>
            </c:strRef>
          </c:cat>
          <c:val>
            <c:numRef>
              <c:f>'ase-submission'!$C$241:$C$253</c:f>
              <c:numCache>
                <c:formatCode>General</c:formatCode>
                <c:ptCount val="13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350</c:v>
                </c:pt>
                <c:pt idx="7">
                  <c:v>350</c:v>
                </c:pt>
                <c:pt idx="8">
                  <c:v>348</c:v>
                </c:pt>
                <c:pt idx="9">
                  <c:v>350</c:v>
                </c:pt>
                <c:pt idx="10">
                  <c:v>355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E-4247-BD30-EC038AF94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319087"/>
        <c:axId val="1092451967"/>
      </c:barChart>
      <c:catAx>
        <c:axId val="1131319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#Barrier Calls_#CCIDs in ElidableCC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092451967"/>
        <c:crosses val="autoZero"/>
        <c:auto val="1"/>
        <c:lblAlgn val="ctr"/>
        <c:lblOffset val="100"/>
        <c:noMultiLvlLbl val="0"/>
      </c:catAx>
      <c:valAx>
        <c:axId val="10924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1313190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779286261709354"/>
          <c:y val="9.2592592592592587E-3"/>
          <c:w val="0.87089334182140987"/>
          <c:h val="9.170803761637418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800" baseline="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46713692038499E-2"/>
          <c:y val="0.16210451183191577"/>
          <c:w val="0.89400467519685034"/>
          <c:h val="0.4100382572735728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'ase-submission'!$C$19</c:f>
              <c:strCache>
                <c:ptCount val="1"/>
                <c:pt idx="0">
                  <c:v>CCENC-PCCE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'ase-submission'!$C$20:$C$33</c:f>
              <c:numCache>
                <c:formatCode>_(* #,##0.00_);_(* \(#,##0.00\);_(* "-"??_);_(@_)</c:formatCode>
                <c:ptCount val="14"/>
                <c:pt idx="0">
                  <c:v>1.0952380952380953</c:v>
                </c:pt>
                <c:pt idx="1">
                  <c:v>1.1428571428571428</c:v>
                </c:pt>
                <c:pt idx="2">
                  <c:v>1.0737139826763302</c:v>
                </c:pt>
                <c:pt idx="3">
                  <c:v>1</c:v>
                </c:pt>
                <c:pt idx="4">
                  <c:v>1.098901098901099</c:v>
                </c:pt>
                <c:pt idx="5">
                  <c:v>1.0947973986993498</c:v>
                </c:pt>
                <c:pt idx="6">
                  <c:v>1.1118749999999999</c:v>
                </c:pt>
                <c:pt idx="7">
                  <c:v>1.0941660140955365</c:v>
                </c:pt>
                <c:pt idx="8">
                  <c:v>1.1212121212121211</c:v>
                </c:pt>
                <c:pt idx="9">
                  <c:v>1.1352459016393444</c:v>
                </c:pt>
                <c:pt idx="10">
                  <c:v>1.0126774847870184</c:v>
                </c:pt>
                <c:pt idx="11">
                  <c:v>1.1115879828326181</c:v>
                </c:pt>
                <c:pt idx="12">
                  <c:v>1.1372549019607843</c:v>
                </c:pt>
                <c:pt idx="13">
                  <c:v>1.0937376657300579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5-E843-9B5E-73B5C7C349BD}"/>
            </c:ext>
          </c:extLst>
        </c:ser>
        <c:ser>
          <c:idx val="2"/>
          <c:order val="1"/>
          <c:tx>
            <c:strRef>
              <c:f>'ase-submission'!$D$19</c:f>
              <c:strCache>
                <c:ptCount val="1"/>
                <c:pt idx="0">
                  <c:v>CCENC-DCCE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'ase-submission'!$D$20:$D$33</c:f>
              <c:numCache>
                <c:formatCode>_(* #,##0.00_);_(* \(#,##0.00\);_(* "-"??_);_(@_)</c:formatCode>
                <c:ptCount val="14"/>
                <c:pt idx="0">
                  <c:v>1.2857142857142858</c:v>
                </c:pt>
                <c:pt idx="1">
                  <c:v>1.1428571428571428</c:v>
                </c:pt>
                <c:pt idx="2">
                  <c:v>1.1095987272405869</c:v>
                </c:pt>
                <c:pt idx="3">
                  <c:v>1</c:v>
                </c:pt>
                <c:pt idx="4">
                  <c:v>1.1055611055611057</c:v>
                </c:pt>
                <c:pt idx="5">
                  <c:v>1.0787893946973486</c:v>
                </c:pt>
                <c:pt idx="6">
                  <c:v>1.0275000000000001</c:v>
                </c:pt>
                <c:pt idx="7">
                  <c:v>1.0099843382928739</c:v>
                </c:pt>
                <c:pt idx="8">
                  <c:v>1.2121212121212122</c:v>
                </c:pt>
                <c:pt idx="9">
                  <c:v>1.0932377049180328</c:v>
                </c:pt>
                <c:pt idx="10">
                  <c:v>1.0589925625422583</c:v>
                </c:pt>
                <c:pt idx="11">
                  <c:v>1.1416309012875536</c:v>
                </c:pt>
                <c:pt idx="12">
                  <c:v>1.1372549019607843</c:v>
                </c:pt>
                <c:pt idx="13">
                  <c:v>1.105341728209009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5-E843-9B5E-73B5C7C349BD}"/>
            </c:ext>
          </c:extLst>
        </c:ser>
        <c:ser>
          <c:idx val="3"/>
          <c:order val="2"/>
          <c:tx>
            <c:strRef>
              <c:f>'ase-submission'!$E$19</c:f>
              <c:strCache>
                <c:ptCount val="1"/>
                <c:pt idx="0">
                  <c:v>BE-PCCE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'ase-submission'!$E$20:$E$33</c:f>
              <c:numCache>
                <c:formatCode>_(* #,##0.00_);_(* \(#,##0.00\);_(* "-"??_);_(@_)</c:formatCode>
                <c:ptCount val="14"/>
                <c:pt idx="0">
                  <c:v>1.0952380952380953</c:v>
                </c:pt>
                <c:pt idx="1">
                  <c:v>1.1904761904761905</c:v>
                </c:pt>
                <c:pt idx="2">
                  <c:v>1.1150786636026162</c:v>
                </c:pt>
                <c:pt idx="3">
                  <c:v>1.0238095238095237</c:v>
                </c:pt>
                <c:pt idx="4">
                  <c:v>1.086913086913087</c:v>
                </c:pt>
                <c:pt idx="5">
                  <c:v>1.145072536268134</c:v>
                </c:pt>
                <c:pt idx="6">
                  <c:v>1.1421874999999999</c:v>
                </c:pt>
                <c:pt idx="7">
                  <c:v>1.1227486296006264</c:v>
                </c:pt>
                <c:pt idx="8">
                  <c:v>1.0303030303030303</c:v>
                </c:pt>
                <c:pt idx="9">
                  <c:v>1.1844262295081966</c:v>
                </c:pt>
                <c:pt idx="10">
                  <c:v>1.0537525354969575</c:v>
                </c:pt>
                <c:pt idx="11">
                  <c:v>1.1738197424892705</c:v>
                </c:pt>
                <c:pt idx="12">
                  <c:v>1.1372549019607843</c:v>
                </c:pt>
                <c:pt idx="13" formatCode="_(* #,##0_);_(* \(#,##0\);_(* &quot;-&quot;??_);_(@_)">
                  <c:v>1.1141904343413551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1243-8E1C-C97AA0925DF0}"/>
            </c:ext>
          </c:extLst>
        </c:ser>
        <c:ser>
          <c:idx val="4"/>
          <c:order val="3"/>
          <c:tx>
            <c:strRef>
              <c:f>'ase-submission'!$F$19</c:f>
              <c:strCache>
                <c:ptCount val="1"/>
                <c:pt idx="0">
                  <c:v>BE-DCCE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'ase-submission'!$F$20:$F$33</c:f>
              <c:numCache>
                <c:formatCode>_(* #,##0.00_);_(* \(#,##0.00\);_(* "-"??_);_(@_)</c:formatCode>
                <c:ptCount val="14"/>
                <c:pt idx="0">
                  <c:v>1.2857142857142858</c:v>
                </c:pt>
                <c:pt idx="1">
                  <c:v>1.1904761904761905</c:v>
                </c:pt>
                <c:pt idx="2">
                  <c:v>1.1154322078840375</c:v>
                </c:pt>
                <c:pt idx="3">
                  <c:v>1.0238095238095237</c:v>
                </c:pt>
                <c:pt idx="4">
                  <c:v>1.1265401265401265</c:v>
                </c:pt>
                <c:pt idx="5">
                  <c:v>1.0962981490745374</c:v>
                </c:pt>
                <c:pt idx="6">
                  <c:v>1.1924999999999999</c:v>
                </c:pt>
                <c:pt idx="7">
                  <c:v>1.1711041503523885</c:v>
                </c:pt>
                <c:pt idx="8">
                  <c:v>1.1515151515151516</c:v>
                </c:pt>
                <c:pt idx="9">
                  <c:v>1.1403688524590163</c:v>
                </c:pt>
                <c:pt idx="10">
                  <c:v>1.039553752535497</c:v>
                </c:pt>
                <c:pt idx="11">
                  <c:v>1.1802575107296138</c:v>
                </c:pt>
                <c:pt idx="12">
                  <c:v>1.1372549019607843</c:v>
                </c:pt>
                <c:pt idx="13" formatCode="_(* #,##0_);_(* \(#,##0\);_(* &quot;-&quot;??_);_(@_)">
                  <c:v>1.1405029417364025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3-1243-8E1C-C97AA0925DF0}"/>
            </c:ext>
          </c:extLst>
        </c:ser>
        <c:ser>
          <c:idx val="5"/>
          <c:order val="4"/>
          <c:tx>
            <c:strRef>
              <c:f>'ase-submission'!$G$19</c:f>
              <c:strCache>
                <c:ptCount val="1"/>
                <c:pt idx="0">
                  <c:v>WHISTLE-PCCE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8160653026262512E-2"/>
                  <c:y val="0.18632144571900558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A3-1243-8E1C-C97AA0925DF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A3-1243-8E1C-C97AA0925DF0}"/>
                </c:ext>
              </c:extLst>
            </c:dLbl>
            <c:dLbl>
              <c:idx val="2"/>
              <c:layout>
                <c:manualLayout>
                  <c:x val="-1.1800459783262496E-2"/>
                  <c:y val="0.18836350971087215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A3-1243-8E1C-C97AA0925DF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A3-1243-8E1C-C97AA0925DF0}"/>
                </c:ext>
              </c:extLst>
            </c:dLbl>
            <c:dLbl>
              <c:idx val="4"/>
              <c:layout>
                <c:manualLayout>
                  <c:x val="-1.6507764613584448E-2"/>
                  <c:y val="0.18946517692839285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A3-1243-8E1C-C97AA0925DF0}"/>
                </c:ext>
              </c:extLst>
            </c:dLbl>
            <c:dLbl>
              <c:idx val="5"/>
              <c:layout>
                <c:manualLayout>
                  <c:x val="-1.5840890062510486E-2"/>
                  <c:y val="0.27624253357705814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A3-1243-8E1C-C97AA0925DF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A3-1243-8E1C-C97AA0925DF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A3-1243-8E1C-C97AA0925DF0}"/>
                </c:ext>
              </c:extLst>
            </c:dLbl>
            <c:dLbl>
              <c:idx val="8"/>
              <c:layout>
                <c:manualLayout>
                  <c:x val="-1.6907889344228849E-2"/>
                  <c:y val="0.18795058379287233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A3-1243-8E1C-C97AA0925DF0}"/>
                </c:ext>
              </c:extLst>
            </c:dLbl>
            <c:dLbl>
              <c:idx val="9"/>
              <c:layout>
                <c:manualLayout>
                  <c:x val="-1.674837426134922E-2"/>
                  <c:y val="0.27767127932837909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7A3-1243-8E1C-C97AA0925DF0}"/>
                </c:ext>
              </c:extLst>
            </c:dLbl>
            <c:dLbl>
              <c:idx val="10"/>
              <c:layout>
                <c:manualLayout>
                  <c:x val="-1.9413416708296303E-2"/>
                  <c:y val="0.18805065731502496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A3-1243-8E1C-C97AA0925DF0}"/>
                </c:ext>
              </c:extLst>
            </c:dLbl>
            <c:dLbl>
              <c:idx val="11"/>
              <c:layout>
                <c:manualLayout>
                  <c:x val="-1.7467583730138448E-2"/>
                  <c:y val="0.27314184869889091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A3-1243-8E1C-C97AA0925DF0}"/>
                </c:ext>
              </c:extLst>
            </c:dLbl>
            <c:dLbl>
              <c:idx val="12"/>
              <c:layout>
                <c:manualLayout>
                  <c:x val="-1.6348304103090395E-2"/>
                  <c:y val="0.19149276950406577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A3-1243-8E1C-C97AA0925DF0}"/>
                </c:ext>
              </c:extLst>
            </c:dLbl>
            <c:dLbl>
              <c:idx val="13"/>
              <c:layout>
                <c:manualLayout>
                  <c:x val="-1.6235994133686642E-2"/>
                  <c:y val="0.27818440140765183"/>
                </c:manualLayout>
              </c:layout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3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7A3-1243-8E1C-C97AA0925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'ase-submission'!$G$20:$G$33</c:f>
              <c:numCache>
                <c:formatCode>_(* #,##0_);_(* \(#,##0\);_(* "-"??_);_(@_)</c:formatCode>
                <c:ptCount val="14"/>
                <c:pt idx="0">
                  <c:v>52.238095238095241</c:v>
                </c:pt>
                <c:pt idx="1">
                  <c:v>2.0952380952380953</c:v>
                </c:pt>
                <c:pt idx="2">
                  <c:v>4.9817924695068054</c:v>
                </c:pt>
                <c:pt idx="3">
                  <c:v>2.2619047619047619</c:v>
                </c:pt>
                <c:pt idx="4">
                  <c:v>27.203796203796205</c:v>
                </c:pt>
                <c:pt idx="5">
                  <c:v>19.483241620810404</c:v>
                </c:pt>
                <c:pt idx="6">
                  <c:v>1.1596875</c:v>
                </c:pt>
                <c:pt idx="7">
                  <c:v>1.0794831636648394</c:v>
                </c:pt>
                <c:pt idx="8">
                  <c:v>61.060606060606062</c:v>
                </c:pt>
                <c:pt idx="9">
                  <c:v>20.317622950819672</c:v>
                </c:pt>
                <c:pt idx="10">
                  <c:v>63.049357674104122</c:v>
                </c:pt>
                <c:pt idx="11">
                  <c:v>17.751072961373392</c:v>
                </c:pt>
                <c:pt idx="12">
                  <c:v>15.431372549019608</c:v>
                </c:pt>
                <c:pt idx="13">
                  <c:v>10.441415799973916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3-1243-8E1C-C97AA0925DF0}"/>
            </c:ext>
          </c:extLst>
        </c:ser>
        <c:ser>
          <c:idx val="6"/>
          <c:order val="5"/>
          <c:tx>
            <c:strRef>
              <c:f>'ase-submission'!$H$19</c:f>
              <c:strCache>
                <c:ptCount val="1"/>
                <c:pt idx="0">
                  <c:v>WHISTLE-DCCE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9416254472343426E-2"/>
                  <c:y val="0.181648956555704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942121510218737E-2"/>
                      <c:h val="5.97891465604938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47A3-1243-8E1C-C97AA0925DF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A3-1243-8E1C-C97AA0925D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7A3-1243-8E1C-C97AA0925DF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7A3-1243-8E1C-C97AA0925DF0}"/>
                </c:ext>
              </c:extLst>
            </c:dLbl>
            <c:dLbl>
              <c:idx val="4"/>
              <c:layout>
                <c:manualLayout>
                  <c:x val="1.136622731166715E-2"/>
                  <c:y val="0.191022693756013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7A3-1243-8E1C-C97AA0925DF0}"/>
                </c:ext>
              </c:extLst>
            </c:dLbl>
            <c:dLbl>
              <c:idx val="5"/>
              <c:layout>
                <c:manualLayout>
                  <c:x val="1.0673158015542871E-2"/>
                  <c:y val="0.2090546915288867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7A3-1243-8E1C-C97AA0925DF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7A3-1243-8E1C-C97AA0925DF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7A3-1243-8E1C-C97AA0925DF0}"/>
                </c:ext>
              </c:extLst>
            </c:dLbl>
            <c:dLbl>
              <c:idx val="8"/>
              <c:layout>
                <c:manualLayout>
                  <c:x val="1.8043431542162033E-2"/>
                  <c:y val="0.1941948772413065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7A3-1243-8E1C-C97AA0925DF0}"/>
                </c:ext>
              </c:extLst>
            </c:dLbl>
            <c:dLbl>
              <c:idx val="9"/>
              <c:layout>
                <c:manualLayout>
                  <c:x val="1.0673158015542769E-2"/>
                  <c:y val="0.2201004291756013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7A3-1243-8E1C-C97AA0925DF0}"/>
                </c:ext>
              </c:extLst>
            </c:dLbl>
            <c:dLbl>
              <c:idx val="10"/>
              <c:layout>
                <c:manualLayout>
                  <c:x val="1.7750486976682203E-2"/>
                  <c:y val="0.188050657315024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7A3-1243-8E1C-C97AA0925DF0}"/>
                </c:ext>
              </c:extLst>
            </c:dLbl>
            <c:dLbl>
              <c:idx val="11"/>
              <c:layout>
                <c:manualLayout>
                  <c:x val="1.1180462911351432E-2"/>
                  <c:y val="0.215499377299866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7A3-1243-8E1C-C97AA0925DF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7A3-1243-8E1C-C97AA0925DF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7A3-1243-8E1C-C97AA0925DF0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'ase-submission'!$A$20:$A$33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'ase-submission'!$H$20:$H$33</c:f>
              <c:numCache>
                <c:formatCode>_(* #,##0_);_(* \(#,##0\);_(* "-"??_);_(@_)</c:formatCode>
                <c:ptCount val="14"/>
                <c:pt idx="0">
                  <c:v>9.8095238095238102</c:v>
                </c:pt>
                <c:pt idx="1">
                  <c:v>1.1904761904761905</c:v>
                </c:pt>
                <c:pt idx="2">
                  <c:v>1.9282305108714866</c:v>
                </c:pt>
                <c:pt idx="3">
                  <c:v>1.2142857142857142</c:v>
                </c:pt>
                <c:pt idx="4">
                  <c:v>4.9110889110889113</c:v>
                </c:pt>
                <c:pt idx="5">
                  <c:v>3.8229114557278638</c:v>
                </c:pt>
                <c:pt idx="6">
                  <c:v>1.2293750000000001</c:v>
                </c:pt>
                <c:pt idx="7">
                  <c:v>1.028778386844166</c:v>
                </c:pt>
                <c:pt idx="8">
                  <c:v>11.272727272727273</c:v>
                </c:pt>
                <c:pt idx="9">
                  <c:v>3.805327868852459</c:v>
                </c:pt>
                <c:pt idx="10">
                  <c:v>10.486815415821502</c:v>
                </c:pt>
                <c:pt idx="11">
                  <c:v>3.8154506437768241</c:v>
                </c:pt>
                <c:pt idx="12">
                  <c:v>3.4313725490196076</c:v>
                </c:pt>
                <c:pt idx="13">
                  <c:v>3.2088288166902603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3-1243-8E1C-C97AA0925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876815984"/>
        <c:crosses val="autoZero"/>
        <c:crossBetween val="between"/>
        <c:majorUnit val="1"/>
      </c:valAx>
      <c:spPr>
        <a:noFill/>
        <a:ln>
          <a:solidFill>
            <a:schemeClr val="accent1"/>
          </a:solidFill>
        </a:ln>
        <a:effectLst/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9.6006876093613303E-2"/>
          <c:y val="1.7751479289940829E-2"/>
          <c:w val="0.89280870206893737"/>
          <c:h val="0.12162514003854551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46713692038499E-2"/>
          <c:y val="0.1449718267280925"/>
          <c:w val="0.89400467519685034"/>
          <c:h val="0.4287284592050164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'ase-submission'!$D$76</c:f>
              <c:strCache>
                <c:ptCount val="1"/>
                <c:pt idx="0">
                  <c:v>CCENC-DrCCTProf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'ase-submission'!$D$77:$D$90</c:f>
              <c:numCache>
                <c:formatCode>_(* #,##0_);_(* \(#,##0\);_(* "-"??_);_(@_)</c:formatCode>
                <c:ptCount val="14"/>
                <c:pt idx="0">
                  <c:v>14.035714285714286</c:v>
                </c:pt>
                <c:pt idx="1">
                  <c:v>2.9333333333333331</c:v>
                </c:pt>
                <c:pt idx="2">
                  <c:v>6.1239345772863398</c:v>
                </c:pt>
                <c:pt idx="3">
                  <c:v>2.44</c:v>
                </c:pt>
                <c:pt idx="4">
                  <c:v>5.9211711711711708</c:v>
                </c:pt>
                <c:pt idx="5">
                  <c:v>4.6500837120306144</c:v>
                </c:pt>
                <c:pt idx="6">
                  <c:v>1.8351063829787233</c:v>
                </c:pt>
                <c:pt idx="7">
                  <c:v>1.0601379310344827</c:v>
                </c:pt>
                <c:pt idx="8">
                  <c:v>13.35</c:v>
                </c:pt>
                <c:pt idx="9">
                  <c:v>5.1895910780669148</c:v>
                </c:pt>
                <c:pt idx="10">
                  <c:v>11.742582532386127</c:v>
                </c:pt>
                <c:pt idx="11">
                  <c:v>4.549902152641879</c:v>
                </c:pt>
                <c:pt idx="12">
                  <c:v>6.6184210526315788</c:v>
                </c:pt>
                <c:pt idx="13">
                  <c:v>4.8434758367572011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D-554A-9587-C7F776BB45E9}"/>
            </c:ext>
          </c:extLst>
        </c:ser>
        <c:ser>
          <c:idx val="2"/>
          <c:order val="1"/>
          <c:tx>
            <c:strRef>
              <c:f>'ase-submission'!$E$76</c:f>
              <c:strCache>
                <c:ptCount val="1"/>
                <c:pt idx="0">
                  <c:v>CCENC-DCCE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'ase-submission'!$E$77:$E$90</c:f>
              <c:numCache>
                <c:formatCode>_(* #,##0_);_(* \(#,##0\);_(* "-"??_);_(@_)</c:formatCode>
                <c:ptCount val="14"/>
                <c:pt idx="0">
                  <c:v>8.9642857142857135</c:v>
                </c:pt>
                <c:pt idx="1">
                  <c:v>2.1</c:v>
                </c:pt>
                <c:pt idx="2">
                  <c:v>3.7694079705137065</c:v>
                </c:pt>
                <c:pt idx="3">
                  <c:v>1.78</c:v>
                </c:pt>
                <c:pt idx="4">
                  <c:v>4.7496782496782499</c:v>
                </c:pt>
                <c:pt idx="5">
                  <c:v>3.9421191102607032</c:v>
                </c:pt>
                <c:pt idx="6">
                  <c:v>1.7092198581560283</c:v>
                </c:pt>
                <c:pt idx="7">
                  <c:v>1.0551724137931036</c:v>
                </c:pt>
                <c:pt idx="8">
                  <c:v>8.85</c:v>
                </c:pt>
                <c:pt idx="9">
                  <c:v>3.6700743494423791</c:v>
                </c:pt>
                <c:pt idx="10">
                  <c:v>8.2837442540743833</c:v>
                </c:pt>
                <c:pt idx="11">
                  <c:v>3.9256360078277885</c:v>
                </c:pt>
                <c:pt idx="12">
                  <c:v>4.6052631578947372</c:v>
                </c:pt>
                <c:pt idx="13">
                  <c:v>3.6546224428961294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D-554A-9587-C7F776BB45E9}"/>
            </c:ext>
          </c:extLst>
        </c:ser>
        <c:ser>
          <c:idx val="3"/>
          <c:order val="2"/>
          <c:tx>
            <c:strRef>
              <c:f>'ase-submission'!$F$76</c:f>
              <c:strCache>
                <c:ptCount val="1"/>
                <c:pt idx="0">
                  <c:v>BE-DrCCTProf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'ase-submission'!$F$77:$F$90</c:f>
              <c:numCache>
                <c:formatCode>_(* #,##0_);_(* \(#,##0\);_(* "-"??_);_(@_)</c:formatCode>
                <c:ptCount val="14"/>
                <c:pt idx="0">
                  <c:v>19.357142857142858</c:v>
                </c:pt>
                <c:pt idx="1">
                  <c:v>3.3</c:v>
                </c:pt>
                <c:pt idx="2">
                  <c:v>6.9466712739000229</c:v>
                </c:pt>
                <c:pt idx="3">
                  <c:v>2.76</c:v>
                </c:pt>
                <c:pt idx="4">
                  <c:v>7.6615186615186612</c:v>
                </c:pt>
                <c:pt idx="5">
                  <c:v>6.1595312126285577</c:v>
                </c:pt>
                <c:pt idx="6">
                  <c:v>3.8714539007092199</c:v>
                </c:pt>
                <c:pt idx="7">
                  <c:v>1.6822068965517241</c:v>
                </c:pt>
                <c:pt idx="8">
                  <c:v>16.675000000000001</c:v>
                </c:pt>
                <c:pt idx="9">
                  <c:v>5.5836431226765804</c:v>
                </c:pt>
                <c:pt idx="10">
                  <c:v>13.419974926870038</c:v>
                </c:pt>
                <c:pt idx="11">
                  <c:v>5.6947162426614479</c:v>
                </c:pt>
                <c:pt idx="12">
                  <c:v>6.6184210526315788</c:v>
                </c:pt>
                <c:pt idx="13">
                  <c:v>6.1426431622307058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8D-554A-9587-C7F776BB45E9}"/>
            </c:ext>
          </c:extLst>
        </c:ser>
        <c:ser>
          <c:idx val="4"/>
          <c:order val="3"/>
          <c:tx>
            <c:strRef>
              <c:f>'ase-submission'!$G$76</c:f>
              <c:strCache>
                <c:ptCount val="1"/>
                <c:pt idx="0">
                  <c:v>BE-DCCE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'ase-submission'!$G$77:$G$90</c:f>
              <c:numCache>
                <c:formatCode>_(* #,##0_);_(* \(#,##0\);_(* "-"??_);_(@_)</c:formatCode>
                <c:ptCount val="14"/>
                <c:pt idx="0">
                  <c:v>13.714285714285714</c:v>
                </c:pt>
                <c:pt idx="1">
                  <c:v>2.4666666666666668</c:v>
                </c:pt>
                <c:pt idx="2">
                  <c:v>4.6413268832066343</c:v>
                </c:pt>
                <c:pt idx="3">
                  <c:v>2.06</c:v>
                </c:pt>
                <c:pt idx="4">
                  <c:v>5.493243243243243</c:v>
                </c:pt>
                <c:pt idx="5">
                  <c:v>4.6797416885912462</c:v>
                </c:pt>
                <c:pt idx="6">
                  <c:v>3.7109929078014185</c:v>
                </c:pt>
                <c:pt idx="7">
                  <c:v>1.52</c:v>
                </c:pt>
                <c:pt idx="8">
                  <c:v>10.85</c:v>
                </c:pt>
                <c:pt idx="9">
                  <c:v>4.2063197026022303</c:v>
                </c:pt>
                <c:pt idx="10">
                  <c:v>8.2837442540743833</c:v>
                </c:pt>
                <c:pt idx="11">
                  <c:v>4.2681017612524466</c:v>
                </c:pt>
                <c:pt idx="12">
                  <c:v>4.6052631578947372</c:v>
                </c:pt>
                <c:pt idx="13">
                  <c:v>4.5404015120652517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8D-554A-9587-C7F776BB45E9}"/>
            </c:ext>
          </c:extLst>
        </c:ser>
        <c:ser>
          <c:idx val="5"/>
          <c:order val="4"/>
          <c:tx>
            <c:strRef>
              <c:f>'ase-submission'!$H$76</c:f>
              <c:strCache>
                <c:ptCount val="1"/>
                <c:pt idx="0">
                  <c:v>WHISTLE-DrCCTProf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7845629795925147E-2"/>
                  <c:y val="0.158474025954117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8D-554A-9587-C7F776BB4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8D-554A-9587-C7F776BB4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8D-554A-9587-C7F776BB4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8D-554A-9587-C7F776BB45E9}"/>
                </c:ext>
              </c:extLst>
            </c:dLbl>
            <c:dLbl>
              <c:idx val="4"/>
              <c:layout>
                <c:manualLayout>
                  <c:x val="-1.9235262634917011E-2"/>
                  <c:y val="0.1709341605750793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8D-554A-9587-C7F776BB45E9}"/>
                </c:ext>
              </c:extLst>
            </c:dLbl>
            <c:dLbl>
              <c:idx val="5"/>
              <c:layout>
                <c:manualLayout>
                  <c:x val="-1.6674937574296611E-2"/>
                  <c:y val="8.76358304906606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8D-554A-9587-C7F776BB4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8D-554A-9587-C7F776BB4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8D-554A-9587-C7F776BB45E9}"/>
                </c:ext>
              </c:extLst>
            </c:dLbl>
            <c:dLbl>
              <c:idx val="8"/>
              <c:layout>
                <c:manualLayout>
                  <c:x val="-2.0624786058307903E-2"/>
                  <c:y val="0.17093416057507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38D-554A-9587-C7F776BB4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38D-554A-9587-C7F776BB45E9}"/>
                </c:ext>
              </c:extLst>
            </c:dLbl>
            <c:dLbl>
              <c:idx val="10"/>
              <c:layout>
                <c:manualLayout>
                  <c:x val="-1.8540473569321266E-2"/>
                  <c:y val="0.175606711057940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8D-554A-9587-C7F776BB4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8D-554A-9587-C7F776BB45E9}"/>
                </c:ext>
              </c:extLst>
            </c:dLbl>
            <c:dLbl>
              <c:idx val="12"/>
              <c:layout>
                <c:manualLayout>
                  <c:x val="-1.9930051700512753E-2"/>
                  <c:y val="0.113101475900493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38D-554A-9587-C7F776BB45E9}"/>
                </c:ext>
              </c:extLst>
            </c:dLbl>
            <c:dLbl>
              <c:idx val="13"/>
              <c:layout>
                <c:manualLayout>
                  <c:x val="-1.7150840730329645E-2"/>
                  <c:y val="0.133859250760822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38D-554A-9587-C7F776BB45E9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sz="30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'ase-submission'!$H$77:$H$90</c:f>
              <c:numCache>
                <c:formatCode>_(* #,##0_);_(* \(#,##0\);_(* "-"??_);_(@_)</c:formatCode>
                <c:ptCount val="14"/>
                <c:pt idx="0">
                  <c:v>77.428571428571431</c:v>
                </c:pt>
                <c:pt idx="1">
                  <c:v>16.533333333333335</c:v>
                </c:pt>
                <c:pt idx="2">
                  <c:v>23.107809260539046</c:v>
                </c:pt>
                <c:pt idx="3">
                  <c:v>17.04</c:v>
                </c:pt>
                <c:pt idx="4">
                  <c:v>30.646074646074645</c:v>
                </c:pt>
                <c:pt idx="5">
                  <c:v>24.638124850514231</c:v>
                </c:pt>
                <c:pt idx="6">
                  <c:v>18.145390070921987</c:v>
                </c:pt>
                <c:pt idx="7">
                  <c:v>15.004689655172413</c:v>
                </c:pt>
                <c:pt idx="8">
                  <c:v>66.7</c:v>
                </c:pt>
                <c:pt idx="9">
                  <c:v>22.334572490706321</c:v>
                </c:pt>
                <c:pt idx="10">
                  <c:v>53.679899707480153</c:v>
                </c:pt>
                <c:pt idx="11">
                  <c:v>22.778864970645792</c:v>
                </c:pt>
                <c:pt idx="12">
                  <c:v>26.473684210526315</c:v>
                </c:pt>
                <c:pt idx="13">
                  <c:v>27.438707754258665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8D-554A-9587-C7F776BB45E9}"/>
            </c:ext>
          </c:extLst>
        </c:ser>
        <c:ser>
          <c:idx val="6"/>
          <c:order val="5"/>
          <c:tx>
            <c:strRef>
              <c:f>'ase-submission'!$I$76</c:f>
              <c:strCache>
                <c:ptCount val="1"/>
                <c:pt idx="0">
                  <c:v>WHISTLE-DCCE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5649439855037459E-2"/>
                  <c:y val="0.158329066513940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38D-554A-9587-C7F776BB4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38D-554A-9587-C7F776BB4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38D-554A-9587-C7F776BB4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38D-554A-9587-C7F776BB4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38D-554A-9587-C7F776BB4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38D-554A-9587-C7F776BB4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8D-554A-9587-C7F776BB4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38D-554A-9587-C7F776BB45E9}"/>
                </c:ext>
              </c:extLst>
            </c:dLbl>
            <c:dLbl>
              <c:idx val="8"/>
              <c:layout>
                <c:manualLayout>
                  <c:x val="1.5201984755233745E-2"/>
                  <c:y val="0.169117997842777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38D-554A-9587-C7F776BB4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38D-554A-9587-C7F776BB4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38D-554A-9587-C7F776BB4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38D-554A-9587-C7F776BB45E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38D-554A-9587-C7F776BB45E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38D-554A-9587-C7F776BB45E9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3000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'ase-submission'!$A$77:$A$90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'ase-submission'!$I$77:$I$90</c:f>
              <c:numCache>
                <c:formatCode>_(* #,##0_);_(* \(#,##0\);_(* "-"??_);_(@_)</c:formatCode>
                <c:ptCount val="14"/>
                <c:pt idx="0">
                  <c:v>41.142857142857146</c:v>
                </c:pt>
                <c:pt idx="1">
                  <c:v>7.4</c:v>
                </c:pt>
                <c:pt idx="2">
                  <c:v>9.2826537664132687</c:v>
                </c:pt>
                <c:pt idx="3">
                  <c:v>6.18</c:v>
                </c:pt>
                <c:pt idx="4">
                  <c:v>16.47972972972973</c:v>
                </c:pt>
                <c:pt idx="5">
                  <c:v>14.039225065773739</c:v>
                </c:pt>
                <c:pt idx="6">
                  <c:v>11.132978723404255</c:v>
                </c:pt>
                <c:pt idx="7">
                  <c:v>4.5599999999999996</c:v>
                </c:pt>
                <c:pt idx="8">
                  <c:v>32.549999999999997</c:v>
                </c:pt>
                <c:pt idx="9">
                  <c:v>12.618959107806692</c:v>
                </c:pt>
                <c:pt idx="10">
                  <c:v>24.851232762223152</c:v>
                </c:pt>
                <c:pt idx="11">
                  <c:v>12.804305283757339</c:v>
                </c:pt>
                <c:pt idx="12">
                  <c:v>13.815789473684211</c:v>
                </c:pt>
                <c:pt idx="13">
                  <c:v>13.202921249543003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8D-554A-9587-C7F776BB4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768159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5138820538057736E-2"/>
          <c:y val="1.7751479289940829E-2"/>
          <c:w val="0.89452038221784769"/>
          <c:h val="0.1153454038843488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800" b="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5834580594781"/>
          <c:y val="9.4116319572203011E-2"/>
          <c:w val="0.89032563284961286"/>
          <c:h val="0.657020167683351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'ase-submission'!$D$112</c:f>
              <c:strCache>
                <c:ptCount val="1"/>
                <c:pt idx="0">
                  <c:v>CCENC-DrCCTProf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'ase-submission'!$A$113:$A$122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goemean</c:v>
                </c:pt>
              </c:strCache>
            </c:strRef>
          </c:cat>
          <c:val>
            <c:numRef>
              <c:f>'ase-submission'!$D$113:$D$122</c:f>
              <c:numCache>
                <c:formatCode>_(* #,##0_);_(* \(#,##0\);_(* "-"??_);_(@_)</c:formatCode>
                <c:ptCount val="10"/>
                <c:pt idx="0">
                  <c:v>1.3048856180173789</c:v>
                </c:pt>
                <c:pt idx="1">
                  <c:v>1.8824473709506873</c:v>
                </c:pt>
                <c:pt idx="2">
                  <c:v>7.0911768729930058</c:v>
                </c:pt>
                <c:pt idx="3">
                  <c:v>0.99983066632799933</c:v>
                </c:pt>
                <c:pt idx="4">
                  <c:v>9.362918415226515</c:v>
                </c:pt>
                <c:pt idx="5">
                  <c:v>4.7427582437602478</c:v>
                </c:pt>
                <c:pt idx="6">
                  <c:v>3.9886368564860994</c:v>
                </c:pt>
                <c:pt idx="7">
                  <c:v>4.4560382398425418</c:v>
                </c:pt>
                <c:pt idx="8">
                  <c:v>1.3297997462007489</c:v>
                </c:pt>
                <c:pt idx="9">
                  <c:v>2.9754256614772161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F-2242-A57B-C93B1ED4D655}"/>
            </c:ext>
          </c:extLst>
        </c:ser>
        <c:ser>
          <c:idx val="2"/>
          <c:order val="1"/>
          <c:tx>
            <c:strRef>
              <c:f>'ase-submission'!$E$112</c:f>
              <c:strCache>
                <c:ptCount val="1"/>
                <c:pt idx="0">
                  <c:v>CCENC-DCCE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'ase-submission'!$A$113:$A$122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goemean</c:v>
                </c:pt>
              </c:strCache>
            </c:strRef>
          </c:cat>
          <c:val>
            <c:numRef>
              <c:f>'ase-submission'!$E$113:$E$122</c:f>
              <c:numCache>
                <c:formatCode>_(* #,##0_);_(* \(#,##0\);_(* "-"??_);_(@_)</c:formatCode>
                <c:ptCount val="10"/>
                <c:pt idx="0">
                  <c:v>1.1713734704734882</c:v>
                </c:pt>
                <c:pt idx="1">
                  <c:v>1.5148995482072478</c:v>
                </c:pt>
                <c:pt idx="2">
                  <c:v>6.0730928025882678</c:v>
                </c:pt>
                <c:pt idx="3">
                  <c:v>1.003496740326814</c:v>
                </c:pt>
                <c:pt idx="4">
                  <c:v>9.2637874632389394</c:v>
                </c:pt>
                <c:pt idx="5">
                  <c:v>3.1881034796866459</c:v>
                </c:pt>
                <c:pt idx="6">
                  <c:v>3.1820705208830291</c:v>
                </c:pt>
                <c:pt idx="7">
                  <c:v>2.7765359201462112</c:v>
                </c:pt>
                <c:pt idx="8">
                  <c:v>1.2407997771518773</c:v>
                </c:pt>
                <c:pt idx="9">
                  <c:v>2.4763073364111272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F-2242-A57B-C93B1ED4D655}"/>
            </c:ext>
          </c:extLst>
        </c:ser>
        <c:ser>
          <c:idx val="3"/>
          <c:order val="2"/>
          <c:tx>
            <c:strRef>
              <c:f>'ase-submission'!$F$112</c:f>
              <c:strCache>
                <c:ptCount val="1"/>
                <c:pt idx="0">
                  <c:v>WHISTLE-DrCCTProf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1252997251843809E-2"/>
                  <c:y val="0.145323626096248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6F-2242-A57B-C93B1ED4D655}"/>
                </c:ext>
              </c:extLst>
            </c:dLbl>
            <c:dLbl>
              <c:idx val="1"/>
              <c:layout>
                <c:manualLayout>
                  <c:x val="-1.8137623479572412E-2"/>
                  <c:y val="0.1484105722222012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6F-2242-A57B-C93B1ED4D655}"/>
                </c:ext>
              </c:extLst>
            </c:dLbl>
            <c:dLbl>
              <c:idx val="2"/>
              <c:layout>
                <c:manualLayout>
                  <c:x val="-2.403215055691665E-2"/>
                  <c:y val="0.1468674030523266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6F-2242-A57B-C93B1ED4D65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6F-2242-A57B-C93B1ED4D655}"/>
                </c:ext>
              </c:extLst>
            </c:dLbl>
            <c:dLbl>
              <c:idx val="4"/>
              <c:layout>
                <c:manualLayout>
                  <c:x val="-2.492369961918298E-2"/>
                  <c:y val="0.148411787794607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6F-2242-A57B-C93B1ED4D655}"/>
                </c:ext>
              </c:extLst>
            </c:dLbl>
            <c:dLbl>
              <c:idx val="5"/>
              <c:layout>
                <c:manualLayout>
                  <c:x val="-5.9462071264331938E-4"/>
                  <c:y val="0.13915022007330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6F-2242-A57B-C93B1ED4D655}"/>
                </c:ext>
              </c:extLst>
            </c:dLbl>
            <c:dLbl>
              <c:idx val="6"/>
              <c:layout>
                <c:manualLayout>
                  <c:x val="-1.7955679146243509E-2"/>
                  <c:y val="0.14223667997029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6F-2242-A57B-C93B1ED4D655}"/>
                </c:ext>
              </c:extLst>
            </c:dLbl>
            <c:dLbl>
              <c:idx val="7"/>
              <c:layout>
                <c:manualLayout>
                  <c:x val="1.1208622262279763E-3"/>
                  <c:y val="0.14532301831004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6F-2242-A57B-C93B1ED4D655}"/>
                </c:ext>
              </c:extLst>
            </c:dLbl>
            <c:dLbl>
              <c:idx val="8"/>
              <c:layout>
                <c:manualLayout>
                  <c:x val="-1.1879316880341204E-2"/>
                  <c:y val="0.142236679970296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6F-2242-A57B-C93B1ED4D655}"/>
                </c:ext>
              </c:extLst>
            </c:dLbl>
            <c:dLbl>
              <c:idx val="9"/>
              <c:layout>
                <c:manualLayout>
                  <c:x val="-8.4070942791440815E-3"/>
                  <c:y val="0.137605349102062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6F-2242-A57B-C93B1ED4D655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'ase-submission'!$A$113:$A$122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goemean</c:v>
                </c:pt>
              </c:strCache>
            </c:strRef>
          </c:cat>
          <c:val>
            <c:numRef>
              <c:f>'ase-submission'!$F$113:$F$122</c:f>
              <c:numCache>
                <c:formatCode>_(* #,##0_);_(* \(#,##0\);_(* "-"??_);_(@_)</c:formatCode>
                <c:ptCount val="10"/>
                <c:pt idx="0">
                  <c:v>18.268398652243306</c:v>
                </c:pt>
                <c:pt idx="1">
                  <c:v>45.320589975380692</c:v>
                </c:pt>
                <c:pt idx="2">
                  <c:v>77.211817823312117</c:v>
                </c:pt>
                <c:pt idx="3">
                  <c:v>6.9988146642959954</c:v>
                </c:pt>
                <c:pt idx="4">
                  <c:v>123.10251792618048</c:v>
                </c:pt>
                <c:pt idx="5">
                  <c:v>25.024357806522136</c:v>
                </c:pt>
                <c:pt idx="6">
                  <c:v>68.826146009006678</c:v>
                </c:pt>
                <c:pt idx="7">
                  <c:v>27.166877548151273</c:v>
                </c:pt>
                <c:pt idx="8">
                  <c:v>28.109835540067753</c:v>
                </c:pt>
                <c:pt idx="9">
                  <c:v>34.673557870399875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F-2242-A57B-C93B1ED4D655}"/>
            </c:ext>
          </c:extLst>
        </c:ser>
        <c:ser>
          <c:idx val="4"/>
          <c:order val="3"/>
          <c:tx>
            <c:strRef>
              <c:f>'ase-submission'!$G$112</c:f>
              <c:strCache>
                <c:ptCount val="1"/>
                <c:pt idx="0">
                  <c:v>WHISTLE-DCCE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6F-2242-A57B-C93B1ED4D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6F-2242-A57B-C93B1ED4D655}"/>
                </c:ext>
              </c:extLst>
            </c:dLbl>
            <c:dLbl>
              <c:idx val="2"/>
              <c:layout>
                <c:manualLayout>
                  <c:x val="1.8495672900979608E-2"/>
                  <c:y val="0.145324233882451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6F-2242-A57B-C93B1ED4D65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6F-2242-A57B-C93B1ED4D655}"/>
                </c:ext>
              </c:extLst>
            </c:dLbl>
            <c:dLbl>
              <c:idx val="4"/>
              <c:layout>
                <c:manualLayout>
                  <c:x val="2.0238660322153889E-2"/>
                  <c:y val="0.143780943155336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6F-2242-A57B-C93B1ED4D65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6F-2242-A57B-C93B1ED4D655}"/>
                </c:ext>
              </c:extLst>
            </c:dLbl>
            <c:dLbl>
              <c:idx val="6"/>
              <c:layout>
                <c:manualLayout>
                  <c:x val="1.7459507017081047E-2"/>
                  <c:y val="0.148411787794607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6F-2242-A57B-C93B1ED4D65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6F-2242-A57B-C93B1ED4D65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6F-2242-A57B-C93B1ED4D65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6F-2242-A57B-C93B1ED4D655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'ase-submission'!$A$113:$A$122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goemean</c:v>
                </c:pt>
              </c:strCache>
            </c:strRef>
          </c:cat>
          <c:val>
            <c:numRef>
              <c:f>'ase-submission'!$G$113:$G$122</c:f>
              <c:numCache>
                <c:formatCode>_(* #,##0_);_(* \(#,##0\);_(* "-"??_);_(@_)</c:formatCode>
                <c:ptCount val="10"/>
                <c:pt idx="0">
                  <c:v>4.6854938818939527</c:v>
                </c:pt>
                <c:pt idx="1">
                  <c:v>10.420498691174853</c:v>
                </c:pt>
                <c:pt idx="2">
                  <c:v>18.893274206658994</c:v>
                </c:pt>
                <c:pt idx="3">
                  <c:v>2.006993480653628</c:v>
                </c:pt>
                <c:pt idx="4">
                  <c:v>34.799755476985098</c:v>
                </c:pt>
                <c:pt idx="5">
                  <c:v>8.4497904900710505</c:v>
                </c:pt>
                <c:pt idx="6">
                  <c:v>15.68811301858392</c:v>
                </c:pt>
                <c:pt idx="7">
                  <c:v>4.8364403205398565</c:v>
                </c:pt>
                <c:pt idx="8">
                  <c:v>7.4938625208238445</c:v>
                </c:pt>
                <c:pt idx="9">
                  <c:v>8.7783622006079813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6F-2242-A57B-C93B1ED4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8768159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9586776859504136E-2"/>
          <c:y val="9.3457943925233638E-3"/>
          <c:w val="0.89008264462809916"/>
          <c:h val="7.193170947089558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4646996712959"/>
          <c:y val="0.10134690301286953"/>
          <c:w val="0.88710198982766886"/>
          <c:h val="0.653496181157263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'ase-submission'!$C$47</c:f>
              <c:strCache>
                <c:ptCount val="1"/>
                <c:pt idx="0">
                  <c:v>CCENC-PCCE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'ase-submission'!$A$48:$A$57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'ase-submission'!$C$48:$C$57</c:f>
              <c:numCache>
                <c:formatCode>_(* #,##0.00_);_(* \(#,##0.00\);_(* "-"??_);_(@_)</c:formatCode>
                <c:ptCount val="10"/>
                <c:pt idx="0">
                  <c:v>1.7638043896804005</c:v>
                </c:pt>
                <c:pt idx="1">
                  <c:v>2.738630081913664</c:v>
                </c:pt>
                <c:pt idx="2">
                  <c:v>1.9756813290996373</c:v>
                </c:pt>
                <c:pt idx="3">
                  <c:v>1.0620496328271449</c:v>
                </c:pt>
                <c:pt idx="4">
                  <c:v>1.3959525543647904</c:v>
                </c:pt>
                <c:pt idx="5">
                  <c:v>1.8219215432330187</c:v>
                </c:pt>
                <c:pt idx="6">
                  <c:v>1.9227729885057472</c:v>
                </c:pt>
                <c:pt idx="7">
                  <c:v>1.8090149550823709</c:v>
                </c:pt>
                <c:pt idx="8">
                  <c:v>2.0184676337146144</c:v>
                </c:pt>
                <c:pt idx="9">
                  <c:v>1.7817576962365587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6-CE48-A6DA-FBE9050C80F7}"/>
            </c:ext>
          </c:extLst>
        </c:ser>
        <c:ser>
          <c:idx val="2"/>
          <c:order val="1"/>
          <c:tx>
            <c:strRef>
              <c:f>'ase-submission'!$D$47</c:f>
              <c:strCache>
                <c:ptCount val="1"/>
                <c:pt idx="0">
                  <c:v>CCENC-DCCE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'ase-submission'!$A$48:$A$57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'ase-submission'!$D$48:$D$57</c:f>
              <c:numCache>
                <c:formatCode>_(* #,##0.00_);_(* \(#,##0.00\);_(* "-"??_);_(@_)</c:formatCode>
                <c:ptCount val="10"/>
                <c:pt idx="0">
                  <c:v>1.7537158259530228</c:v>
                </c:pt>
                <c:pt idx="1">
                  <c:v>2.7260415096235993</c:v>
                </c:pt>
                <c:pt idx="2">
                  <c:v>1.9648613263908745</c:v>
                </c:pt>
                <c:pt idx="3">
                  <c:v>1.0613617211550037</c:v>
                </c:pt>
                <c:pt idx="4">
                  <c:v>1.3423681198626574</c:v>
                </c:pt>
                <c:pt idx="5">
                  <c:v>1.7979278143212569</c:v>
                </c:pt>
                <c:pt idx="6">
                  <c:v>1.9365122126436782</c:v>
                </c:pt>
                <c:pt idx="7">
                  <c:v>1.8354940939210602</c:v>
                </c:pt>
                <c:pt idx="8">
                  <c:v>2.0181481244807973</c:v>
                </c:pt>
                <c:pt idx="9">
                  <c:v>1.7724006753992942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6-CE48-A6DA-FBE9050C80F7}"/>
            </c:ext>
          </c:extLst>
        </c:ser>
        <c:ser>
          <c:idx val="3"/>
          <c:order val="2"/>
          <c:tx>
            <c:strRef>
              <c:f>'ase-submission'!$E$47</c:f>
              <c:strCache>
                <c:ptCount val="1"/>
                <c:pt idx="0">
                  <c:v>WHISTLE-PCCE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'ase-submission'!$A$48:$A$57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'ase-submission'!$E$48:$E$57</c:f>
              <c:numCache>
                <c:formatCode>_(* #,##0.00_);_(* \(#,##0.00\);_(* "-"??_);_(@_)</c:formatCode>
                <c:ptCount val="10"/>
                <c:pt idx="0">
                  <c:v>2.2221794378128612</c:v>
                </c:pt>
                <c:pt idx="1">
                  <c:v>4.3355193728328061</c:v>
                </c:pt>
                <c:pt idx="2">
                  <c:v>12.362492663767288</c:v>
                </c:pt>
                <c:pt idx="3">
                  <c:v>1.1336526390011523</c:v>
                </c:pt>
                <c:pt idx="4">
                  <c:v>11.117469566122152</c:v>
                </c:pt>
                <c:pt idx="5">
                  <c:v>8.8056303466139525</c:v>
                </c:pt>
                <c:pt idx="6">
                  <c:v>7.6021910919540234</c:v>
                </c:pt>
                <c:pt idx="7">
                  <c:v>7.4521620701395985</c:v>
                </c:pt>
                <c:pt idx="8">
                  <c:v>8.4881462074253946</c:v>
                </c:pt>
                <c:pt idx="9">
                  <c:v>5.7004855330384316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3-EE40-86EF-9B8894C418F3}"/>
            </c:ext>
          </c:extLst>
        </c:ser>
        <c:ser>
          <c:idx val="4"/>
          <c:order val="3"/>
          <c:tx>
            <c:strRef>
              <c:f>'ase-submission'!$F$47</c:f>
              <c:strCache>
                <c:ptCount val="1"/>
                <c:pt idx="0">
                  <c:v>WHISTLE-DCCE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Ref>
              <c:f>'ase-submission'!$A$48:$A$57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'ase-submission'!$F$48:$F$57</c:f>
              <c:numCache>
                <c:formatCode>_(* #,##0.00_);_(* \(#,##0.00\);_(* "-"??_);_(@_)</c:formatCode>
                <c:ptCount val="10"/>
                <c:pt idx="0">
                  <c:v>2.1090103966114748</c:v>
                </c:pt>
                <c:pt idx="1">
                  <c:v>3.5796271169405496</c:v>
                </c:pt>
                <c:pt idx="2">
                  <c:v>3.6950986441137079</c:v>
                </c:pt>
                <c:pt idx="3">
                  <c:v>1.2731095327359967</c:v>
                </c:pt>
                <c:pt idx="4">
                  <c:v>2.6751378628654665</c:v>
                </c:pt>
                <c:pt idx="5">
                  <c:v>2.7473160423980096</c:v>
                </c:pt>
                <c:pt idx="6">
                  <c:v>2.6648706896551726</c:v>
                </c:pt>
                <c:pt idx="7">
                  <c:v>2.5898221628558709</c:v>
                </c:pt>
                <c:pt idx="8">
                  <c:v>3.0189788484887212</c:v>
                </c:pt>
                <c:pt idx="9">
                  <c:v>2.6004717491992952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3-EE40-86EF-9B8894C4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8768159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51596006126051"/>
          <c:y val="1.3638694468746963E-2"/>
          <c:w val="0.88937417411838326"/>
          <c:h val="7.592944979099834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970976</xdr:colOff>
      <xdr:row>0</xdr:row>
      <xdr:rowOff>177800</xdr:rowOff>
    </xdr:from>
    <xdr:to>
      <xdr:col>12</xdr:col>
      <xdr:colOff>399476</xdr:colOff>
      <xdr:row>36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1731433</xdr:colOff>
      <xdr:row>0</xdr:row>
      <xdr:rowOff>79375</xdr:rowOff>
    </xdr:from>
    <xdr:to>
      <xdr:col>19</xdr:col>
      <xdr:colOff>423333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700164</xdr:colOff>
      <xdr:row>6</xdr:row>
      <xdr:rowOff>49589</xdr:rowOff>
    </xdr:from>
    <xdr:to>
      <xdr:col>18</xdr:col>
      <xdr:colOff>789064</xdr:colOff>
      <xdr:row>43</xdr:row>
      <xdr:rowOff>55939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182940</xdr:colOff>
      <xdr:row>41</xdr:row>
      <xdr:rowOff>99482</xdr:rowOff>
    </xdr:from>
    <xdr:to>
      <xdr:col>21</xdr:col>
      <xdr:colOff>775002</xdr:colOff>
      <xdr:row>76</xdr:row>
      <xdr:rowOff>187173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646791</xdr:colOff>
      <xdr:row>4</xdr:row>
      <xdr:rowOff>42332</xdr:rowOff>
    </xdr:from>
    <xdr:to>
      <xdr:col>19</xdr:col>
      <xdr:colOff>708476</xdr:colOff>
      <xdr:row>39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1708453</xdr:colOff>
      <xdr:row>42</xdr:row>
      <xdr:rowOff>181426</xdr:rowOff>
    </xdr:from>
    <xdr:to>
      <xdr:col>23</xdr:col>
      <xdr:colOff>539752</xdr:colOff>
      <xdr:row>78</xdr:row>
      <xdr:rowOff>181426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2225218</xdr:colOff>
      <xdr:row>8</xdr:row>
      <xdr:rowOff>96762</xdr:rowOff>
    </xdr:from>
    <xdr:to>
      <xdr:col>17</xdr:col>
      <xdr:colOff>563332</xdr:colOff>
      <xdr:row>43</xdr:row>
      <xdr:rowOff>71362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565454</xdr:colOff>
      <xdr:row>46</xdr:row>
      <xdr:rowOff>18140</xdr:rowOff>
    </xdr:from>
    <xdr:to>
      <xdr:col>15</xdr:col>
      <xdr:colOff>721181</xdr:colOff>
      <xdr:row>82</xdr:row>
      <xdr:rowOff>18140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3</xdr:row>
      <xdr:rowOff>12700</xdr:rowOff>
    </xdr:from>
    <xdr:to>
      <xdr:col>20</xdr:col>
      <xdr:colOff>685800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914400</xdr:colOff>
      <xdr:row>120</xdr:row>
      <xdr:rowOff>165100</xdr:rowOff>
    </xdr:from>
    <xdr:to>
      <xdr:col>10</xdr:col>
      <xdr:colOff>139700</xdr:colOff>
      <xdr:row>150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156</xdr:row>
      <xdr:rowOff>165100</xdr:rowOff>
    </xdr:from>
    <xdr:to>
      <xdr:col>12</xdr:col>
      <xdr:colOff>304800</xdr:colOff>
      <xdr:row>184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1250950</xdr:colOff>
      <xdr:row>198</xdr:row>
      <xdr:rowOff>38100</xdr:rowOff>
    </xdr:from>
    <xdr:to>
      <xdr:col>13</xdr:col>
      <xdr:colOff>254000</xdr:colOff>
      <xdr:row>217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241300</xdr:colOff>
      <xdr:row>242</xdr:row>
      <xdr:rowOff>203200</xdr:rowOff>
    </xdr:from>
    <xdr:to>
      <xdr:col>9</xdr:col>
      <xdr:colOff>698500</xdr:colOff>
      <xdr:row>261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2540000</xdr:colOff>
      <xdr:row>276</xdr:row>
      <xdr:rowOff>101600</xdr:rowOff>
    </xdr:from>
    <xdr:to>
      <xdr:col>10</xdr:col>
      <xdr:colOff>660400</xdr:colOff>
      <xdr:row>299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1549400</xdr:colOff>
      <xdr:row>318</xdr:row>
      <xdr:rowOff>165100</xdr:rowOff>
    </xdr:from>
    <xdr:to>
      <xdr:col>11</xdr:col>
      <xdr:colOff>63500</xdr:colOff>
      <xdr:row>345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1888066</xdr:colOff>
      <xdr:row>190</xdr:row>
      <xdr:rowOff>76200</xdr:rowOff>
    </xdr:from>
    <xdr:to>
      <xdr:col>17</xdr:col>
      <xdr:colOff>270933</xdr:colOff>
      <xdr:row>228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1377951</xdr:colOff>
      <xdr:row>35</xdr:row>
      <xdr:rowOff>98577</xdr:rowOff>
    </xdr:from>
    <xdr:to>
      <xdr:col>24</xdr:col>
      <xdr:colOff>228904</xdr:colOff>
      <xdr:row>70</xdr:row>
      <xdr:rowOff>145749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247954</xdr:colOff>
      <xdr:row>34</xdr:row>
      <xdr:rowOff>157538</xdr:rowOff>
    </xdr:from>
    <xdr:to>
      <xdr:col>47</xdr:col>
      <xdr:colOff>344716</xdr:colOff>
      <xdr:row>69</xdr:row>
      <xdr:rowOff>204710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602946</xdr:colOff>
      <xdr:row>76</xdr:row>
      <xdr:rowOff>171147</xdr:rowOff>
    </xdr:from>
    <xdr:to>
      <xdr:col>25</xdr:col>
      <xdr:colOff>808565</xdr:colOff>
      <xdr:row>112</xdr:row>
      <xdr:rowOff>163891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727527</xdr:colOff>
      <xdr:row>76</xdr:row>
      <xdr:rowOff>93739</xdr:rowOff>
    </xdr:from>
    <xdr:to>
      <xdr:col>48</xdr:col>
      <xdr:colOff>805239</xdr:colOff>
      <xdr:row>112</xdr:row>
      <xdr:rowOff>141515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84F1-82A7-984A-B124-F6A2F6399F0A}">
  <dimension ref="A1:I88"/>
  <sheetViews>
    <sheetView topLeftCell="A26" zoomScale="90" zoomScaleNormal="90" workbookViewId="0">
      <selection activeCell="A55" activeCellId="3" sqref="A3 A19 A42 A55"/>
    </sheetView>
  </sheetViews>
  <sheetFormatPr baseColWidth="10" defaultColWidth="21" defaultRowHeight="16" x14ac:dyDescent="0.2"/>
  <cols>
    <col min="1" max="1" width="25.83203125" bestFit="1" customWidth="1"/>
    <col min="5" max="5" width="21.6640625" bestFit="1" customWidth="1"/>
    <col min="6" max="6" width="29.83203125" bestFit="1" customWidth="1"/>
    <col min="8" max="8" width="33.1640625" bestFit="1" customWidth="1"/>
  </cols>
  <sheetData>
    <row r="1" spans="1:9" ht="18" x14ac:dyDescent="0.2">
      <c r="A1" s="9" t="s">
        <v>39</v>
      </c>
      <c r="B1" s="9" t="s">
        <v>23</v>
      </c>
      <c r="C1" s="9" t="s">
        <v>151</v>
      </c>
      <c r="D1" s="9" t="s">
        <v>40</v>
      </c>
      <c r="E1" s="9" t="s">
        <v>41</v>
      </c>
      <c r="F1" s="9" t="s">
        <v>42</v>
      </c>
      <c r="G1" s="9" t="s">
        <v>62</v>
      </c>
      <c r="H1" s="12" t="s">
        <v>63</v>
      </c>
      <c r="I1" s="12" t="s">
        <v>150</v>
      </c>
    </row>
    <row r="2" spans="1:9" ht="18" x14ac:dyDescent="0.2">
      <c r="A2" s="61" t="s">
        <v>26</v>
      </c>
      <c r="B2" s="9" t="s">
        <v>25</v>
      </c>
      <c r="C2" s="9" t="s">
        <v>61</v>
      </c>
      <c r="D2" s="9" t="s">
        <v>64</v>
      </c>
      <c r="E2" s="61" t="s">
        <v>67</v>
      </c>
      <c r="F2" s="15"/>
      <c r="G2" s="17"/>
      <c r="H2" s="14"/>
      <c r="I2" s="14"/>
    </row>
    <row r="3" spans="1:9" ht="18" x14ac:dyDescent="0.2">
      <c r="A3" s="60" t="s">
        <v>27</v>
      </c>
      <c r="B3" s="10" t="s">
        <v>25</v>
      </c>
      <c r="C3" s="9" t="s">
        <v>61</v>
      </c>
      <c r="D3" s="59" t="s">
        <v>65</v>
      </c>
      <c r="E3" s="15"/>
      <c r="F3" s="15"/>
      <c r="G3" s="17"/>
      <c r="H3" s="14"/>
      <c r="I3" s="14"/>
    </row>
    <row r="4" spans="1:9" ht="18" x14ac:dyDescent="0.2">
      <c r="A4" s="10" t="s">
        <v>28</v>
      </c>
      <c r="B4" s="10" t="s">
        <v>25</v>
      </c>
      <c r="C4" s="9" t="s">
        <v>61</v>
      </c>
      <c r="D4" s="9" t="s">
        <v>64</v>
      </c>
      <c r="E4" s="9" t="s">
        <v>64</v>
      </c>
      <c r="F4" s="9" t="s">
        <v>64</v>
      </c>
      <c r="G4" s="9" t="s">
        <v>64</v>
      </c>
      <c r="H4" s="12"/>
      <c r="I4" s="12" t="s">
        <v>61</v>
      </c>
    </row>
    <row r="5" spans="1:9" ht="18" x14ac:dyDescent="0.2">
      <c r="A5" s="54" t="s">
        <v>29</v>
      </c>
      <c r="B5" s="10" t="s">
        <v>24</v>
      </c>
      <c r="C5" s="9" t="s">
        <v>61</v>
      </c>
      <c r="D5" s="9" t="s">
        <v>64</v>
      </c>
      <c r="E5" s="9" t="s">
        <v>64</v>
      </c>
      <c r="F5" s="13"/>
      <c r="G5" s="16"/>
      <c r="H5" s="14"/>
      <c r="I5" s="14"/>
    </row>
    <row r="6" spans="1:9" ht="18" x14ac:dyDescent="0.2">
      <c r="A6" s="10" t="s">
        <v>30</v>
      </c>
      <c r="B6" s="10" t="s">
        <v>24</v>
      </c>
      <c r="C6" s="9" t="s">
        <v>61</v>
      </c>
      <c r="D6" s="9" t="s">
        <v>64</v>
      </c>
      <c r="E6" s="9" t="s">
        <v>64</v>
      </c>
      <c r="F6" s="9" t="s">
        <v>64</v>
      </c>
      <c r="G6" s="9" t="s">
        <v>64</v>
      </c>
      <c r="H6" s="12"/>
      <c r="I6" s="12" t="s">
        <v>61</v>
      </c>
    </row>
    <row r="7" spans="1:9" ht="18" x14ac:dyDescent="0.2">
      <c r="A7" s="10" t="s">
        <v>32</v>
      </c>
      <c r="B7" s="10" t="s">
        <v>25</v>
      </c>
      <c r="C7" s="9" t="s">
        <v>61</v>
      </c>
      <c r="D7" s="9" t="s">
        <v>64</v>
      </c>
      <c r="E7" s="9" t="s">
        <v>64</v>
      </c>
      <c r="F7" s="9" t="s">
        <v>64</v>
      </c>
      <c r="G7" s="9" t="s">
        <v>64</v>
      </c>
      <c r="H7" s="12"/>
      <c r="I7" s="12" t="s">
        <v>61</v>
      </c>
    </row>
    <row r="8" spans="1:9" ht="18" x14ac:dyDescent="0.2">
      <c r="A8" s="10" t="s">
        <v>33</v>
      </c>
      <c r="B8" s="10" t="s">
        <v>24</v>
      </c>
      <c r="C8" s="9" t="s">
        <v>61</v>
      </c>
      <c r="D8" s="9" t="s">
        <v>64</v>
      </c>
      <c r="E8" s="9" t="s">
        <v>64</v>
      </c>
      <c r="F8" s="9" t="s">
        <v>64</v>
      </c>
      <c r="G8" s="9" t="s">
        <v>64</v>
      </c>
      <c r="H8" s="12"/>
      <c r="I8" s="12" t="s">
        <v>61</v>
      </c>
    </row>
    <row r="9" spans="1:9" ht="18" x14ac:dyDescent="0.2">
      <c r="A9" s="10" t="s">
        <v>34</v>
      </c>
      <c r="B9" s="10" t="s">
        <v>24</v>
      </c>
      <c r="C9" s="9" t="s">
        <v>61</v>
      </c>
      <c r="D9" s="9" t="s">
        <v>64</v>
      </c>
      <c r="E9" s="9" t="s">
        <v>64</v>
      </c>
      <c r="F9" s="9" t="s">
        <v>64</v>
      </c>
      <c r="G9" s="9" t="s">
        <v>64</v>
      </c>
      <c r="H9" s="12"/>
      <c r="I9" s="12" t="s">
        <v>61</v>
      </c>
    </row>
    <row r="10" spans="1:9" ht="18" x14ac:dyDescent="0.2">
      <c r="A10" s="10" t="s">
        <v>43</v>
      </c>
      <c r="B10" s="10" t="s">
        <v>44</v>
      </c>
      <c r="C10" s="9" t="s">
        <v>153</v>
      </c>
      <c r="D10" s="9" t="s">
        <v>153</v>
      </c>
      <c r="E10" s="9" t="s">
        <v>153</v>
      </c>
      <c r="F10" s="9" t="s">
        <v>153</v>
      </c>
      <c r="G10" s="9" t="s">
        <v>153</v>
      </c>
      <c r="H10" s="9" t="s">
        <v>153</v>
      </c>
      <c r="I10" s="12" t="s">
        <v>152</v>
      </c>
    </row>
    <row r="11" spans="1:9" ht="18" x14ac:dyDescent="0.2">
      <c r="A11" s="10" t="s">
        <v>36</v>
      </c>
      <c r="B11" s="10" t="s">
        <v>25</v>
      </c>
      <c r="C11" s="9" t="s">
        <v>61</v>
      </c>
      <c r="D11" s="9" t="s">
        <v>64</v>
      </c>
      <c r="E11" s="9" t="s">
        <v>64</v>
      </c>
      <c r="F11" s="9" t="s">
        <v>64</v>
      </c>
      <c r="G11" s="9" t="s">
        <v>64</v>
      </c>
      <c r="H11" s="12"/>
      <c r="I11" s="12" t="s">
        <v>61</v>
      </c>
    </row>
    <row r="12" spans="1:9" ht="18" x14ac:dyDescent="0.2">
      <c r="A12" s="10" t="s">
        <v>45</v>
      </c>
      <c r="B12" s="10" t="s">
        <v>44</v>
      </c>
      <c r="C12" s="9" t="s">
        <v>153</v>
      </c>
      <c r="D12" s="9" t="s">
        <v>153</v>
      </c>
      <c r="E12" s="9" t="s">
        <v>153</v>
      </c>
      <c r="F12" s="9" t="s">
        <v>153</v>
      </c>
      <c r="G12" s="9" t="s">
        <v>153</v>
      </c>
      <c r="H12" s="9" t="s">
        <v>153</v>
      </c>
      <c r="I12" s="12" t="s">
        <v>152</v>
      </c>
    </row>
    <row r="13" spans="1:9" ht="18" x14ac:dyDescent="0.2">
      <c r="A13" s="10" t="s">
        <v>46</v>
      </c>
      <c r="B13" s="10" t="s">
        <v>47</v>
      </c>
      <c r="C13" s="9" t="s">
        <v>153</v>
      </c>
      <c r="D13" s="9" t="s">
        <v>153</v>
      </c>
      <c r="E13" s="9" t="s">
        <v>153</v>
      </c>
      <c r="F13" s="9" t="s">
        <v>153</v>
      </c>
      <c r="G13" s="9" t="s">
        <v>153</v>
      </c>
      <c r="H13" s="9" t="s">
        <v>153</v>
      </c>
      <c r="I13" s="12" t="s">
        <v>152</v>
      </c>
    </row>
    <row r="14" spans="1:9" ht="18" x14ac:dyDescent="0.2">
      <c r="A14" s="10" t="s">
        <v>6</v>
      </c>
      <c r="B14" s="10" t="s">
        <v>24</v>
      </c>
      <c r="C14" s="9" t="s">
        <v>61</v>
      </c>
      <c r="D14" s="9" t="s">
        <v>64</v>
      </c>
      <c r="E14" s="9" t="s">
        <v>64</v>
      </c>
      <c r="F14" s="9" t="s">
        <v>64</v>
      </c>
      <c r="G14" s="9" t="s">
        <v>64</v>
      </c>
      <c r="H14" s="12"/>
      <c r="I14" s="12" t="s">
        <v>61</v>
      </c>
    </row>
    <row r="15" spans="1:9" ht="18" x14ac:dyDescent="0.2">
      <c r="A15" s="10" t="s">
        <v>7</v>
      </c>
      <c r="B15" s="10" t="s">
        <v>24</v>
      </c>
      <c r="C15" s="9" t="s">
        <v>61</v>
      </c>
      <c r="D15" s="9" t="s">
        <v>64</v>
      </c>
      <c r="E15" s="9" t="s">
        <v>64</v>
      </c>
      <c r="F15" s="9" t="s">
        <v>64</v>
      </c>
      <c r="G15" s="9" t="s">
        <v>64</v>
      </c>
      <c r="H15" s="12"/>
      <c r="I15" s="12" t="s">
        <v>61</v>
      </c>
    </row>
    <row r="16" spans="1:9" ht="18" x14ac:dyDescent="0.2">
      <c r="A16" s="62" t="s">
        <v>8</v>
      </c>
      <c r="B16" s="10" t="s">
        <v>48</v>
      </c>
      <c r="C16" s="9" t="s">
        <v>61</v>
      </c>
      <c r="D16" s="9" t="s">
        <v>64</v>
      </c>
      <c r="E16" s="61" t="s">
        <v>67</v>
      </c>
      <c r="F16" s="13"/>
      <c r="G16" s="16"/>
      <c r="H16" s="14"/>
      <c r="I16" s="14"/>
    </row>
    <row r="17" spans="1:9" ht="18" x14ac:dyDescent="0.2">
      <c r="A17" s="10" t="s">
        <v>31</v>
      </c>
      <c r="B17" s="10" t="s">
        <v>25</v>
      </c>
      <c r="C17" s="9" t="s">
        <v>61</v>
      </c>
      <c r="D17" s="9" t="s">
        <v>64</v>
      </c>
      <c r="E17" s="9" t="s">
        <v>64</v>
      </c>
      <c r="F17" s="9" t="s">
        <v>64</v>
      </c>
      <c r="G17" s="9" t="s">
        <v>64</v>
      </c>
      <c r="H17" s="12"/>
      <c r="I17" s="12" t="s">
        <v>61</v>
      </c>
    </row>
    <row r="18" spans="1:9" ht="18" x14ac:dyDescent="0.2">
      <c r="A18" s="10" t="s">
        <v>49</v>
      </c>
      <c r="B18" s="10" t="s">
        <v>50</v>
      </c>
      <c r="C18" s="9" t="s">
        <v>153</v>
      </c>
      <c r="D18" s="9" t="s">
        <v>153</v>
      </c>
      <c r="E18" s="9" t="s">
        <v>153</v>
      </c>
      <c r="F18" s="9" t="s">
        <v>153</v>
      </c>
      <c r="G18" s="9" t="s">
        <v>153</v>
      </c>
      <c r="H18" s="9" t="s">
        <v>153</v>
      </c>
      <c r="I18" s="12" t="s">
        <v>152</v>
      </c>
    </row>
    <row r="19" spans="1:9" ht="18" x14ac:dyDescent="0.2">
      <c r="A19" s="60" t="s">
        <v>38</v>
      </c>
      <c r="B19" s="10" t="s">
        <v>48</v>
      </c>
      <c r="C19" s="9" t="s">
        <v>61</v>
      </c>
      <c r="D19" s="59" t="s">
        <v>65</v>
      </c>
      <c r="E19" s="15"/>
      <c r="F19" s="15"/>
      <c r="G19" s="17"/>
      <c r="H19" s="14"/>
      <c r="I19" s="14"/>
    </row>
    <row r="20" spans="1:9" ht="18" x14ac:dyDescent="0.2">
      <c r="A20" s="10" t="s">
        <v>51</v>
      </c>
      <c r="B20" s="10" t="s">
        <v>50</v>
      </c>
      <c r="C20" s="9" t="s">
        <v>153</v>
      </c>
      <c r="D20" s="9" t="s">
        <v>153</v>
      </c>
      <c r="E20" s="9" t="s">
        <v>153</v>
      </c>
      <c r="F20" s="9" t="s">
        <v>153</v>
      </c>
      <c r="G20" s="9" t="s">
        <v>153</v>
      </c>
      <c r="H20" s="9" t="s">
        <v>153</v>
      </c>
      <c r="I20" s="12" t="s">
        <v>152</v>
      </c>
    </row>
    <row r="21" spans="1:9" ht="18" x14ac:dyDescent="0.2">
      <c r="A21" s="55" t="s">
        <v>35</v>
      </c>
      <c r="B21" s="10" t="s">
        <v>25</v>
      </c>
      <c r="C21" s="9" t="s">
        <v>61</v>
      </c>
      <c r="D21" s="9" t="s">
        <v>64</v>
      </c>
      <c r="E21" s="61" t="s">
        <v>67</v>
      </c>
      <c r="F21" s="15"/>
      <c r="G21" s="17"/>
      <c r="H21" s="14"/>
      <c r="I21" s="14"/>
    </row>
    <row r="22" spans="1:9" ht="18" x14ac:dyDescent="0.2">
      <c r="A22" s="56" t="s">
        <v>37</v>
      </c>
      <c r="B22" s="10" t="s">
        <v>25</v>
      </c>
      <c r="C22" s="9" t="s">
        <v>61</v>
      </c>
      <c r="D22" s="9" t="s">
        <v>64</v>
      </c>
      <c r="E22" s="9" t="s">
        <v>64</v>
      </c>
      <c r="F22" s="9" t="s">
        <v>64</v>
      </c>
      <c r="G22" s="9" t="s">
        <v>64</v>
      </c>
      <c r="H22" s="14" t="s">
        <v>68</v>
      </c>
      <c r="I22" s="14"/>
    </row>
    <row r="23" spans="1:9" ht="18" x14ac:dyDescent="0.2">
      <c r="A23" s="10" t="s">
        <v>52</v>
      </c>
      <c r="B23" s="10" t="s">
        <v>44</v>
      </c>
      <c r="C23" s="9" t="s">
        <v>153</v>
      </c>
      <c r="D23" s="9" t="s">
        <v>153</v>
      </c>
      <c r="E23" s="9" t="s">
        <v>153</v>
      </c>
      <c r="F23" s="9" t="s">
        <v>153</v>
      </c>
      <c r="G23" s="9" t="s">
        <v>153</v>
      </c>
      <c r="H23" s="9" t="s">
        <v>153</v>
      </c>
      <c r="I23" s="12" t="s">
        <v>152</v>
      </c>
    </row>
    <row r="24" spans="1:9" ht="18" x14ac:dyDescent="0.2">
      <c r="A24" s="10" t="s">
        <v>53</v>
      </c>
      <c r="B24" s="10" t="s">
        <v>44</v>
      </c>
      <c r="C24" s="9" t="s">
        <v>153</v>
      </c>
      <c r="D24" s="9" t="s">
        <v>153</v>
      </c>
      <c r="E24" s="9" t="s">
        <v>153</v>
      </c>
      <c r="F24" s="9" t="s">
        <v>153</v>
      </c>
      <c r="G24" s="9" t="s">
        <v>153</v>
      </c>
      <c r="H24" s="9" t="s">
        <v>153</v>
      </c>
      <c r="I24" s="12" t="s">
        <v>152</v>
      </c>
    </row>
    <row r="25" spans="1:9" ht="18" x14ac:dyDescent="0.2">
      <c r="A25" s="62" t="s">
        <v>9</v>
      </c>
      <c r="B25" s="10" t="s">
        <v>25</v>
      </c>
      <c r="C25" s="9" t="s">
        <v>61</v>
      </c>
      <c r="D25" s="9" t="s">
        <v>64</v>
      </c>
      <c r="E25" s="61" t="s">
        <v>67</v>
      </c>
      <c r="F25" s="15"/>
      <c r="G25" s="17"/>
      <c r="H25" s="14"/>
      <c r="I25" s="14"/>
    </row>
    <row r="26" spans="1:9" ht="18" x14ac:dyDescent="0.2">
      <c r="A26" s="60" t="s">
        <v>10</v>
      </c>
      <c r="B26" s="10" t="s">
        <v>25</v>
      </c>
      <c r="C26" s="9" t="s">
        <v>61</v>
      </c>
      <c r="D26" s="59" t="s">
        <v>65</v>
      </c>
      <c r="E26" s="15"/>
      <c r="F26" s="15"/>
      <c r="G26" s="17"/>
      <c r="H26" s="14"/>
      <c r="I26" s="14"/>
    </row>
    <row r="27" spans="1:9" ht="18" x14ac:dyDescent="0.2">
      <c r="A27" s="10" t="s">
        <v>11</v>
      </c>
      <c r="B27" s="10" t="s">
        <v>25</v>
      </c>
      <c r="C27" s="9" t="s">
        <v>61</v>
      </c>
      <c r="D27" s="9" t="s">
        <v>64</v>
      </c>
      <c r="E27" s="9" t="s">
        <v>64</v>
      </c>
      <c r="F27" s="9" t="s">
        <v>64</v>
      </c>
      <c r="G27" s="9" t="s">
        <v>64</v>
      </c>
      <c r="H27" s="12"/>
      <c r="I27" s="12" t="s">
        <v>61</v>
      </c>
    </row>
    <row r="28" spans="1:9" ht="18" x14ac:dyDescent="0.2">
      <c r="A28" s="54" t="s">
        <v>14</v>
      </c>
      <c r="B28" s="10" t="s">
        <v>24</v>
      </c>
      <c r="C28" s="9" t="s">
        <v>61</v>
      </c>
      <c r="D28" s="9" t="s">
        <v>64</v>
      </c>
      <c r="E28" s="9" t="s">
        <v>64</v>
      </c>
      <c r="F28" s="13"/>
      <c r="G28" s="16"/>
      <c r="H28" s="14"/>
      <c r="I28" s="14"/>
    </row>
    <row r="29" spans="1:9" ht="18" x14ac:dyDescent="0.2">
      <c r="A29" s="10" t="s">
        <v>15</v>
      </c>
      <c r="B29" s="10" t="s">
        <v>24</v>
      </c>
      <c r="C29" s="9" t="s">
        <v>61</v>
      </c>
      <c r="D29" s="9" t="s">
        <v>64</v>
      </c>
      <c r="E29" s="9" t="s">
        <v>64</v>
      </c>
      <c r="F29" s="9" t="s">
        <v>64</v>
      </c>
      <c r="G29" s="9" t="s">
        <v>64</v>
      </c>
      <c r="H29" s="12"/>
      <c r="I29" s="12" t="s">
        <v>61</v>
      </c>
    </row>
    <row r="30" spans="1:9" ht="18" x14ac:dyDescent="0.2">
      <c r="A30" s="10" t="s">
        <v>16</v>
      </c>
      <c r="B30" s="10" t="s">
        <v>25</v>
      </c>
      <c r="C30" s="9" t="s">
        <v>61</v>
      </c>
      <c r="D30" s="9" t="s">
        <v>64</v>
      </c>
      <c r="E30" s="9" t="s">
        <v>64</v>
      </c>
      <c r="F30" s="9" t="s">
        <v>64</v>
      </c>
      <c r="G30" s="9" t="s">
        <v>64</v>
      </c>
      <c r="H30" s="12"/>
      <c r="I30" s="12" t="s">
        <v>61</v>
      </c>
    </row>
    <row r="31" spans="1:9" ht="18" x14ac:dyDescent="0.2">
      <c r="A31" s="10" t="s">
        <v>17</v>
      </c>
      <c r="B31" s="10" t="s">
        <v>24</v>
      </c>
      <c r="C31" s="9" t="s">
        <v>61</v>
      </c>
      <c r="D31" s="9" t="s">
        <v>64</v>
      </c>
      <c r="E31" s="9" t="s">
        <v>64</v>
      </c>
      <c r="F31" s="9" t="s">
        <v>64</v>
      </c>
      <c r="G31" s="9" t="s">
        <v>64</v>
      </c>
      <c r="H31" s="12"/>
      <c r="I31" s="12" t="s">
        <v>61</v>
      </c>
    </row>
    <row r="32" spans="1:9" ht="18" x14ac:dyDescent="0.2">
      <c r="A32" s="10" t="s">
        <v>19</v>
      </c>
      <c r="B32" s="10" t="s">
        <v>24</v>
      </c>
      <c r="C32" s="9" t="s">
        <v>61</v>
      </c>
      <c r="D32" s="9" t="s">
        <v>64</v>
      </c>
      <c r="E32" s="9" t="s">
        <v>64</v>
      </c>
      <c r="F32" s="9" t="s">
        <v>64</v>
      </c>
      <c r="G32" s="9" t="s">
        <v>64</v>
      </c>
      <c r="H32" s="12"/>
      <c r="I32" s="12" t="s">
        <v>61</v>
      </c>
    </row>
    <row r="33" spans="1:9" ht="18" x14ac:dyDescent="0.2">
      <c r="A33" s="10" t="s">
        <v>54</v>
      </c>
      <c r="B33" s="10" t="s">
        <v>44</v>
      </c>
      <c r="C33" s="9" t="s">
        <v>153</v>
      </c>
      <c r="D33" s="9" t="s">
        <v>153</v>
      </c>
      <c r="E33" s="9" t="s">
        <v>153</v>
      </c>
      <c r="F33" s="9" t="s">
        <v>153</v>
      </c>
      <c r="G33" s="9" t="s">
        <v>153</v>
      </c>
      <c r="H33" s="9" t="s">
        <v>153</v>
      </c>
      <c r="I33" s="12" t="s">
        <v>152</v>
      </c>
    </row>
    <row r="34" spans="1:9" ht="18" x14ac:dyDescent="0.2">
      <c r="A34" s="11" t="s">
        <v>21</v>
      </c>
      <c r="B34" s="11" t="s">
        <v>25</v>
      </c>
      <c r="C34" s="9" t="s">
        <v>61</v>
      </c>
      <c r="D34" s="9" t="s">
        <v>64</v>
      </c>
      <c r="E34" s="9" t="s">
        <v>64</v>
      </c>
      <c r="F34" s="9" t="s">
        <v>64</v>
      </c>
      <c r="G34" s="9" t="s">
        <v>64</v>
      </c>
      <c r="H34" s="12"/>
      <c r="I34" s="12" t="s">
        <v>61</v>
      </c>
    </row>
    <row r="35" spans="1:9" ht="18" x14ac:dyDescent="0.2">
      <c r="A35" s="12" t="s">
        <v>55</v>
      </c>
      <c r="B35" s="12" t="s">
        <v>44</v>
      </c>
      <c r="C35" s="9" t="s">
        <v>153</v>
      </c>
      <c r="D35" s="9" t="s">
        <v>153</v>
      </c>
      <c r="E35" s="9" t="s">
        <v>153</v>
      </c>
      <c r="F35" s="9" t="s">
        <v>153</v>
      </c>
      <c r="G35" s="9" t="s">
        <v>153</v>
      </c>
      <c r="H35" s="9" t="s">
        <v>153</v>
      </c>
      <c r="I35" s="12" t="s">
        <v>152</v>
      </c>
    </row>
    <row r="36" spans="1:9" ht="18" x14ac:dyDescent="0.2">
      <c r="A36" s="12" t="s">
        <v>12</v>
      </c>
      <c r="B36" s="12" t="s">
        <v>47</v>
      </c>
      <c r="C36" s="9" t="s">
        <v>153</v>
      </c>
      <c r="D36" s="9" t="s">
        <v>153</v>
      </c>
      <c r="E36" s="9" t="s">
        <v>153</v>
      </c>
      <c r="F36" s="9" t="s">
        <v>153</v>
      </c>
      <c r="G36" s="9" t="s">
        <v>153</v>
      </c>
      <c r="H36" s="9" t="s">
        <v>153</v>
      </c>
      <c r="I36" s="12" t="s">
        <v>152</v>
      </c>
    </row>
    <row r="37" spans="1:9" ht="18" x14ac:dyDescent="0.2">
      <c r="A37" s="12" t="s">
        <v>13</v>
      </c>
      <c r="B37" s="12" t="s">
        <v>25</v>
      </c>
      <c r="C37" s="9" t="s">
        <v>61</v>
      </c>
      <c r="D37" s="9" t="s">
        <v>64</v>
      </c>
      <c r="E37" s="9" t="s">
        <v>64</v>
      </c>
      <c r="F37" s="9" t="s">
        <v>64</v>
      </c>
      <c r="G37" s="9" t="s">
        <v>64</v>
      </c>
      <c r="H37" s="12"/>
      <c r="I37" s="12" t="s">
        <v>61</v>
      </c>
    </row>
    <row r="38" spans="1:9" ht="18" x14ac:dyDescent="0.2">
      <c r="A38" s="12" t="s">
        <v>56</v>
      </c>
      <c r="B38" s="12" t="s">
        <v>50</v>
      </c>
      <c r="C38" s="9" t="s">
        <v>153</v>
      </c>
      <c r="D38" s="9" t="s">
        <v>153</v>
      </c>
      <c r="E38" s="9" t="s">
        <v>153</v>
      </c>
      <c r="F38" s="9" t="s">
        <v>153</v>
      </c>
      <c r="G38" s="9" t="s">
        <v>153</v>
      </c>
      <c r="H38" s="9" t="s">
        <v>153</v>
      </c>
      <c r="I38" s="12" t="s">
        <v>152</v>
      </c>
    </row>
    <row r="39" spans="1:9" ht="18" x14ac:dyDescent="0.2">
      <c r="A39" s="12" t="s">
        <v>57</v>
      </c>
      <c r="B39" s="12" t="s">
        <v>50</v>
      </c>
      <c r="C39" s="9" t="s">
        <v>153</v>
      </c>
      <c r="D39" s="9" t="s">
        <v>153</v>
      </c>
      <c r="E39" s="9" t="s">
        <v>153</v>
      </c>
      <c r="F39" s="9" t="s">
        <v>153</v>
      </c>
      <c r="G39" s="9" t="s">
        <v>153</v>
      </c>
      <c r="H39" s="9" t="s">
        <v>153</v>
      </c>
      <c r="I39" s="12" t="s">
        <v>152</v>
      </c>
    </row>
    <row r="40" spans="1:9" ht="18" x14ac:dyDescent="0.2">
      <c r="A40" s="12" t="s">
        <v>58</v>
      </c>
      <c r="B40" s="12" t="s">
        <v>50</v>
      </c>
      <c r="C40" s="9" t="s">
        <v>153</v>
      </c>
      <c r="D40" s="9" t="s">
        <v>153</v>
      </c>
      <c r="E40" s="9" t="s">
        <v>153</v>
      </c>
      <c r="F40" s="9" t="s">
        <v>153</v>
      </c>
      <c r="G40" s="9" t="s">
        <v>153</v>
      </c>
      <c r="H40" s="9" t="s">
        <v>153</v>
      </c>
      <c r="I40" s="12" t="s">
        <v>152</v>
      </c>
    </row>
    <row r="41" spans="1:9" ht="18" x14ac:dyDescent="0.2">
      <c r="A41" s="63" t="s">
        <v>18</v>
      </c>
      <c r="B41" s="12" t="s">
        <v>25</v>
      </c>
      <c r="C41" s="9" t="s">
        <v>61</v>
      </c>
      <c r="D41" s="9" t="s">
        <v>64</v>
      </c>
      <c r="E41" s="61" t="s">
        <v>67</v>
      </c>
      <c r="F41" s="15"/>
      <c r="G41" s="17"/>
      <c r="H41" s="14"/>
      <c r="I41" s="14"/>
    </row>
    <row r="42" spans="1:9" ht="18" x14ac:dyDescent="0.2">
      <c r="A42" s="57" t="s">
        <v>20</v>
      </c>
      <c r="B42" s="12" t="s">
        <v>25</v>
      </c>
      <c r="C42" s="9" t="s">
        <v>61</v>
      </c>
      <c r="D42" s="9" t="s">
        <v>64</v>
      </c>
      <c r="E42" s="9" t="s">
        <v>64</v>
      </c>
      <c r="F42" s="9" t="s">
        <v>64</v>
      </c>
      <c r="G42" s="9" t="s">
        <v>64</v>
      </c>
      <c r="H42" s="14" t="s">
        <v>68</v>
      </c>
      <c r="I42" s="14"/>
    </row>
    <row r="43" spans="1:9" ht="18" x14ac:dyDescent="0.2">
      <c r="A43" s="12" t="s">
        <v>59</v>
      </c>
      <c r="B43" s="12" t="s">
        <v>44</v>
      </c>
      <c r="C43" s="9" t="s">
        <v>153</v>
      </c>
      <c r="D43" s="9" t="s">
        <v>153</v>
      </c>
      <c r="E43" s="9" t="s">
        <v>153</v>
      </c>
      <c r="F43" s="9" t="s">
        <v>153</v>
      </c>
      <c r="G43" s="9" t="s">
        <v>153</v>
      </c>
      <c r="H43" s="9" t="s">
        <v>153</v>
      </c>
      <c r="I43" s="12" t="s">
        <v>152</v>
      </c>
    </row>
    <row r="44" spans="1:9" ht="18" x14ac:dyDescent="0.2">
      <c r="A44" s="12" t="s">
        <v>60</v>
      </c>
      <c r="B44" s="12" t="s">
        <v>44</v>
      </c>
      <c r="C44" s="9" t="s">
        <v>153</v>
      </c>
      <c r="D44" s="9" t="s">
        <v>153</v>
      </c>
      <c r="E44" s="9" t="s">
        <v>153</v>
      </c>
      <c r="F44" s="9" t="s">
        <v>153</v>
      </c>
      <c r="G44" s="9" t="s">
        <v>153</v>
      </c>
      <c r="H44" s="9" t="s">
        <v>153</v>
      </c>
      <c r="I44" s="12" t="s">
        <v>152</v>
      </c>
    </row>
    <row r="45" spans="1:9" ht="18" x14ac:dyDescent="0.2">
      <c r="A45" s="12" t="s">
        <v>69</v>
      </c>
      <c r="B45" s="12"/>
      <c r="C45" s="9" t="s">
        <v>61</v>
      </c>
      <c r="D45" s="12"/>
      <c r="E45" s="12"/>
      <c r="F45" s="12"/>
      <c r="G45" s="12"/>
      <c r="H45" s="12"/>
      <c r="I45" s="12" t="s">
        <v>61</v>
      </c>
    </row>
    <row r="46" spans="1:9" ht="18" x14ac:dyDescent="0.2">
      <c r="A46" s="12" t="s">
        <v>70</v>
      </c>
      <c r="B46" s="12"/>
      <c r="C46" s="9" t="s">
        <v>61</v>
      </c>
      <c r="D46" s="12"/>
      <c r="E46" s="12"/>
      <c r="F46" s="12"/>
      <c r="G46" s="12"/>
      <c r="H46" s="12"/>
      <c r="I46" s="12" t="s">
        <v>61</v>
      </c>
    </row>
    <row r="47" spans="1:9" ht="18" x14ac:dyDescent="0.2">
      <c r="A47" s="12" t="s">
        <v>71</v>
      </c>
      <c r="B47" s="12"/>
      <c r="C47" s="9" t="s">
        <v>61</v>
      </c>
      <c r="D47" s="12"/>
      <c r="E47" s="12"/>
      <c r="F47" s="12"/>
      <c r="G47" s="12"/>
      <c r="H47" s="12"/>
      <c r="I47" s="12" t="s">
        <v>61</v>
      </c>
    </row>
    <row r="48" spans="1:9" ht="18" x14ac:dyDescent="0.2">
      <c r="A48" s="12" t="s">
        <v>72</v>
      </c>
      <c r="B48" s="12"/>
      <c r="C48" s="9" t="s">
        <v>61</v>
      </c>
      <c r="D48" s="12"/>
      <c r="E48" s="12"/>
      <c r="F48" s="12"/>
      <c r="G48" s="12"/>
      <c r="H48" s="12"/>
      <c r="I48" s="12" t="s">
        <v>61</v>
      </c>
    </row>
    <row r="49" spans="1:9" ht="18" x14ac:dyDescent="0.2">
      <c r="A49" s="12" t="s">
        <v>73</v>
      </c>
      <c r="B49" s="12"/>
      <c r="C49" s="9" t="s">
        <v>61</v>
      </c>
      <c r="D49" s="12"/>
      <c r="E49" s="12"/>
      <c r="F49" s="12"/>
      <c r="G49" s="12"/>
      <c r="H49" s="12"/>
      <c r="I49" s="12" t="s">
        <v>61</v>
      </c>
    </row>
    <row r="50" spans="1:9" ht="18" x14ac:dyDescent="0.2">
      <c r="A50" s="12" t="s">
        <v>74</v>
      </c>
      <c r="B50" s="12"/>
      <c r="C50" s="9" t="s">
        <v>61</v>
      </c>
      <c r="D50" s="12"/>
      <c r="E50" s="12"/>
      <c r="F50" s="12"/>
      <c r="G50" s="12"/>
      <c r="H50" s="12"/>
      <c r="I50" s="12" t="s">
        <v>61</v>
      </c>
    </row>
    <row r="51" spans="1:9" ht="18" x14ac:dyDescent="0.2">
      <c r="A51" s="12" t="s">
        <v>75</v>
      </c>
      <c r="B51" s="12"/>
      <c r="C51" s="9" t="s">
        <v>61</v>
      </c>
      <c r="D51" s="12"/>
      <c r="E51" s="12"/>
      <c r="F51" s="12"/>
      <c r="G51" s="12"/>
      <c r="H51" s="12"/>
      <c r="I51" s="12" t="s">
        <v>61</v>
      </c>
    </row>
    <row r="52" spans="1:9" ht="18" x14ac:dyDescent="0.2">
      <c r="A52" s="12" t="s">
        <v>76</v>
      </c>
      <c r="B52" s="12"/>
      <c r="C52" s="9" t="s">
        <v>61</v>
      </c>
      <c r="D52" s="12"/>
      <c r="E52" s="12"/>
      <c r="F52" s="12"/>
      <c r="G52" s="12"/>
      <c r="H52" s="12"/>
      <c r="I52" s="12" t="s">
        <v>61</v>
      </c>
    </row>
    <row r="53" spans="1:9" ht="18" x14ac:dyDescent="0.2">
      <c r="A53" s="12" t="s">
        <v>77</v>
      </c>
      <c r="B53" s="12"/>
      <c r="C53" s="9" t="s">
        <v>61</v>
      </c>
      <c r="D53" s="12"/>
      <c r="E53" s="12"/>
      <c r="F53" s="12"/>
      <c r="G53" s="12"/>
      <c r="H53" s="12"/>
      <c r="I53" s="12" t="s">
        <v>61</v>
      </c>
    </row>
    <row r="54" spans="1:9" ht="18" x14ac:dyDescent="0.2">
      <c r="A54" s="12" t="s">
        <v>78</v>
      </c>
      <c r="B54" s="12"/>
      <c r="C54" s="9" t="s">
        <v>61</v>
      </c>
      <c r="D54" s="12"/>
      <c r="E54" s="12"/>
      <c r="F54" s="12"/>
      <c r="G54" s="12"/>
      <c r="H54" s="12"/>
      <c r="I54" s="12" t="s">
        <v>61</v>
      </c>
    </row>
    <row r="55" spans="1:9" ht="18" x14ac:dyDescent="0.2">
      <c r="A55" s="58" t="s">
        <v>154</v>
      </c>
      <c r="B55" s="12"/>
      <c r="C55" s="9" t="s">
        <v>61</v>
      </c>
      <c r="D55" s="12" t="s">
        <v>64</v>
      </c>
      <c r="E55" s="12" t="s">
        <v>64</v>
      </c>
      <c r="F55" s="12"/>
      <c r="G55" s="12"/>
      <c r="H55" s="12"/>
      <c r="I55" s="12"/>
    </row>
    <row r="56" spans="1:9" ht="18" x14ac:dyDescent="0.2">
      <c r="A56" s="12" t="s">
        <v>155</v>
      </c>
      <c r="B56" s="12"/>
      <c r="C56" s="9" t="s">
        <v>61</v>
      </c>
      <c r="D56" s="12"/>
      <c r="E56" s="12"/>
      <c r="F56" s="12"/>
      <c r="G56" s="12"/>
      <c r="H56" s="12"/>
      <c r="I56" s="12"/>
    </row>
    <row r="57" spans="1:9" ht="18" x14ac:dyDescent="0.2">
      <c r="A57" s="12" t="s">
        <v>79</v>
      </c>
      <c r="B57" s="12"/>
      <c r="C57" s="9" t="s">
        <v>61</v>
      </c>
      <c r="D57" s="12"/>
      <c r="E57" s="12"/>
      <c r="F57" s="12"/>
      <c r="G57" s="12"/>
      <c r="H57" s="12"/>
      <c r="I57" s="12" t="s">
        <v>61</v>
      </c>
    </row>
    <row r="58" spans="1:9" ht="18" x14ac:dyDescent="0.2">
      <c r="A58" s="12" t="s">
        <v>80</v>
      </c>
      <c r="B58" s="12"/>
      <c r="C58" s="9" t="s">
        <v>61</v>
      </c>
      <c r="D58" s="12"/>
      <c r="E58" s="12"/>
      <c r="F58" s="12"/>
      <c r="G58" s="12"/>
      <c r="H58" s="12"/>
      <c r="I58" s="12" t="s">
        <v>61</v>
      </c>
    </row>
    <row r="75" spans="1:4" ht="18" x14ac:dyDescent="0.2">
      <c r="A75" s="12" t="s">
        <v>28</v>
      </c>
      <c r="B75" s="12"/>
      <c r="D75" t="s">
        <v>69</v>
      </c>
    </row>
    <row r="76" spans="1:4" ht="18" x14ac:dyDescent="0.2">
      <c r="A76" s="12" t="s">
        <v>6</v>
      </c>
      <c r="B76" s="12"/>
      <c r="D76" t="s">
        <v>70</v>
      </c>
    </row>
    <row r="77" spans="1:4" ht="18" x14ac:dyDescent="0.2">
      <c r="A77" s="12" t="s">
        <v>7</v>
      </c>
      <c r="B77" s="12"/>
      <c r="D77" t="s">
        <v>71</v>
      </c>
    </row>
    <row r="78" spans="1:4" ht="18" x14ac:dyDescent="0.2">
      <c r="A78" s="12" t="s">
        <v>31</v>
      </c>
      <c r="B78" s="12"/>
      <c r="D78" t="s">
        <v>72</v>
      </c>
    </row>
    <row r="79" spans="1:4" ht="18" x14ac:dyDescent="0.2">
      <c r="A79" s="12" t="s">
        <v>30</v>
      </c>
      <c r="B79" s="12"/>
      <c r="D79" t="s">
        <v>73</v>
      </c>
    </row>
    <row r="80" spans="1:4" ht="18" x14ac:dyDescent="0.2">
      <c r="A80" s="12" t="s">
        <v>32</v>
      </c>
      <c r="B80" s="12"/>
      <c r="D80" t="s">
        <v>74</v>
      </c>
    </row>
    <row r="81" spans="1:4" ht="18" x14ac:dyDescent="0.2">
      <c r="A81" s="12" t="s">
        <v>34</v>
      </c>
      <c r="B81" s="12"/>
      <c r="D81" t="s">
        <v>75</v>
      </c>
    </row>
    <row r="82" spans="1:4" ht="18" x14ac:dyDescent="0.2">
      <c r="A82" s="12" t="s">
        <v>36</v>
      </c>
      <c r="B82" s="12"/>
      <c r="D82" t="s">
        <v>76</v>
      </c>
    </row>
    <row r="83" spans="1:4" ht="18" x14ac:dyDescent="0.2">
      <c r="A83" s="12" t="s">
        <v>11</v>
      </c>
      <c r="B83" s="12"/>
      <c r="D83" t="s">
        <v>77</v>
      </c>
    </row>
    <row r="84" spans="1:4" ht="18" x14ac:dyDescent="0.2">
      <c r="A84" s="12" t="s">
        <v>13</v>
      </c>
      <c r="B84" s="12"/>
      <c r="D84" t="s">
        <v>78</v>
      </c>
    </row>
    <row r="85" spans="1:4" ht="18" x14ac:dyDescent="0.2">
      <c r="A85" s="12" t="s">
        <v>15</v>
      </c>
      <c r="B85" s="12"/>
      <c r="D85" t="s">
        <v>154</v>
      </c>
    </row>
    <row r="86" spans="1:4" ht="18" x14ac:dyDescent="0.2">
      <c r="A86" s="12" t="s">
        <v>16</v>
      </c>
      <c r="B86" s="12"/>
      <c r="D86" t="s">
        <v>155</v>
      </c>
    </row>
    <row r="87" spans="1:4" ht="18" x14ac:dyDescent="0.2">
      <c r="A87" s="12" t="s">
        <v>19</v>
      </c>
      <c r="B87" s="12"/>
      <c r="D87" t="s">
        <v>79</v>
      </c>
    </row>
    <row r="88" spans="1:4" ht="18" x14ac:dyDescent="0.2">
      <c r="A88" s="12" t="s">
        <v>21</v>
      </c>
      <c r="B88" s="12"/>
      <c r="D88" t="s">
        <v>80</v>
      </c>
    </row>
  </sheetData>
  <autoFilter ref="A1:I58" xr:uid="{D6D884F1-82A7-984A-B124-F6A2F6399F0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8609-3905-414C-9DEE-F349E5DBD3B1}">
  <dimension ref="B1:Q117"/>
  <sheetViews>
    <sheetView topLeftCell="C60" zoomScale="113" zoomScaleNormal="90" workbookViewId="0">
      <pane xSplit="3440" ySplit="1360" topLeftCell="D7" activePane="bottomRight"/>
      <selection activeCell="H65" sqref="H65"/>
      <selection pane="topRight" activeCell="E61" sqref="E61"/>
      <selection pane="bottomLeft" activeCell="B115" sqref="B115"/>
      <selection pane="bottomRight" activeCell="I24" sqref="I24"/>
    </sheetView>
  </sheetViews>
  <sheetFormatPr baseColWidth="10" defaultRowHeight="16" x14ac:dyDescent="0.2"/>
  <cols>
    <col min="1" max="1" width="3.6640625" bestFit="1" customWidth="1"/>
    <col min="2" max="2" width="17.83203125" bestFit="1" customWidth="1"/>
    <col min="3" max="3" width="19.1640625" customWidth="1"/>
    <col min="4" max="5" width="18" bestFit="1" customWidth="1"/>
    <col min="6" max="6" width="24.83203125" bestFit="1" customWidth="1"/>
    <col min="7" max="7" width="18.1640625" bestFit="1" customWidth="1"/>
    <col min="8" max="8" width="22.1640625" bestFit="1" customWidth="1"/>
    <col min="9" max="9" width="18.5" bestFit="1" customWidth="1"/>
    <col min="10" max="10" width="18.83203125" bestFit="1" customWidth="1"/>
    <col min="11" max="12" width="15.83203125" bestFit="1" customWidth="1"/>
    <col min="13" max="13" width="9" bestFit="1" customWidth="1"/>
    <col min="14" max="14" width="20.6640625" bestFit="1" customWidth="1"/>
    <col min="15" max="15" width="19.83203125" bestFit="1" customWidth="1"/>
    <col min="16" max="16" width="20" bestFit="1" customWidth="1"/>
    <col min="17" max="17" width="12.1640625" bestFit="1" customWidth="1"/>
  </cols>
  <sheetData>
    <row r="1" spans="2:17" ht="18" x14ac:dyDescent="0.2">
      <c r="E1" s="2"/>
    </row>
    <row r="2" spans="2:17" ht="18" x14ac:dyDescent="0.2">
      <c r="B2" s="8"/>
      <c r="C2" s="192" t="s">
        <v>81</v>
      </c>
      <c r="D2" s="190" t="s">
        <v>82</v>
      </c>
      <c r="E2" s="191"/>
    </row>
    <row r="3" spans="2:17" ht="18" x14ac:dyDescent="0.2">
      <c r="B3" s="8"/>
      <c r="C3" s="192"/>
      <c r="D3" s="6" t="s">
        <v>83</v>
      </c>
      <c r="E3" s="6" t="s">
        <v>84</v>
      </c>
    </row>
    <row r="4" spans="2:17" ht="18" x14ac:dyDescent="0.2">
      <c r="B4" s="2" t="s">
        <v>69</v>
      </c>
      <c r="C4" s="2">
        <v>6</v>
      </c>
      <c r="D4" s="2">
        <v>136</v>
      </c>
      <c r="E4" s="2">
        <v>272</v>
      </c>
      <c r="P4">
        <v>4208</v>
      </c>
    </row>
    <row r="5" spans="2:17" ht="18" x14ac:dyDescent="0.2">
      <c r="B5" s="2" t="s">
        <v>70</v>
      </c>
      <c r="C5" s="2">
        <v>4</v>
      </c>
      <c r="D5" s="2">
        <v>32</v>
      </c>
      <c r="E5" s="2">
        <v>64</v>
      </c>
      <c r="P5">
        <v>48</v>
      </c>
      <c r="Q5">
        <v>4256</v>
      </c>
    </row>
    <row r="6" spans="2:17" ht="18" x14ac:dyDescent="0.2">
      <c r="B6" s="2" t="s">
        <v>71</v>
      </c>
      <c r="C6" s="2">
        <v>7</v>
      </c>
      <c r="D6" s="2">
        <v>56</v>
      </c>
      <c r="E6" s="2">
        <v>112</v>
      </c>
      <c r="P6">
        <v>8560</v>
      </c>
      <c r="Q6">
        <v>8608</v>
      </c>
    </row>
    <row r="7" spans="2:17" ht="18" x14ac:dyDescent="0.2">
      <c r="B7" s="2" t="s">
        <v>72</v>
      </c>
      <c r="C7" s="2">
        <v>13</v>
      </c>
      <c r="D7" s="2">
        <v>272</v>
      </c>
      <c r="E7" s="2">
        <v>544</v>
      </c>
      <c r="P7">
        <v>48</v>
      </c>
      <c r="Q7">
        <v>2848</v>
      </c>
    </row>
    <row r="8" spans="2:17" ht="18" x14ac:dyDescent="0.2">
      <c r="B8" s="2" t="s">
        <v>73</v>
      </c>
      <c r="C8" s="2">
        <v>5</v>
      </c>
      <c r="D8" s="2">
        <v>536</v>
      </c>
      <c r="E8" s="2">
        <v>1072</v>
      </c>
      <c r="P8">
        <v>2800</v>
      </c>
      <c r="Q8">
        <v>14512</v>
      </c>
    </row>
    <row r="9" spans="2:17" ht="18" x14ac:dyDescent="0.2">
      <c r="B9" s="2" t="s">
        <v>74</v>
      </c>
      <c r="C9" s="2">
        <v>5</v>
      </c>
      <c r="D9" s="2">
        <v>536</v>
      </c>
      <c r="E9" s="2">
        <v>1072</v>
      </c>
      <c r="P9">
        <v>48</v>
      </c>
      <c r="Q9">
        <v>2480</v>
      </c>
    </row>
    <row r="10" spans="2:17" ht="18" x14ac:dyDescent="0.2">
      <c r="B10" s="2" t="s">
        <v>75</v>
      </c>
      <c r="C10" s="2">
        <v>20</v>
      </c>
      <c r="D10" s="2">
        <v>7200</v>
      </c>
      <c r="E10" s="2">
        <v>14400</v>
      </c>
      <c r="P10">
        <v>7792</v>
      </c>
      <c r="Q10">
        <v>2288</v>
      </c>
    </row>
    <row r="11" spans="2:17" ht="18" x14ac:dyDescent="0.2">
      <c r="B11" s="2" t="s">
        <v>76</v>
      </c>
      <c r="C11" s="2">
        <v>19</v>
      </c>
      <c r="D11" s="2">
        <v>6960</v>
      </c>
      <c r="E11" s="2">
        <v>13920</v>
      </c>
      <c r="P11">
        <v>6720</v>
      </c>
      <c r="Q11">
        <v>4864</v>
      </c>
    </row>
    <row r="12" spans="2:17" ht="18" x14ac:dyDescent="0.2">
      <c r="B12" s="2" t="s">
        <v>77</v>
      </c>
      <c r="C12" s="2">
        <v>5</v>
      </c>
      <c r="D12" s="2">
        <v>80</v>
      </c>
      <c r="E12" s="2">
        <v>160</v>
      </c>
      <c r="P12">
        <v>2432</v>
      </c>
      <c r="Q12">
        <v>3712</v>
      </c>
    </row>
    <row r="13" spans="2:17" ht="18" x14ac:dyDescent="0.2">
      <c r="B13" s="2" t="s">
        <v>78</v>
      </c>
      <c r="C13" s="2">
        <v>7</v>
      </c>
      <c r="D13" s="2">
        <v>120</v>
      </c>
      <c r="E13" s="2">
        <v>240</v>
      </c>
      <c r="P13">
        <v>48</v>
      </c>
      <c r="Q13">
        <v>19144</v>
      </c>
    </row>
    <row r="14" spans="2:17" ht="18" x14ac:dyDescent="0.2">
      <c r="B14" s="2" t="s">
        <v>79</v>
      </c>
      <c r="C14" s="2">
        <v>9</v>
      </c>
      <c r="D14" s="2">
        <v>160</v>
      </c>
      <c r="E14" s="2">
        <v>320</v>
      </c>
      <c r="P14">
        <v>2240</v>
      </c>
      <c r="Q14">
        <v>2352</v>
      </c>
    </row>
    <row r="15" spans="2:17" ht="18" x14ac:dyDescent="0.2">
      <c r="B15" s="2" t="s">
        <v>80</v>
      </c>
      <c r="C15" s="2">
        <v>9</v>
      </c>
      <c r="D15" s="2">
        <v>160</v>
      </c>
      <c r="E15" s="2">
        <v>320</v>
      </c>
      <c r="P15">
        <v>48</v>
      </c>
      <c r="Q15">
        <v>3344</v>
      </c>
    </row>
    <row r="16" spans="2:17" x14ac:dyDescent="0.2">
      <c r="P16">
        <v>4816</v>
      </c>
      <c r="Q16">
        <v>3552</v>
      </c>
    </row>
    <row r="21" spans="2:12" ht="38" x14ac:dyDescent="0.2">
      <c r="C21" s="19" t="s">
        <v>22</v>
      </c>
      <c r="D21" s="19" t="s">
        <v>130</v>
      </c>
      <c r="E21" s="19" t="s">
        <v>129</v>
      </c>
      <c r="F21" s="19" t="s">
        <v>131</v>
      </c>
      <c r="G21" s="19" t="s">
        <v>89</v>
      </c>
      <c r="H21" s="19" t="s">
        <v>90</v>
      </c>
      <c r="I21" s="30" t="s">
        <v>127</v>
      </c>
      <c r="J21" s="19" t="s">
        <v>125</v>
      </c>
      <c r="K21" s="19" t="s">
        <v>126</v>
      </c>
    </row>
    <row r="22" spans="2:12" ht="18" x14ac:dyDescent="0.2">
      <c r="B22" s="12" t="s">
        <v>115</v>
      </c>
      <c r="C22" s="3">
        <v>25</v>
      </c>
      <c r="D22" s="3">
        <v>137</v>
      </c>
      <c r="E22" s="3">
        <v>113</v>
      </c>
      <c r="F22" s="20">
        <f xml:space="preserve"> (E22/D22)</f>
        <v>0.82481751824817517</v>
      </c>
      <c r="G22" s="3">
        <v>48</v>
      </c>
      <c r="H22" s="3">
        <v>188</v>
      </c>
      <c r="I22" s="26">
        <v>2.6</v>
      </c>
      <c r="J22" s="3">
        <v>20604088422</v>
      </c>
      <c r="K22" s="3">
        <v>29</v>
      </c>
      <c r="L22" t="b">
        <f t="shared" ref="L22:L50" si="0">IF(F22&gt;0.75, TRUE)</f>
        <v>1</v>
      </c>
    </row>
    <row r="23" spans="2:12" ht="18" x14ac:dyDescent="0.2">
      <c r="B23" s="12" t="s">
        <v>116</v>
      </c>
      <c r="C23" s="3">
        <v>102</v>
      </c>
      <c r="D23" s="3">
        <v>2067</v>
      </c>
      <c r="E23" s="3">
        <v>1962</v>
      </c>
      <c r="F23" s="20">
        <f t="shared" ref="F23:F50" si="1" xml:space="preserve"> (E23/D23)</f>
        <v>0.94920174165457183</v>
      </c>
      <c r="G23" s="3">
        <v>66</v>
      </c>
      <c r="H23" s="3">
        <v>16077</v>
      </c>
      <c r="I23" s="26">
        <v>36</v>
      </c>
      <c r="J23" s="3">
        <v>662301863</v>
      </c>
      <c r="K23" s="3">
        <v>19</v>
      </c>
      <c r="L23" t="b">
        <f t="shared" si="0"/>
        <v>1</v>
      </c>
    </row>
    <row r="24" spans="2:12" ht="18" x14ac:dyDescent="0.2">
      <c r="B24" s="12" t="s">
        <v>117</v>
      </c>
      <c r="C24" s="3">
        <v>2226</v>
      </c>
      <c r="D24" s="3">
        <v>56033</v>
      </c>
      <c r="E24" s="3">
        <v>51337</v>
      </c>
      <c r="F24" s="20">
        <f t="shared" si="1"/>
        <v>0.91619224385629894</v>
      </c>
      <c r="G24" s="3">
        <v>6729</v>
      </c>
      <c r="H24" s="3">
        <v>65117646</v>
      </c>
      <c r="I24" s="26">
        <v>179</v>
      </c>
      <c r="J24" s="3">
        <v>4555757974</v>
      </c>
      <c r="K24" s="3">
        <v>29333</v>
      </c>
      <c r="L24" t="b">
        <f t="shared" si="0"/>
        <v>1</v>
      </c>
    </row>
    <row r="25" spans="2:12" ht="18" x14ac:dyDescent="0.2">
      <c r="B25" s="12" t="s">
        <v>118</v>
      </c>
      <c r="C25" s="3">
        <v>19</v>
      </c>
      <c r="D25" s="3">
        <v>56</v>
      </c>
      <c r="E25" s="3">
        <v>38</v>
      </c>
      <c r="F25" s="20">
        <f t="shared" si="1"/>
        <v>0.6785714285714286</v>
      </c>
      <c r="G25" s="3">
        <v>0</v>
      </c>
      <c r="H25" s="3">
        <v>70</v>
      </c>
      <c r="I25" s="26">
        <v>1.1000000000000001</v>
      </c>
      <c r="J25" s="3">
        <v>2651595</v>
      </c>
      <c r="K25" s="3">
        <v>12</v>
      </c>
      <c r="L25" t="b">
        <f t="shared" si="0"/>
        <v>0</v>
      </c>
    </row>
    <row r="26" spans="2:12" ht="18" x14ac:dyDescent="0.2">
      <c r="B26" s="58" t="s">
        <v>156</v>
      </c>
      <c r="C26" s="3">
        <v>4007</v>
      </c>
      <c r="D26" s="3">
        <v>170354</v>
      </c>
      <c r="E26" s="3">
        <v>24674</v>
      </c>
      <c r="F26" s="20">
        <f t="shared" si="1"/>
        <v>0.14483956936731746</v>
      </c>
      <c r="G26" s="3">
        <v>2977</v>
      </c>
      <c r="H26" s="3">
        <v>96429161011</v>
      </c>
      <c r="I26" s="26"/>
      <c r="J26" s="3"/>
      <c r="K26" s="3"/>
      <c r="L26" t="b">
        <f t="shared" si="0"/>
        <v>0</v>
      </c>
    </row>
    <row r="27" spans="2:12" ht="18" x14ac:dyDescent="0.2">
      <c r="B27" s="12" t="s">
        <v>119</v>
      </c>
      <c r="C27" s="64" t="s">
        <v>159</v>
      </c>
      <c r="D27" s="3">
        <v>33617</v>
      </c>
      <c r="E27" s="3">
        <v>18885</v>
      </c>
      <c r="F27" s="20">
        <f t="shared" si="1"/>
        <v>0.56176934289198921</v>
      </c>
      <c r="G27" s="3">
        <v>60</v>
      </c>
      <c r="H27" s="3">
        <v>10316506067</v>
      </c>
      <c r="I27" s="26">
        <v>70</v>
      </c>
      <c r="J27" s="3">
        <v>9984356426</v>
      </c>
      <c r="K27" s="3">
        <v>77</v>
      </c>
      <c r="L27" t="b">
        <f t="shared" si="0"/>
        <v>0</v>
      </c>
    </row>
    <row r="28" spans="2:12" ht="18" x14ac:dyDescent="0.2">
      <c r="B28" s="12" t="s">
        <v>120</v>
      </c>
      <c r="C28" s="3">
        <v>398</v>
      </c>
      <c r="D28" s="3">
        <v>21323</v>
      </c>
      <c r="E28" s="3">
        <v>20926</v>
      </c>
      <c r="F28" s="20">
        <f t="shared" si="1"/>
        <v>0.98138160671575292</v>
      </c>
      <c r="G28" s="3">
        <v>17911</v>
      </c>
      <c r="H28" s="3">
        <v>18929528</v>
      </c>
      <c r="I28" s="26">
        <v>310</v>
      </c>
      <c r="J28" s="3">
        <v>3265253366</v>
      </c>
      <c r="K28" s="3">
        <v>12</v>
      </c>
      <c r="L28" t="b">
        <f t="shared" si="0"/>
        <v>1</v>
      </c>
    </row>
    <row r="29" spans="2:12" ht="18" x14ac:dyDescent="0.2">
      <c r="B29" s="12" t="s">
        <v>121</v>
      </c>
      <c r="C29" s="3">
        <v>115</v>
      </c>
      <c r="D29" s="3">
        <v>802</v>
      </c>
      <c r="E29" s="3">
        <v>680</v>
      </c>
      <c r="F29" s="20">
        <f t="shared" si="1"/>
        <v>0.84788029925187036</v>
      </c>
      <c r="G29" s="3">
        <v>0</v>
      </c>
      <c r="H29" s="3">
        <v>4925</v>
      </c>
      <c r="I29" s="26">
        <v>11</v>
      </c>
      <c r="J29" s="3">
        <v>11536625846</v>
      </c>
      <c r="K29" s="3">
        <v>134</v>
      </c>
      <c r="L29" t="b">
        <f t="shared" si="0"/>
        <v>1</v>
      </c>
    </row>
    <row r="30" spans="2:12" ht="18" x14ac:dyDescent="0.2">
      <c r="B30" s="12" t="s">
        <v>122</v>
      </c>
      <c r="C30" s="3">
        <v>139</v>
      </c>
      <c r="D30" s="3">
        <v>1982</v>
      </c>
      <c r="E30" s="3">
        <v>1664</v>
      </c>
      <c r="F30" s="20">
        <f t="shared" si="1"/>
        <v>0.83955600403632691</v>
      </c>
      <c r="G30" s="3">
        <v>1651</v>
      </c>
      <c r="H30" s="3">
        <v>516678285489</v>
      </c>
      <c r="I30" s="26">
        <v>31</v>
      </c>
      <c r="J30" s="3"/>
      <c r="K30" s="3">
        <v>15</v>
      </c>
      <c r="L30" t="b">
        <f t="shared" si="0"/>
        <v>1</v>
      </c>
    </row>
    <row r="31" spans="2:12" ht="18" x14ac:dyDescent="0.2">
      <c r="B31" s="12" t="s">
        <v>0</v>
      </c>
      <c r="C31" s="3">
        <v>25</v>
      </c>
      <c r="D31" s="3">
        <v>137</v>
      </c>
      <c r="E31" s="3">
        <v>113</v>
      </c>
      <c r="F31" s="20">
        <f t="shared" si="1"/>
        <v>0.82481751824817517</v>
      </c>
      <c r="G31" s="3">
        <v>48</v>
      </c>
      <c r="H31" s="3">
        <v>188</v>
      </c>
      <c r="I31" s="26">
        <v>2.6</v>
      </c>
      <c r="J31" s="3"/>
      <c r="K31" s="3">
        <v>34</v>
      </c>
      <c r="L31" t="b">
        <f t="shared" si="0"/>
        <v>1</v>
      </c>
    </row>
    <row r="32" spans="2:12" ht="18" x14ac:dyDescent="0.2">
      <c r="B32" s="12" t="s">
        <v>1</v>
      </c>
      <c r="C32" s="3">
        <v>25</v>
      </c>
      <c r="D32" s="3">
        <v>72</v>
      </c>
      <c r="E32" s="3">
        <v>44</v>
      </c>
      <c r="F32" s="20">
        <f t="shared" si="1"/>
        <v>0.61111111111111116</v>
      </c>
      <c r="G32" s="3">
        <v>0</v>
      </c>
      <c r="H32" s="3">
        <v>74</v>
      </c>
      <c r="I32" s="26">
        <v>1.2</v>
      </c>
      <c r="J32" s="3"/>
      <c r="K32" s="3">
        <v>39</v>
      </c>
      <c r="L32" t="b">
        <f t="shared" si="0"/>
        <v>0</v>
      </c>
    </row>
    <row r="33" spans="2:12" ht="18" x14ac:dyDescent="0.2">
      <c r="B33" s="58" t="s">
        <v>157</v>
      </c>
      <c r="C33" s="3">
        <v>4007</v>
      </c>
      <c r="D33" s="3">
        <v>170354</v>
      </c>
      <c r="E33" s="3">
        <v>24399</v>
      </c>
      <c r="F33" s="20">
        <f t="shared" si="1"/>
        <v>0.14322528382074973</v>
      </c>
      <c r="G33" s="3">
        <v>2977</v>
      </c>
      <c r="H33" s="3">
        <v>4484946004759</v>
      </c>
      <c r="I33" s="26"/>
      <c r="J33" s="3"/>
      <c r="K33" s="3"/>
    </row>
    <row r="34" spans="2:12" ht="18" x14ac:dyDescent="0.2">
      <c r="B34" s="12" t="s">
        <v>2</v>
      </c>
      <c r="C34" s="3">
        <v>5444</v>
      </c>
      <c r="D34" s="3">
        <v>33617</v>
      </c>
      <c r="E34" s="3">
        <v>19288</v>
      </c>
      <c r="F34" s="20">
        <f t="shared" si="1"/>
        <v>0.57375732516286404</v>
      </c>
      <c r="G34" s="3">
        <v>60</v>
      </c>
      <c r="H34" s="3">
        <v>69077904007</v>
      </c>
      <c r="I34" s="26">
        <v>70</v>
      </c>
      <c r="J34" s="3"/>
      <c r="K34" s="3">
        <v>76</v>
      </c>
      <c r="L34" t="b">
        <f t="shared" si="0"/>
        <v>0</v>
      </c>
    </row>
    <row r="35" spans="2:12" ht="18" x14ac:dyDescent="0.2">
      <c r="B35" s="12" t="s">
        <v>3</v>
      </c>
      <c r="C35" s="3">
        <v>398</v>
      </c>
      <c r="D35" s="3">
        <v>21323</v>
      </c>
      <c r="E35" s="3">
        <v>20926</v>
      </c>
      <c r="F35" s="20">
        <f t="shared" si="1"/>
        <v>0.98138160671575292</v>
      </c>
      <c r="G35" s="3">
        <v>17911</v>
      </c>
      <c r="H35" s="3">
        <v>18929528</v>
      </c>
      <c r="I35" s="26">
        <v>310</v>
      </c>
      <c r="J35" s="3"/>
      <c r="K35" s="3">
        <v>12</v>
      </c>
      <c r="L35" t="b">
        <f t="shared" si="0"/>
        <v>1</v>
      </c>
    </row>
    <row r="36" spans="2:12" ht="18" x14ac:dyDescent="0.2">
      <c r="B36" s="12" t="s">
        <v>4</v>
      </c>
      <c r="C36" s="3">
        <v>115</v>
      </c>
      <c r="D36" s="3">
        <v>802</v>
      </c>
      <c r="E36" s="3">
        <v>680</v>
      </c>
      <c r="F36" s="20">
        <f t="shared" si="1"/>
        <v>0.84788029925187036</v>
      </c>
      <c r="G36" s="3">
        <v>0</v>
      </c>
      <c r="H36" s="3">
        <v>4925</v>
      </c>
      <c r="I36" s="26">
        <v>11</v>
      </c>
      <c r="J36" s="3"/>
      <c r="K36" s="3">
        <v>134</v>
      </c>
      <c r="L36" t="b">
        <f t="shared" si="0"/>
        <v>1</v>
      </c>
    </row>
    <row r="37" spans="2:12" ht="18" x14ac:dyDescent="0.2">
      <c r="B37" s="12" t="s">
        <v>5</v>
      </c>
      <c r="C37" s="3">
        <v>151</v>
      </c>
      <c r="D37" s="3">
        <v>2042</v>
      </c>
      <c r="E37" s="3">
        <v>1672</v>
      </c>
      <c r="F37" s="20">
        <f t="shared" si="1"/>
        <v>0.81880509304603333</v>
      </c>
      <c r="G37" s="3">
        <v>1561</v>
      </c>
      <c r="H37" s="3">
        <v>304699440136</v>
      </c>
      <c r="I37" s="26">
        <v>31</v>
      </c>
      <c r="J37" s="3"/>
      <c r="K37" s="3">
        <v>42</v>
      </c>
      <c r="L37" t="b">
        <f t="shared" si="0"/>
        <v>1</v>
      </c>
    </row>
    <row r="38" spans="2:12" ht="18" x14ac:dyDescent="0.2">
      <c r="B38" s="2" t="s">
        <v>91</v>
      </c>
      <c r="C38" s="3">
        <v>73</v>
      </c>
      <c r="D38" s="3">
        <v>270</v>
      </c>
      <c r="E38" s="3">
        <v>198</v>
      </c>
      <c r="F38" s="20">
        <f t="shared" si="1"/>
        <v>0.73333333333333328</v>
      </c>
      <c r="G38" s="3">
        <v>0</v>
      </c>
      <c r="H38" s="3">
        <v>495</v>
      </c>
      <c r="I38" s="26">
        <v>5.4</v>
      </c>
      <c r="J38" s="3">
        <v>32342202</v>
      </c>
      <c r="K38" s="3">
        <v>17</v>
      </c>
      <c r="L38" t="b">
        <f t="shared" si="0"/>
        <v>0</v>
      </c>
    </row>
    <row r="39" spans="2:12" ht="18" x14ac:dyDescent="0.2">
      <c r="B39" s="2" t="s">
        <v>92</v>
      </c>
      <c r="C39" s="3">
        <v>155</v>
      </c>
      <c r="D39" s="3">
        <v>544</v>
      </c>
      <c r="E39" s="3">
        <v>390</v>
      </c>
      <c r="F39" s="20">
        <f t="shared" si="1"/>
        <v>0.71691176470588236</v>
      </c>
      <c r="G39" s="3">
        <v>0</v>
      </c>
      <c r="H39" s="3">
        <v>4835</v>
      </c>
      <c r="I39" s="26">
        <v>11</v>
      </c>
      <c r="J39" s="3">
        <v>2036518</v>
      </c>
      <c r="K39" s="3">
        <v>1783</v>
      </c>
      <c r="L39" t="b">
        <f t="shared" si="0"/>
        <v>0</v>
      </c>
    </row>
    <row r="40" spans="2:12" ht="18" x14ac:dyDescent="0.2">
      <c r="B40" s="2" t="s">
        <v>93</v>
      </c>
      <c r="C40" s="3">
        <v>39</v>
      </c>
      <c r="D40" s="3">
        <v>201</v>
      </c>
      <c r="E40" s="3">
        <v>163</v>
      </c>
      <c r="F40" s="20">
        <f t="shared" si="1"/>
        <v>0.81094527363184077</v>
      </c>
      <c r="G40" s="3">
        <v>0</v>
      </c>
      <c r="H40" s="3">
        <v>421</v>
      </c>
      <c r="I40" s="26">
        <v>4.2</v>
      </c>
      <c r="J40" s="3">
        <v>2684481412</v>
      </c>
      <c r="K40" s="3">
        <v>13</v>
      </c>
      <c r="L40" t="b">
        <f t="shared" si="0"/>
        <v>1</v>
      </c>
    </row>
    <row r="41" spans="2:12" ht="18" x14ac:dyDescent="0.2">
      <c r="B41" s="2" t="s">
        <v>94</v>
      </c>
      <c r="C41" s="3">
        <v>115</v>
      </c>
      <c r="D41" s="3">
        <v>562</v>
      </c>
      <c r="E41" s="3">
        <v>446</v>
      </c>
      <c r="F41" s="20">
        <f t="shared" si="1"/>
        <v>0.79359430604982206</v>
      </c>
      <c r="G41" s="3">
        <v>38</v>
      </c>
      <c r="H41" s="3">
        <v>14513</v>
      </c>
      <c r="I41" s="26">
        <v>12</v>
      </c>
      <c r="J41" s="3">
        <v>4142726</v>
      </c>
      <c r="K41" s="3">
        <v>18</v>
      </c>
      <c r="L41" t="b">
        <f t="shared" si="0"/>
        <v>1</v>
      </c>
    </row>
    <row r="42" spans="2:12" ht="18" x14ac:dyDescent="0.2">
      <c r="B42" s="2" t="s">
        <v>95</v>
      </c>
      <c r="C42" s="3">
        <v>39</v>
      </c>
      <c r="D42" s="3">
        <v>170</v>
      </c>
      <c r="E42" s="3">
        <v>132</v>
      </c>
      <c r="F42" s="20">
        <f t="shared" si="1"/>
        <v>0.77647058823529413</v>
      </c>
      <c r="G42" s="3">
        <v>0</v>
      </c>
      <c r="H42" s="3">
        <v>241</v>
      </c>
      <c r="I42" s="26">
        <v>3.7</v>
      </c>
      <c r="J42" s="3">
        <v>1503084843</v>
      </c>
      <c r="K42" s="3">
        <v>13</v>
      </c>
      <c r="L42" t="b">
        <f t="shared" si="0"/>
        <v>1</v>
      </c>
    </row>
    <row r="43" spans="2:12" ht="18" x14ac:dyDescent="0.2">
      <c r="B43" s="2" t="s">
        <v>96</v>
      </c>
      <c r="C43" s="3">
        <v>36</v>
      </c>
      <c r="D43" s="3">
        <v>158</v>
      </c>
      <c r="E43" s="3">
        <v>123</v>
      </c>
      <c r="F43" s="20">
        <f t="shared" si="1"/>
        <v>0.77848101265822789</v>
      </c>
      <c r="G43" s="3">
        <v>0</v>
      </c>
      <c r="H43" s="3">
        <v>228</v>
      </c>
      <c r="I43" s="26">
        <v>3.4</v>
      </c>
      <c r="J43" s="3">
        <v>1502953667</v>
      </c>
      <c r="K43" s="3">
        <v>13</v>
      </c>
      <c r="L43" t="b">
        <f t="shared" si="0"/>
        <v>1</v>
      </c>
    </row>
    <row r="44" spans="2:12" ht="18" x14ac:dyDescent="0.2">
      <c r="B44" s="2" t="s">
        <v>97</v>
      </c>
      <c r="C44" s="3">
        <v>43</v>
      </c>
      <c r="D44" s="3">
        <v>379</v>
      </c>
      <c r="E44" s="3">
        <v>337</v>
      </c>
      <c r="F44" s="20">
        <f t="shared" si="1"/>
        <v>0.8891820580474934</v>
      </c>
      <c r="G44" s="3">
        <v>0</v>
      </c>
      <c r="H44" s="3">
        <v>732</v>
      </c>
      <c r="I44" s="26">
        <v>8.1</v>
      </c>
      <c r="J44" s="3">
        <v>16827390</v>
      </c>
      <c r="K44" s="3">
        <v>13</v>
      </c>
      <c r="L44" t="b">
        <f t="shared" si="0"/>
        <v>1</v>
      </c>
    </row>
    <row r="45" spans="2:12" ht="18" x14ac:dyDescent="0.2">
      <c r="B45" s="2" t="s">
        <v>98</v>
      </c>
      <c r="C45" s="3">
        <v>35</v>
      </c>
      <c r="D45" s="3">
        <v>303</v>
      </c>
      <c r="E45" s="3">
        <v>269</v>
      </c>
      <c r="F45" s="20">
        <f t="shared" si="1"/>
        <v>0.88778877887788776</v>
      </c>
      <c r="G45" s="3">
        <v>0</v>
      </c>
      <c r="H45" s="3">
        <v>603</v>
      </c>
      <c r="I45" s="26">
        <v>6.5</v>
      </c>
      <c r="J45" s="3">
        <v>56543</v>
      </c>
      <c r="K45" s="3">
        <v>13</v>
      </c>
      <c r="L45" t="b">
        <f t="shared" si="0"/>
        <v>1</v>
      </c>
    </row>
    <row r="46" spans="2:12" ht="18" x14ac:dyDescent="0.2">
      <c r="B46" s="2" t="s">
        <v>99</v>
      </c>
      <c r="C46" s="3">
        <v>205</v>
      </c>
      <c r="D46" s="3">
        <v>845</v>
      </c>
      <c r="E46" s="3">
        <v>534</v>
      </c>
      <c r="F46" s="20">
        <f t="shared" si="1"/>
        <v>0.63195266272189354</v>
      </c>
      <c r="G46" s="3">
        <v>16</v>
      </c>
      <c r="H46" s="3">
        <v>315116</v>
      </c>
      <c r="I46" s="26">
        <v>13</v>
      </c>
      <c r="J46" s="3">
        <v>43807206</v>
      </c>
      <c r="K46" s="3">
        <v>69</v>
      </c>
      <c r="L46" t="b">
        <f t="shared" si="0"/>
        <v>0</v>
      </c>
    </row>
    <row r="47" spans="2:12" ht="18" x14ac:dyDescent="0.2">
      <c r="B47" s="2" t="s">
        <v>100</v>
      </c>
      <c r="C47" s="3">
        <v>30</v>
      </c>
      <c r="D47" s="3">
        <v>170</v>
      </c>
      <c r="E47" s="3">
        <v>141</v>
      </c>
      <c r="F47" s="20">
        <f t="shared" si="1"/>
        <v>0.8294117647058824</v>
      </c>
      <c r="G47" s="3">
        <v>0</v>
      </c>
      <c r="H47" s="3">
        <v>239</v>
      </c>
      <c r="I47" s="26">
        <v>3.7</v>
      </c>
      <c r="J47" s="3">
        <v>368206583</v>
      </c>
      <c r="K47" s="3">
        <v>13</v>
      </c>
      <c r="L47" t="b">
        <f t="shared" si="0"/>
        <v>1</v>
      </c>
    </row>
    <row r="48" spans="2:12" ht="18" x14ac:dyDescent="0.2">
      <c r="B48" s="4" t="s">
        <v>158</v>
      </c>
      <c r="C48" s="3">
        <v>143</v>
      </c>
      <c r="D48" s="3">
        <v>659</v>
      </c>
      <c r="E48" s="3">
        <v>515</v>
      </c>
      <c r="F48" s="20">
        <f t="shared" si="1"/>
        <v>0.78148710166919577</v>
      </c>
      <c r="G48" s="3">
        <v>90</v>
      </c>
      <c r="H48" s="3">
        <v>2450</v>
      </c>
      <c r="I48" s="26"/>
      <c r="J48" s="3"/>
      <c r="K48" s="3"/>
      <c r="L48" t="b">
        <f t="shared" si="0"/>
        <v>1</v>
      </c>
    </row>
    <row r="49" spans="2:12" ht="18" x14ac:dyDescent="0.2">
      <c r="B49" s="2" t="s">
        <v>101</v>
      </c>
      <c r="C49" s="3">
        <v>42</v>
      </c>
      <c r="D49" s="3">
        <v>239</v>
      </c>
      <c r="E49" s="3">
        <v>198</v>
      </c>
      <c r="F49" s="20">
        <f t="shared" si="1"/>
        <v>0.82845188284518834</v>
      </c>
      <c r="G49" s="3">
        <v>0</v>
      </c>
      <c r="H49" s="3">
        <v>434</v>
      </c>
      <c r="I49" s="26">
        <v>4.8</v>
      </c>
      <c r="J49" s="3">
        <v>161904699</v>
      </c>
      <c r="K49" s="3">
        <v>13</v>
      </c>
      <c r="L49" t="b">
        <f t="shared" si="0"/>
        <v>1</v>
      </c>
    </row>
    <row r="50" spans="2:12" ht="18" x14ac:dyDescent="0.2">
      <c r="B50" s="2" t="s">
        <v>102</v>
      </c>
      <c r="C50" s="3">
        <v>42</v>
      </c>
      <c r="D50" s="3">
        <v>252</v>
      </c>
      <c r="E50" s="3">
        <v>211</v>
      </c>
      <c r="F50" s="20">
        <f t="shared" si="1"/>
        <v>0.83730158730158732</v>
      </c>
      <c r="G50" s="3">
        <v>0</v>
      </c>
      <c r="H50" s="3">
        <v>437</v>
      </c>
      <c r="I50" s="26">
        <v>5.0999999999999996</v>
      </c>
      <c r="J50" s="3">
        <v>27427576</v>
      </c>
      <c r="K50" s="3">
        <v>13</v>
      </c>
      <c r="L50" t="b">
        <f t="shared" si="0"/>
        <v>1</v>
      </c>
    </row>
    <row r="58" spans="2:12" ht="38" x14ac:dyDescent="0.2">
      <c r="C58" s="30" t="s">
        <v>127</v>
      </c>
      <c r="D58" s="30" t="s">
        <v>135</v>
      </c>
      <c r="E58" s="30" t="s">
        <v>134</v>
      </c>
      <c r="F58" s="30" t="s">
        <v>133</v>
      </c>
      <c r="G58" s="30" t="s">
        <v>132</v>
      </c>
    </row>
    <row r="59" spans="2:12" ht="18" x14ac:dyDescent="0.2">
      <c r="B59" s="12" t="s">
        <v>115</v>
      </c>
      <c r="C59" s="26">
        <v>2.6</v>
      </c>
      <c r="D59" s="32">
        <v>1.28125</v>
      </c>
      <c r="E59" s="32">
        <v>27</v>
      </c>
      <c r="F59" s="3">
        <v>5</v>
      </c>
      <c r="G59" s="33">
        <v>4.0099999999999999E-4</v>
      </c>
    </row>
    <row r="60" spans="2:12" ht="18" x14ac:dyDescent="0.2">
      <c r="B60" s="12" t="s">
        <v>116</v>
      </c>
      <c r="C60" s="26">
        <v>36</v>
      </c>
      <c r="D60" s="32">
        <v>25.078125</v>
      </c>
      <c r="E60" s="32">
        <v>18.5625</v>
      </c>
      <c r="F60" s="3">
        <v>32</v>
      </c>
      <c r="G60" s="33">
        <v>4.1199999999999999E-4</v>
      </c>
    </row>
    <row r="61" spans="2:12" ht="18" x14ac:dyDescent="0.2">
      <c r="B61" s="12" t="s">
        <v>117</v>
      </c>
      <c r="C61" s="26">
        <v>179</v>
      </c>
      <c r="D61" s="32">
        <v>65.765625</v>
      </c>
      <c r="E61" s="32">
        <v>11630.25</v>
      </c>
      <c r="F61" s="3">
        <v>127</v>
      </c>
      <c r="G61" s="33">
        <v>3.79E-4</v>
      </c>
    </row>
    <row r="62" spans="2:12" ht="18" x14ac:dyDescent="0.2">
      <c r="B62" s="12" t="s">
        <v>118</v>
      </c>
      <c r="C62" s="26">
        <v>1.1000000000000001</v>
      </c>
      <c r="D62" s="32">
        <v>0.734375</v>
      </c>
      <c r="E62" s="32">
        <v>0</v>
      </c>
      <c r="F62" s="3">
        <v>9</v>
      </c>
      <c r="G62" s="33">
        <v>3.8400000000000001E-4</v>
      </c>
    </row>
    <row r="63" spans="2:12" ht="18" x14ac:dyDescent="0.2">
      <c r="B63" s="58" t="s">
        <v>156</v>
      </c>
      <c r="C63" s="26"/>
      <c r="D63" s="32"/>
      <c r="E63" s="32"/>
      <c r="F63" s="3"/>
      <c r="G63" s="33"/>
    </row>
    <row r="64" spans="2:12" ht="18" x14ac:dyDescent="0.2">
      <c r="B64" s="12" t="s">
        <v>119</v>
      </c>
      <c r="C64" s="26">
        <v>70</v>
      </c>
      <c r="D64" s="32">
        <v>48.1875</v>
      </c>
      <c r="E64" s="32">
        <v>4.21875</v>
      </c>
      <c r="F64" s="3">
        <v>76</v>
      </c>
      <c r="G64" s="33">
        <v>3.79E-4</v>
      </c>
    </row>
    <row r="65" spans="2:7" ht="18" x14ac:dyDescent="0.2">
      <c r="B65" s="12" t="s">
        <v>120</v>
      </c>
      <c r="C65" s="26">
        <v>310</v>
      </c>
      <c r="D65" s="32">
        <v>46.296875</v>
      </c>
      <c r="E65" s="32">
        <v>291385.0078125</v>
      </c>
      <c r="F65" s="3">
        <v>107</v>
      </c>
      <c r="G65" s="33">
        <v>4.08E-4</v>
      </c>
    </row>
    <row r="66" spans="2:7" ht="18" x14ac:dyDescent="0.2">
      <c r="B66" s="12" t="s">
        <v>121</v>
      </c>
      <c r="C66" s="26">
        <v>11</v>
      </c>
      <c r="D66" s="32">
        <v>7.390625</v>
      </c>
      <c r="E66" s="32">
        <v>0</v>
      </c>
      <c r="F66" s="3">
        <v>14</v>
      </c>
      <c r="G66" s="33">
        <v>3.8099999999999999E-4</v>
      </c>
    </row>
    <row r="67" spans="2:7" ht="18" x14ac:dyDescent="0.2">
      <c r="B67" s="12" t="s">
        <v>122</v>
      </c>
      <c r="C67" s="26">
        <v>31</v>
      </c>
      <c r="D67" s="32">
        <v>4.734375</v>
      </c>
      <c r="E67" s="32">
        <v>2877.1875</v>
      </c>
      <c r="F67" s="3">
        <v>28</v>
      </c>
      <c r="G67" s="33">
        <v>3.9100000000000002E-4</v>
      </c>
    </row>
    <row r="68" spans="2:7" ht="18" x14ac:dyDescent="0.2">
      <c r="B68" s="12" t="s">
        <v>0</v>
      </c>
      <c r="C68" s="26">
        <v>2.6</v>
      </c>
      <c r="D68" s="32">
        <v>1.28125</v>
      </c>
      <c r="E68" s="32">
        <v>27</v>
      </c>
      <c r="F68" s="3">
        <v>7</v>
      </c>
      <c r="G68" s="33">
        <v>4.0099999999999999E-4</v>
      </c>
    </row>
    <row r="69" spans="2:7" ht="18" x14ac:dyDescent="0.2">
      <c r="B69" s="12" t="s">
        <v>1</v>
      </c>
      <c r="C69" s="26">
        <v>1.2</v>
      </c>
      <c r="D69" s="32">
        <v>0.796875</v>
      </c>
      <c r="E69" s="32">
        <v>0</v>
      </c>
      <c r="F69" s="3">
        <v>7</v>
      </c>
      <c r="G69" s="33">
        <v>6.0099999999999997E-4</v>
      </c>
    </row>
    <row r="70" spans="2:7" ht="18" x14ac:dyDescent="0.2">
      <c r="B70" s="58" t="s">
        <v>157</v>
      </c>
      <c r="C70" s="26"/>
      <c r="D70" s="32"/>
      <c r="E70" s="32"/>
      <c r="F70" s="3"/>
      <c r="G70" s="33"/>
    </row>
    <row r="71" spans="2:7" ht="18" x14ac:dyDescent="0.2">
      <c r="B71" s="12" t="s">
        <v>2</v>
      </c>
      <c r="C71" s="26">
        <v>70</v>
      </c>
      <c r="D71" s="32">
        <v>48.1875</v>
      </c>
      <c r="E71" s="32">
        <v>4.21875</v>
      </c>
      <c r="F71" s="3">
        <v>61</v>
      </c>
      <c r="G71" s="33">
        <v>3.7800000000000003E-4</v>
      </c>
    </row>
    <row r="72" spans="2:7" ht="18" x14ac:dyDescent="0.2">
      <c r="B72" s="12" t="s">
        <v>3</v>
      </c>
      <c r="C72" s="26">
        <v>310</v>
      </c>
      <c r="D72" s="32">
        <v>46.296875</v>
      </c>
      <c r="E72" s="32">
        <v>291385.0078125</v>
      </c>
      <c r="F72" s="3">
        <v>100</v>
      </c>
      <c r="G72" s="33">
        <v>4.08E-4</v>
      </c>
    </row>
    <row r="73" spans="2:7" ht="18" x14ac:dyDescent="0.2">
      <c r="B73" s="12" t="s">
        <v>4</v>
      </c>
      <c r="C73" s="26">
        <v>11</v>
      </c>
      <c r="D73" s="32">
        <v>7.390625</v>
      </c>
      <c r="E73" s="32">
        <v>0</v>
      </c>
      <c r="F73" s="3">
        <v>16</v>
      </c>
      <c r="G73" s="33">
        <v>3.8200000000000002E-4</v>
      </c>
    </row>
    <row r="74" spans="2:7" ht="18" x14ac:dyDescent="0.2">
      <c r="B74" s="12" t="s">
        <v>5</v>
      </c>
      <c r="C74" s="26">
        <v>31</v>
      </c>
      <c r="D74" s="32">
        <v>4.84375</v>
      </c>
      <c r="E74" s="32">
        <v>2621.71875</v>
      </c>
      <c r="F74" s="3">
        <v>23</v>
      </c>
      <c r="G74" s="33">
        <v>5.7200000000000003E-4</v>
      </c>
    </row>
    <row r="75" spans="2:7" ht="18" x14ac:dyDescent="0.2">
      <c r="B75" s="2" t="s">
        <v>91</v>
      </c>
      <c r="C75" s="26">
        <v>5.4</v>
      </c>
      <c r="D75" s="32">
        <v>3.90625</v>
      </c>
      <c r="E75" s="32">
        <v>4.6875E-2</v>
      </c>
      <c r="F75" s="3">
        <v>3</v>
      </c>
      <c r="G75" s="33">
        <v>3.9300000000000001E-4</v>
      </c>
    </row>
    <row r="76" spans="2:7" ht="18" x14ac:dyDescent="0.2">
      <c r="B76" s="2" t="s">
        <v>92</v>
      </c>
      <c r="C76" s="26">
        <v>11</v>
      </c>
      <c r="D76" s="32">
        <v>7.90625</v>
      </c>
      <c r="E76" s="32">
        <v>4.6875E-2</v>
      </c>
      <c r="F76" s="3">
        <v>16</v>
      </c>
      <c r="G76" s="33">
        <v>3.7199999999999999E-4</v>
      </c>
    </row>
    <row r="77" spans="2:7" ht="18" x14ac:dyDescent="0.2">
      <c r="B77" s="2" t="s">
        <v>93</v>
      </c>
      <c r="C77" s="26">
        <v>4.2</v>
      </c>
      <c r="D77" s="32">
        <v>2.921875</v>
      </c>
      <c r="E77" s="32">
        <v>4.6875E-2</v>
      </c>
      <c r="F77" s="3">
        <v>23</v>
      </c>
      <c r="G77" s="33">
        <v>3.8000000000000002E-4</v>
      </c>
    </row>
    <row r="78" spans="2:7" ht="18" x14ac:dyDescent="0.2">
      <c r="B78" s="2" t="s">
        <v>94</v>
      </c>
      <c r="C78" s="26">
        <v>12</v>
      </c>
      <c r="D78" s="32">
        <v>7.71875</v>
      </c>
      <c r="E78" s="32">
        <v>6.5625</v>
      </c>
      <c r="F78" s="3">
        <v>9</v>
      </c>
      <c r="G78" s="33">
        <v>3.7800000000000003E-4</v>
      </c>
    </row>
    <row r="79" spans="2:7" ht="18" x14ac:dyDescent="0.2">
      <c r="B79" s="2" t="s">
        <v>95</v>
      </c>
      <c r="C79" s="26">
        <v>3.7</v>
      </c>
      <c r="D79" s="32">
        <v>2.59375</v>
      </c>
      <c r="E79" s="32">
        <v>4.6875E-2</v>
      </c>
      <c r="F79" s="3">
        <v>6</v>
      </c>
      <c r="G79" s="33">
        <v>4.1599999999999997E-4</v>
      </c>
    </row>
    <row r="80" spans="2:7" ht="18" x14ac:dyDescent="0.2">
      <c r="B80" s="2" t="s">
        <v>96</v>
      </c>
      <c r="C80" s="26">
        <v>3.4</v>
      </c>
      <c r="D80" s="32">
        <v>2.390625</v>
      </c>
      <c r="E80" s="32">
        <v>4.6875E-2</v>
      </c>
      <c r="F80" s="3">
        <v>11</v>
      </c>
      <c r="G80" s="33">
        <v>3.9300000000000001E-4</v>
      </c>
    </row>
    <row r="81" spans="2:7" ht="18" x14ac:dyDescent="0.2">
      <c r="B81" s="2" t="s">
        <v>97</v>
      </c>
      <c r="C81" s="26">
        <v>8.1</v>
      </c>
      <c r="D81" s="32">
        <v>5.75</v>
      </c>
      <c r="E81" s="32">
        <v>4.6875E-2</v>
      </c>
      <c r="F81" s="3">
        <v>10</v>
      </c>
      <c r="G81" s="33">
        <v>4.2900000000000002E-4</v>
      </c>
    </row>
    <row r="82" spans="2:7" ht="18" x14ac:dyDescent="0.2">
      <c r="B82" s="2" t="s">
        <v>98</v>
      </c>
      <c r="C82" s="26">
        <v>6.5</v>
      </c>
      <c r="D82" s="32">
        <v>4.5625</v>
      </c>
      <c r="E82" s="32">
        <v>4.6875E-2</v>
      </c>
      <c r="F82" s="3">
        <v>22</v>
      </c>
      <c r="G82" s="33">
        <v>5.4900000000000001E-4</v>
      </c>
    </row>
    <row r="83" spans="2:7" ht="18" x14ac:dyDescent="0.2">
      <c r="B83" s="2" t="s">
        <v>99</v>
      </c>
      <c r="C83" s="26">
        <v>13</v>
      </c>
      <c r="D83" s="32">
        <v>8.609375</v>
      </c>
      <c r="E83" s="32">
        <v>1.40625</v>
      </c>
      <c r="F83" s="3">
        <v>14</v>
      </c>
      <c r="G83" s="33">
        <v>3.8999999999999999E-4</v>
      </c>
    </row>
    <row r="84" spans="2:7" ht="18" x14ac:dyDescent="0.2">
      <c r="B84" s="2" t="s">
        <v>100</v>
      </c>
      <c r="C84" s="26">
        <v>3.7</v>
      </c>
      <c r="D84" s="32">
        <v>2.609375</v>
      </c>
      <c r="E84" s="32">
        <v>4.6875E-2</v>
      </c>
      <c r="F84" s="3">
        <v>3</v>
      </c>
      <c r="G84" s="33">
        <v>3.9100000000000002E-4</v>
      </c>
    </row>
    <row r="85" spans="2:7" ht="18" x14ac:dyDescent="0.2">
      <c r="B85" s="4" t="s">
        <v>158</v>
      </c>
      <c r="C85" s="26"/>
      <c r="D85" s="32"/>
      <c r="E85" s="32"/>
      <c r="F85" s="3"/>
      <c r="G85" s="33"/>
    </row>
    <row r="86" spans="2:7" ht="18" x14ac:dyDescent="0.2">
      <c r="B86" s="2" t="s">
        <v>101</v>
      </c>
      <c r="C86" s="26">
        <v>4.8</v>
      </c>
      <c r="D86" s="32">
        <v>3.421875</v>
      </c>
      <c r="E86" s="32">
        <v>4.6875E-2</v>
      </c>
      <c r="F86" s="3">
        <v>3</v>
      </c>
      <c r="G86" s="33">
        <v>3.9100000000000002E-4</v>
      </c>
    </row>
    <row r="87" spans="2:7" ht="18" x14ac:dyDescent="0.2">
      <c r="B87" s="2" t="s">
        <v>102</v>
      </c>
      <c r="C87" s="26">
        <v>5.0999999999999996</v>
      </c>
      <c r="D87" s="32">
        <v>3.609375</v>
      </c>
      <c r="E87" s="32">
        <v>4.6875E-2</v>
      </c>
      <c r="F87" s="3">
        <v>30</v>
      </c>
      <c r="G87" s="33">
        <v>3.9100000000000002E-4</v>
      </c>
    </row>
    <row r="90" spans="2:7" ht="38" x14ac:dyDescent="0.2">
      <c r="C90" s="30" t="s">
        <v>127</v>
      </c>
      <c r="D90" s="30" t="s">
        <v>135</v>
      </c>
      <c r="E90" s="30" t="s">
        <v>134</v>
      </c>
      <c r="F90" s="30" t="s">
        <v>133</v>
      </c>
      <c r="G90" s="30" t="s">
        <v>132</v>
      </c>
    </row>
    <row r="91" spans="2:7" ht="18" x14ac:dyDescent="0.2">
      <c r="B91" s="12" t="s">
        <v>115</v>
      </c>
      <c r="C91" s="26">
        <v>2.6</v>
      </c>
      <c r="D91" s="32">
        <v>1.28125</v>
      </c>
      <c r="E91" s="32">
        <v>27</v>
      </c>
      <c r="F91" s="3">
        <v>5</v>
      </c>
      <c r="G91" s="33"/>
    </row>
    <row r="92" spans="2:7" ht="18" x14ac:dyDescent="0.2">
      <c r="B92" s="12" t="s">
        <v>116</v>
      </c>
      <c r="C92" s="26">
        <v>36</v>
      </c>
      <c r="D92" s="32">
        <v>25.078125</v>
      </c>
      <c r="E92" s="32">
        <v>18.5625</v>
      </c>
      <c r="F92" s="3">
        <v>32</v>
      </c>
      <c r="G92" s="33"/>
    </row>
    <row r="93" spans="2:7" ht="18" x14ac:dyDescent="0.2">
      <c r="B93" s="12" t="s">
        <v>117</v>
      </c>
      <c r="C93" s="26">
        <v>179</v>
      </c>
      <c r="D93" s="32">
        <v>65.765625</v>
      </c>
      <c r="E93" s="32">
        <v>11630.25</v>
      </c>
      <c r="F93" s="3">
        <v>127</v>
      </c>
      <c r="G93" s="33"/>
    </row>
    <row r="94" spans="2:7" ht="18" x14ac:dyDescent="0.2">
      <c r="B94" s="12" t="s">
        <v>118</v>
      </c>
      <c r="C94" s="26">
        <v>1.1000000000000001</v>
      </c>
      <c r="D94" s="32">
        <v>0.734375</v>
      </c>
      <c r="E94" s="32">
        <v>0</v>
      </c>
      <c r="F94" s="3">
        <v>9</v>
      </c>
      <c r="G94" s="33"/>
    </row>
    <row r="95" spans="2:7" ht="18" x14ac:dyDescent="0.2">
      <c r="B95" s="12" t="s">
        <v>119</v>
      </c>
      <c r="C95" s="26">
        <v>70</v>
      </c>
      <c r="D95" s="32">
        <v>48.1875</v>
      </c>
      <c r="E95" s="32">
        <v>4.21875</v>
      </c>
      <c r="F95" s="3">
        <v>76</v>
      </c>
      <c r="G95" s="33"/>
    </row>
    <row r="96" spans="2:7" ht="18" x14ac:dyDescent="0.2">
      <c r="B96" s="12" t="s">
        <v>120</v>
      </c>
      <c r="C96" s="26">
        <v>310</v>
      </c>
      <c r="D96" s="32">
        <v>46.296875</v>
      </c>
      <c r="E96" s="32">
        <v>291385.0078125</v>
      </c>
      <c r="F96" s="3">
        <v>107</v>
      </c>
      <c r="G96" s="33"/>
    </row>
    <row r="97" spans="2:7" ht="18" x14ac:dyDescent="0.2">
      <c r="B97" s="12" t="s">
        <v>121</v>
      </c>
      <c r="C97" s="26">
        <v>11</v>
      </c>
      <c r="D97" s="32">
        <v>7.390625</v>
      </c>
      <c r="E97" s="32">
        <v>0</v>
      </c>
      <c r="F97" s="3">
        <v>14</v>
      </c>
      <c r="G97" s="33"/>
    </row>
    <row r="98" spans="2:7" ht="18" x14ac:dyDescent="0.2">
      <c r="B98" s="12" t="s">
        <v>122</v>
      </c>
      <c r="C98" s="26">
        <v>31</v>
      </c>
      <c r="D98" s="32">
        <v>4.734375</v>
      </c>
      <c r="E98" s="32">
        <v>2877.1875</v>
      </c>
      <c r="F98" s="3">
        <v>28</v>
      </c>
      <c r="G98" s="33"/>
    </row>
    <row r="99" spans="2:7" ht="18" x14ac:dyDescent="0.2">
      <c r="B99" s="12" t="s">
        <v>0</v>
      </c>
      <c r="C99" s="26">
        <v>2.6</v>
      </c>
      <c r="D99" s="32">
        <v>1.28125</v>
      </c>
      <c r="E99" s="32">
        <v>27</v>
      </c>
      <c r="F99" s="3">
        <v>7</v>
      </c>
      <c r="G99" s="33"/>
    </row>
    <row r="100" spans="2:7" ht="18" x14ac:dyDescent="0.2">
      <c r="B100" s="12" t="s">
        <v>1</v>
      </c>
      <c r="C100" s="26">
        <v>1.2</v>
      </c>
      <c r="D100" s="32">
        <v>0.796875</v>
      </c>
      <c r="E100" s="32">
        <v>0</v>
      </c>
      <c r="F100" s="3">
        <v>7</v>
      </c>
      <c r="G100" s="33"/>
    </row>
    <row r="101" spans="2:7" ht="18" x14ac:dyDescent="0.2">
      <c r="B101" s="12" t="s">
        <v>2</v>
      </c>
      <c r="C101" s="26">
        <v>70</v>
      </c>
      <c r="D101" s="32">
        <v>48.1875</v>
      </c>
      <c r="E101" s="32">
        <v>4.21875</v>
      </c>
      <c r="F101" s="3">
        <v>61</v>
      </c>
      <c r="G101" s="33"/>
    </row>
    <row r="102" spans="2:7" ht="18" x14ac:dyDescent="0.2">
      <c r="B102" s="12" t="s">
        <v>3</v>
      </c>
      <c r="C102" s="26">
        <v>310</v>
      </c>
      <c r="D102" s="32">
        <v>46.296875</v>
      </c>
      <c r="E102" s="32">
        <v>291385.0078125</v>
      </c>
      <c r="F102" s="3">
        <v>100</v>
      </c>
      <c r="G102" s="33"/>
    </row>
    <row r="103" spans="2:7" ht="18" x14ac:dyDescent="0.2">
      <c r="B103" s="12" t="s">
        <v>4</v>
      </c>
      <c r="C103" s="26">
        <v>11</v>
      </c>
      <c r="D103" s="32">
        <v>7.390625</v>
      </c>
      <c r="E103" s="32">
        <v>0</v>
      </c>
      <c r="F103" s="3">
        <v>16</v>
      </c>
      <c r="G103" s="33"/>
    </row>
    <row r="104" spans="2:7" ht="18" x14ac:dyDescent="0.2">
      <c r="B104" s="12" t="s">
        <v>5</v>
      </c>
      <c r="C104" s="26">
        <v>31</v>
      </c>
      <c r="D104" s="32">
        <v>4.84375</v>
      </c>
      <c r="E104" s="32">
        <v>2621.71875</v>
      </c>
      <c r="F104" s="3">
        <v>23</v>
      </c>
      <c r="G104" s="33"/>
    </row>
    <row r="105" spans="2:7" ht="18" x14ac:dyDescent="0.2">
      <c r="B105" s="2" t="s">
        <v>91</v>
      </c>
      <c r="C105" s="26">
        <v>5.4</v>
      </c>
      <c r="D105" s="32">
        <v>3.90625</v>
      </c>
      <c r="E105" s="32">
        <v>4.6875E-2</v>
      </c>
      <c r="F105" s="3">
        <v>3</v>
      </c>
      <c r="G105" s="33">
        <v>3.9300000000000001E-4</v>
      </c>
    </row>
    <row r="106" spans="2:7" ht="18" x14ac:dyDescent="0.2">
      <c r="B106" s="2" t="s">
        <v>92</v>
      </c>
      <c r="C106" s="26">
        <v>11</v>
      </c>
      <c r="D106" s="32">
        <v>7.90625</v>
      </c>
      <c r="E106" s="32">
        <v>4.6875E-2</v>
      </c>
      <c r="F106" s="3">
        <v>16</v>
      </c>
      <c r="G106" s="33">
        <v>3.7199999999999999E-4</v>
      </c>
    </row>
    <row r="107" spans="2:7" ht="18" x14ac:dyDescent="0.2">
      <c r="B107" s="2" t="s">
        <v>93</v>
      </c>
      <c r="C107" s="26">
        <v>4.2</v>
      </c>
      <c r="D107" s="32">
        <v>2.921875</v>
      </c>
      <c r="E107" s="32">
        <v>4.6875E-2</v>
      </c>
      <c r="F107" s="3">
        <v>23</v>
      </c>
      <c r="G107" s="33">
        <v>3.8000000000000002E-4</v>
      </c>
    </row>
    <row r="108" spans="2:7" ht="18" x14ac:dyDescent="0.2">
      <c r="B108" s="2" t="s">
        <v>94</v>
      </c>
      <c r="C108" s="26">
        <v>12</v>
      </c>
      <c r="D108" s="32">
        <v>7.71875</v>
      </c>
      <c r="E108" s="32">
        <v>6.5625</v>
      </c>
      <c r="F108" s="3">
        <v>9</v>
      </c>
      <c r="G108" s="33">
        <v>3.7800000000000003E-4</v>
      </c>
    </row>
    <row r="109" spans="2:7" ht="18" x14ac:dyDescent="0.2">
      <c r="B109" s="2" t="s">
        <v>95</v>
      </c>
      <c r="C109" s="26">
        <v>3.7</v>
      </c>
      <c r="D109" s="32">
        <v>2.59375</v>
      </c>
      <c r="E109" s="32">
        <v>4.6875E-2</v>
      </c>
      <c r="F109" s="3">
        <v>6</v>
      </c>
      <c r="G109" s="33">
        <v>4.1599999999999997E-4</v>
      </c>
    </row>
    <row r="110" spans="2:7" ht="18" x14ac:dyDescent="0.2">
      <c r="B110" s="2" t="s">
        <v>96</v>
      </c>
      <c r="C110" s="26">
        <v>3.4</v>
      </c>
      <c r="D110" s="32">
        <v>2.390625</v>
      </c>
      <c r="E110" s="32">
        <v>4.6875E-2</v>
      </c>
      <c r="F110" s="3">
        <v>11</v>
      </c>
      <c r="G110" s="33">
        <v>3.9300000000000001E-4</v>
      </c>
    </row>
    <row r="111" spans="2:7" ht="18" x14ac:dyDescent="0.2">
      <c r="B111" s="2" t="s">
        <v>97</v>
      </c>
      <c r="C111" s="26">
        <v>8.1</v>
      </c>
      <c r="D111" s="32">
        <v>5.75</v>
      </c>
      <c r="E111" s="32">
        <v>4.6875E-2</v>
      </c>
      <c r="F111" s="3">
        <v>10</v>
      </c>
      <c r="G111" s="33">
        <v>4.2900000000000002E-4</v>
      </c>
    </row>
    <row r="112" spans="2:7" ht="18" x14ac:dyDescent="0.2">
      <c r="B112" s="2" t="s">
        <v>98</v>
      </c>
      <c r="C112" s="26">
        <v>6.5</v>
      </c>
      <c r="D112" s="32">
        <v>4.5625</v>
      </c>
      <c r="E112" s="32">
        <v>4.6875E-2</v>
      </c>
      <c r="F112" s="3">
        <v>22</v>
      </c>
      <c r="G112" s="33">
        <v>5.4900000000000001E-4</v>
      </c>
    </row>
    <row r="113" spans="2:7" ht="18" x14ac:dyDescent="0.2">
      <c r="B113" s="2" t="s">
        <v>99</v>
      </c>
      <c r="C113" s="26">
        <v>13</v>
      </c>
      <c r="D113" s="32">
        <v>8.609375</v>
      </c>
      <c r="E113" s="32">
        <v>1.40625</v>
      </c>
      <c r="F113" s="3">
        <v>14</v>
      </c>
      <c r="G113" s="33">
        <v>3.8999999999999999E-4</v>
      </c>
    </row>
    <row r="114" spans="2:7" ht="18" x14ac:dyDescent="0.2">
      <c r="B114" s="2" t="s">
        <v>100</v>
      </c>
      <c r="C114" s="26">
        <v>3.7</v>
      </c>
      <c r="D114" s="32">
        <v>2.609375</v>
      </c>
      <c r="E114" s="32">
        <v>4.6875E-2</v>
      </c>
      <c r="F114" s="3">
        <v>3</v>
      </c>
      <c r="G114" s="33">
        <v>3.9100000000000002E-4</v>
      </c>
    </row>
    <row r="115" spans="2:7" ht="18" x14ac:dyDescent="0.2">
      <c r="B115" s="4" t="s">
        <v>158</v>
      </c>
      <c r="C115" s="26"/>
      <c r="D115" s="32"/>
      <c r="E115" s="32"/>
      <c r="F115" s="3"/>
      <c r="G115" s="33"/>
    </row>
    <row r="116" spans="2:7" ht="18" x14ac:dyDescent="0.2">
      <c r="B116" s="2" t="s">
        <v>101</v>
      </c>
      <c r="C116" s="26">
        <v>4.8</v>
      </c>
      <c r="D116" s="32">
        <v>3.421875</v>
      </c>
      <c r="E116" s="32">
        <v>4.6875E-2</v>
      </c>
      <c r="F116" s="3">
        <v>3</v>
      </c>
      <c r="G116" s="33">
        <v>3.9100000000000002E-4</v>
      </c>
    </row>
    <row r="117" spans="2:7" ht="18" x14ac:dyDescent="0.2">
      <c r="B117" s="2" t="s">
        <v>102</v>
      </c>
      <c r="C117" s="26">
        <v>5.0999999999999996</v>
      </c>
      <c r="D117" s="32">
        <v>3.609375</v>
      </c>
      <c r="E117" s="32">
        <v>4.6875E-2</v>
      </c>
      <c r="F117" s="3">
        <v>30</v>
      </c>
      <c r="G117" s="33">
        <v>3.9100000000000002E-4</v>
      </c>
    </row>
  </sheetData>
  <mergeCells count="2">
    <mergeCell ref="D2:E2"/>
    <mergeCell ref="C2:C3"/>
  </mergeCells>
  <conditionalFormatting sqref="L22:L50">
    <cfRule type="cellIs" dxfId="1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D338-1764-6C49-88FF-A1097ACEBC60}">
  <dimension ref="A1:K65"/>
  <sheetViews>
    <sheetView zoomScaleNormal="70" workbookViewId="0">
      <selection activeCell="E22" sqref="E22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1" width="11.6640625" style="1" bestFit="1" customWidth="1"/>
    <col min="12" max="16384" width="10.83203125" style="1"/>
  </cols>
  <sheetData>
    <row r="1" spans="1:7" x14ac:dyDescent="0.2">
      <c r="A1" s="2" t="s">
        <v>103</v>
      </c>
      <c r="B1" s="2" t="s">
        <v>86</v>
      </c>
      <c r="C1" s="2" t="s">
        <v>111</v>
      </c>
      <c r="D1" s="2" t="s">
        <v>112</v>
      </c>
      <c r="E1" s="2" t="s">
        <v>109</v>
      </c>
      <c r="F1" s="2" t="s">
        <v>110</v>
      </c>
    </row>
    <row r="2" spans="1:7" x14ac:dyDescent="0.2">
      <c r="A2" s="12" t="s">
        <v>115</v>
      </c>
      <c r="B2" s="3">
        <v>32869</v>
      </c>
      <c r="C2" s="5">
        <v>56219</v>
      </c>
      <c r="D2" s="3">
        <v>702600</v>
      </c>
      <c r="E2" s="5">
        <v>57006</v>
      </c>
      <c r="F2" s="5">
        <v>63658</v>
      </c>
    </row>
    <row r="3" spans="1:7" x14ac:dyDescent="0.2">
      <c r="A3" s="12" t="s">
        <v>116</v>
      </c>
      <c r="B3" s="3">
        <v>25970</v>
      </c>
      <c r="C3" s="5">
        <v>42521</v>
      </c>
      <c r="D3" s="5">
        <v>68627</v>
      </c>
      <c r="E3" s="5">
        <v>44332</v>
      </c>
      <c r="F3" s="5">
        <v>44415</v>
      </c>
    </row>
    <row r="4" spans="1:7" x14ac:dyDescent="0.2">
      <c r="A4" s="12" t="s">
        <v>117</v>
      </c>
      <c r="B4" s="3">
        <v>39798</v>
      </c>
      <c r="C4" s="5">
        <v>100657</v>
      </c>
      <c r="D4" s="5">
        <v>112550</v>
      </c>
      <c r="E4" s="5">
        <v>102594</v>
      </c>
      <c r="F4" s="5">
        <v>102838</v>
      </c>
      <c r="G4" s="1" t="s">
        <v>105</v>
      </c>
    </row>
    <row r="5" spans="1:7" x14ac:dyDescent="0.2">
      <c r="A5" s="12" t="s">
        <v>118</v>
      </c>
      <c r="B5" s="3">
        <v>24488</v>
      </c>
      <c r="C5" s="5">
        <v>30012</v>
      </c>
      <c r="D5" s="5">
        <v>32098</v>
      </c>
      <c r="E5" s="5">
        <v>32201</v>
      </c>
      <c r="F5" s="5">
        <v>32125</v>
      </c>
      <c r="G5" s="1" t="s">
        <v>106</v>
      </c>
    </row>
    <row r="6" spans="1:7" x14ac:dyDescent="0.2">
      <c r="A6" s="58" t="s">
        <v>156</v>
      </c>
      <c r="B6" s="66">
        <v>38624</v>
      </c>
      <c r="C6" s="66">
        <v>51535</v>
      </c>
      <c r="D6" s="66">
        <v>114172</v>
      </c>
      <c r="E6" s="66">
        <v>50575</v>
      </c>
      <c r="F6" s="66">
        <v>55020</v>
      </c>
    </row>
    <row r="7" spans="1:7" x14ac:dyDescent="0.2">
      <c r="A7" s="12" t="s">
        <v>119</v>
      </c>
      <c r="B7" s="3">
        <v>29569</v>
      </c>
      <c r="C7" s="5">
        <v>52975</v>
      </c>
      <c r="D7" s="3">
        <v>364200</v>
      </c>
      <c r="E7" s="5">
        <v>52507</v>
      </c>
      <c r="F7" s="5">
        <v>54505</v>
      </c>
    </row>
    <row r="8" spans="1:7" x14ac:dyDescent="0.2">
      <c r="A8" s="12" t="s">
        <v>120</v>
      </c>
      <c r="B8" s="3">
        <v>11043</v>
      </c>
      <c r="C8" s="5">
        <v>20051</v>
      </c>
      <c r="D8" s="3">
        <v>137310</v>
      </c>
      <c r="E8" s="5">
        <v>20886</v>
      </c>
      <c r="F8" s="5">
        <v>21456</v>
      </c>
    </row>
    <row r="9" spans="1:7" x14ac:dyDescent="0.2">
      <c r="A9" s="12" t="s">
        <v>121</v>
      </c>
      <c r="B9" s="3">
        <v>38109</v>
      </c>
      <c r="C9" s="5">
        <v>64314</v>
      </c>
      <c r="D9" s="3">
        <v>491700</v>
      </c>
      <c r="E9" s="5">
        <v>64337</v>
      </c>
      <c r="F9" s="5">
        <v>65811</v>
      </c>
    </row>
    <row r="10" spans="1:7" x14ac:dyDescent="0.2">
      <c r="A10" s="12" t="s">
        <v>122</v>
      </c>
      <c r="B10" s="3">
        <v>12007</v>
      </c>
      <c r="C10" s="5">
        <v>20046</v>
      </c>
      <c r="D10" s="5">
        <v>29961</v>
      </c>
      <c r="E10" s="5">
        <v>20200</v>
      </c>
      <c r="F10" s="5">
        <v>20047</v>
      </c>
    </row>
    <row r="11" spans="1:7" x14ac:dyDescent="0.2">
      <c r="A11" s="12" t="s">
        <v>0</v>
      </c>
      <c r="B11" s="3">
        <v>66451</v>
      </c>
      <c r="C11" s="5">
        <v>112016</v>
      </c>
      <c r="D11" s="3">
        <v>1618600</v>
      </c>
      <c r="E11" s="5">
        <v>116305</v>
      </c>
      <c r="F11" s="5">
        <v>129930</v>
      </c>
    </row>
    <row r="12" spans="1:7" x14ac:dyDescent="0.2">
      <c r="A12" s="12" t="s">
        <v>1</v>
      </c>
      <c r="B12" s="3">
        <v>116294</v>
      </c>
      <c r="C12" s="5">
        <v>112234</v>
      </c>
      <c r="D12" s="5">
        <v>117036</v>
      </c>
      <c r="E12" s="5">
        <v>117313</v>
      </c>
      <c r="F12" s="5">
        <v>117419</v>
      </c>
      <c r="G12" s="1" t="s">
        <v>106</v>
      </c>
    </row>
    <row r="13" spans="1:7" x14ac:dyDescent="0.2">
      <c r="A13" s="58" t="s">
        <v>157</v>
      </c>
      <c r="B13" s="66">
        <v>38444</v>
      </c>
      <c r="C13" s="66">
        <v>51837</v>
      </c>
      <c r="D13" s="66">
        <v>112813</v>
      </c>
      <c r="E13" s="66">
        <v>51191</v>
      </c>
      <c r="F13" s="66">
        <v>55299</v>
      </c>
    </row>
    <row r="14" spans="1:7" x14ac:dyDescent="0.2">
      <c r="A14" s="12" t="s">
        <v>2</v>
      </c>
      <c r="B14" s="3">
        <v>29341</v>
      </c>
      <c r="C14" s="5">
        <v>50118</v>
      </c>
      <c r="D14" s="3">
        <v>362900</v>
      </c>
      <c r="E14" s="5">
        <v>52506</v>
      </c>
      <c r="F14" s="5">
        <v>53796</v>
      </c>
    </row>
    <row r="15" spans="1:7" x14ac:dyDescent="0.2">
      <c r="A15" s="12" t="s">
        <v>3</v>
      </c>
      <c r="B15" s="3">
        <v>11136</v>
      </c>
      <c r="C15" s="5">
        <v>18811</v>
      </c>
      <c r="D15" s="3">
        <v>137400</v>
      </c>
      <c r="E15" s="5">
        <v>20806</v>
      </c>
      <c r="F15" s="5">
        <v>21453</v>
      </c>
    </row>
    <row r="16" spans="1:7" x14ac:dyDescent="0.2">
      <c r="A16" s="12" t="s">
        <v>4</v>
      </c>
      <c r="B16" s="3">
        <v>38181</v>
      </c>
      <c r="C16" s="5">
        <v>61069</v>
      </c>
      <c r="D16" s="3">
        <v>494100</v>
      </c>
      <c r="E16" s="5">
        <v>64577</v>
      </c>
      <c r="F16" s="5">
        <v>65877</v>
      </c>
    </row>
    <row r="17" spans="1:10" x14ac:dyDescent="0.2">
      <c r="A17" s="12" t="s">
        <v>5</v>
      </c>
      <c r="B17" s="3">
        <v>31298</v>
      </c>
      <c r="C17" s="5">
        <v>60957</v>
      </c>
      <c r="D17" s="5">
        <v>96640</v>
      </c>
      <c r="E17" s="5">
        <v>62900</v>
      </c>
      <c r="F17" s="5">
        <v>63540</v>
      </c>
      <c r="G17" s="21" t="s">
        <v>108</v>
      </c>
    </row>
    <row r="18" spans="1:10" x14ac:dyDescent="0.2">
      <c r="B18" s="22"/>
      <c r="C18" s="22"/>
      <c r="D18" s="22"/>
      <c r="E18" s="22"/>
      <c r="F18" s="22"/>
    </row>
    <row r="19" spans="1:10" x14ac:dyDescent="0.2">
      <c r="B19" s="22"/>
      <c r="C19" s="22"/>
      <c r="D19" s="22"/>
      <c r="E19" s="22"/>
      <c r="F19" s="22"/>
    </row>
    <row r="20" spans="1:10" x14ac:dyDescent="0.2">
      <c r="B20" s="22"/>
      <c r="C20" s="22"/>
      <c r="D20" s="22"/>
      <c r="E20" s="22"/>
      <c r="F20" s="22"/>
    </row>
    <row r="23" spans="1:10" x14ac:dyDescent="0.2">
      <c r="A23" s="2" t="s">
        <v>87</v>
      </c>
      <c r="B23" s="2" t="s">
        <v>86</v>
      </c>
      <c r="C23" s="2" t="s">
        <v>111</v>
      </c>
      <c r="D23" s="2" t="s">
        <v>112</v>
      </c>
      <c r="E23" s="2" t="s">
        <v>109</v>
      </c>
      <c r="F23" s="2" t="s">
        <v>110</v>
      </c>
    </row>
    <row r="24" spans="1:10" x14ac:dyDescent="0.2">
      <c r="A24" s="12" t="s">
        <v>115</v>
      </c>
      <c r="B24" s="20">
        <f t="shared" ref="B24:F27" si="0">B2/$B2</f>
        <v>1</v>
      </c>
      <c r="C24" s="20">
        <f t="shared" si="0"/>
        <v>1.7103958136846269</v>
      </c>
      <c r="D24" s="20">
        <f t="shared" si="0"/>
        <v>21.375764398065048</v>
      </c>
      <c r="E24" s="20">
        <f t="shared" si="0"/>
        <v>1.7343393471051751</v>
      </c>
      <c r="F24" s="20">
        <f t="shared" si="0"/>
        <v>1.936718488545438</v>
      </c>
      <c r="G24" s="21"/>
      <c r="I24" s="21"/>
      <c r="J24" s="21"/>
    </row>
    <row r="25" spans="1:10" x14ac:dyDescent="0.2">
      <c r="A25" s="12" t="s">
        <v>116</v>
      </c>
      <c r="B25" s="20">
        <f t="shared" si="0"/>
        <v>1</v>
      </c>
      <c r="C25" s="20">
        <f t="shared" si="0"/>
        <v>1.6373122834039275</v>
      </c>
      <c r="D25" s="20">
        <f t="shared" si="0"/>
        <v>2.6425490951097421</v>
      </c>
      <c r="E25" s="20">
        <f t="shared" si="0"/>
        <v>1.7070465922217943</v>
      </c>
      <c r="F25" s="20">
        <f t="shared" si="0"/>
        <v>1.7102425876010781</v>
      </c>
      <c r="G25" s="21"/>
      <c r="I25" s="21"/>
      <c r="J25" s="21"/>
    </row>
    <row r="26" spans="1:10" x14ac:dyDescent="0.2">
      <c r="A26" s="12" t="s">
        <v>117</v>
      </c>
      <c r="B26" s="20">
        <f t="shared" si="0"/>
        <v>1</v>
      </c>
      <c r="C26" s="20">
        <f t="shared" si="0"/>
        <v>2.5291974471078951</v>
      </c>
      <c r="D26" s="20">
        <f t="shared" si="0"/>
        <v>2.8280315593748431</v>
      </c>
      <c r="E26" s="20">
        <f t="shared" si="0"/>
        <v>2.5778682345846526</v>
      </c>
      <c r="F26" s="20">
        <f t="shared" si="0"/>
        <v>2.5839991959394943</v>
      </c>
      <c r="G26" s="21"/>
      <c r="I26" s="21"/>
      <c r="J26" s="21"/>
    </row>
    <row r="27" spans="1:10" x14ac:dyDescent="0.2">
      <c r="A27" s="12" t="s">
        <v>118</v>
      </c>
      <c r="B27" s="20">
        <f t="shared" si="0"/>
        <v>1</v>
      </c>
      <c r="C27" s="20">
        <f t="shared" si="0"/>
        <v>1.2255798758575629</v>
      </c>
      <c r="D27" s="20">
        <f t="shared" si="0"/>
        <v>1.310764456060111</v>
      </c>
      <c r="E27" s="20">
        <f t="shared" si="0"/>
        <v>1.314970597843842</v>
      </c>
      <c r="F27" s="20">
        <f t="shared" si="0"/>
        <v>1.3118670369160406</v>
      </c>
      <c r="G27" s="21"/>
      <c r="I27" s="21"/>
      <c r="J27" s="21"/>
    </row>
    <row r="28" spans="1:10" x14ac:dyDescent="0.2">
      <c r="A28" s="58" t="s">
        <v>156</v>
      </c>
      <c r="B28" s="65">
        <f t="shared" ref="B28:B35" si="1">B6/$B6</f>
        <v>1</v>
      </c>
      <c r="C28" s="65">
        <f t="shared" ref="C28:F39" si="2">C6/$B6</f>
        <v>1.3342740265120132</v>
      </c>
      <c r="D28" s="65">
        <f t="shared" si="2"/>
        <v>2.9559859154929575</v>
      </c>
      <c r="E28" s="65">
        <f t="shared" si="2"/>
        <v>1.309419014084507</v>
      </c>
      <c r="F28" s="65">
        <f t="shared" si="2"/>
        <v>1.4245028997514499</v>
      </c>
      <c r="G28" s="21"/>
      <c r="I28" s="21"/>
      <c r="J28" s="21"/>
    </row>
    <row r="29" spans="1:10" x14ac:dyDescent="0.2">
      <c r="A29" s="12" t="s">
        <v>119</v>
      </c>
      <c r="B29" s="20">
        <f t="shared" si="1"/>
        <v>1</v>
      </c>
      <c r="C29" s="20">
        <f t="shared" si="2"/>
        <v>1.7915722547262336</v>
      </c>
      <c r="D29" s="20">
        <f t="shared" si="2"/>
        <v>12.316953566234908</v>
      </c>
      <c r="E29" s="20">
        <f t="shared" si="2"/>
        <v>1.7757448679360142</v>
      </c>
      <c r="F29" s="20">
        <f t="shared" si="2"/>
        <v>1.8433156346173358</v>
      </c>
      <c r="G29" s="21"/>
      <c r="I29" s="21"/>
      <c r="J29" s="21"/>
    </row>
    <row r="30" spans="1:10" x14ac:dyDescent="0.2">
      <c r="A30" s="12" t="s">
        <v>120</v>
      </c>
      <c r="B30" s="20">
        <f t="shared" si="1"/>
        <v>1</v>
      </c>
      <c r="C30" s="20">
        <f t="shared" si="2"/>
        <v>1.8157203658426153</v>
      </c>
      <c r="D30" s="20">
        <f t="shared" si="2"/>
        <v>12.43412116272752</v>
      </c>
      <c r="E30" s="20">
        <f t="shared" si="2"/>
        <v>1.89133387666395</v>
      </c>
      <c r="F30" s="20">
        <f t="shared" si="2"/>
        <v>1.9429502852485738</v>
      </c>
      <c r="G30" s="21"/>
      <c r="I30" s="21"/>
      <c r="J30" s="21"/>
    </row>
    <row r="31" spans="1:10" x14ac:dyDescent="0.2">
      <c r="A31" s="12" t="s">
        <v>121</v>
      </c>
      <c r="B31" s="20">
        <f t="shared" si="1"/>
        <v>1</v>
      </c>
      <c r="C31" s="20">
        <f t="shared" si="2"/>
        <v>1.687632842635598</v>
      </c>
      <c r="D31" s="20">
        <f t="shared" si="2"/>
        <v>12.902463984885459</v>
      </c>
      <c r="E31" s="20">
        <f t="shared" si="2"/>
        <v>1.6882363746096722</v>
      </c>
      <c r="F31" s="20">
        <f t="shared" si="2"/>
        <v>1.7269149019916554</v>
      </c>
      <c r="G31" s="21"/>
      <c r="I31" s="21"/>
      <c r="J31" s="21"/>
    </row>
    <row r="32" spans="1:10" x14ac:dyDescent="0.2">
      <c r="A32" s="12" t="s">
        <v>122</v>
      </c>
      <c r="B32" s="20">
        <f t="shared" si="1"/>
        <v>1</v>
      </c>
      <c r="C32" s="20">
        <f t="shared" si="2"/>
        <v>1.6695261097693013</v>
      </c>
      <c r="D32" s="20">
        <f t="shared" si="2"/>
        <v>2.4952944115932372</v>
      </c>
      <c r="E32" s="20">
        <f t="shared" si="2"/>
        <v>1.6823519613558757</v>
      </c>
      <c r="F32" s="20">
        <f t="shared" si="2"/>
        <v>1.6696093945198633</v>
      </c>
      <c r="G32" s="21"/>
      <c r="I32" s="21"/>
      <c r="J32" s="21"/>
    </row>
    <row r="33" spans="1:11" x14ac:dyDescent="0.2">
      <c r="A33" s="12" t="s">
        <v>0</v>
      </c>
      <c r="B33" s="20">
        <f t="shared" si="1"/>
        <v>1</v>
      </c>
      <c r="C33" s="20">
        <f t="shared" si="2"/>
        <v>1.6856932175588026</v>
      </c>
      <c r="D33" s="20">
        <f t="shared" si="2"/>
        <v>24.357797474831077</v>
      </c>
      <c r="E33" s="20">
        <f t="shared" si="2"/>
        <v>1.7502370167491836</v>
      </c>
      <c r="F33" s="20">
        <f t="shared" si="2"/>
        <v>1.9552753156461151</v>
      </c>
      <c r="G33" s="21"/>
      <c r="I33" s="21"/>
      <c r="J33" s="21"/>
    </row>
    <row r="34" spans="1:11" x14ac:dyDescent="0.2">
      <c r="A34" s="12" t="s">
        <v>1</v>
      </c>
      <c r="B34" s="20">
        <f t="shared" si="1"/>
        <v>1</v>
      </c>
      <c r="C34" s="20">
        <f t="shared" si="2"/>
        <v>0.96508848263882918</v>
      </c>
      <c r="D34" s="20">
        <f t="shared" si="2"/>
        <v>1.0063803807591105</v>
      </c>
      <c r="E34" s="20">
        <f t="shared" si="2"/>
        <v>1.0087622749238998</v>
      </c>
      <c r="F34" s="20">
        <f t="shared" si="2"/>
        <v>1.009673757889487</v>
      </c>
      <c r="G34" s="21"/>
      <c r="I34" s="21"/>
      <c r="J34" s="21"/>
    </row>
    <row r="35" spans="1:11" x14ac:dyDescent="0.2">
      <c r="A35" s="58" t="s">
        <v>157</v>
      </c>
      <c r="B35" s="65">
        <f t="shared" si="1"/>
        <v>1</v>
      </c>
      <c r="C35" s="65">
        <f t="shared" si="2"/>
        <v>1.3483768598480907</v>
      </c>
      <c r="D35" s="65">
        <f t="shared" si="2"/>
        <v>2.9344761211112269</v>
      </c>
      <c r="E35" s="65">
        <f t="shared" si="2"/>
        <v>1.3315731973780043</v>
      </c>
      <c r="F35" s="65">
        <f t="shared" si="2"/>
        <v>1.4384299240453646</v>
      </c>
      <c r="G35" s="21"/>
      <c r="I35" s="21"/>
      <c r="J35" s="21"/>
    </row>
    <row r="36" spans="1:11" x14ac:dyDescent="0.2">
      <c r="A36" s="12" t="s">
        <v>2</v>
      </c>
      <c r="B36" s="20">
        <f>B14/$B14</f>
        <v>1</v>
      </c>
      <c r="C36" s="20">
        <f t="shared" si="2"/>
        <v>1.7081217409086262</v>
      </c>
      <c r="D36" s="20">
        <f t="shared" si="2"/>
        <v>12.368358269997614</v>
      </c>
      <c r="E36" s="20">
        <f t="shared" si="2"/>
        <v>1.7895095600013633</v>
      </c>
      <c r="F36" s="20">
        <f t="shared" si="2"/>
        <v>1.8334753416720631</v>
      </c>
      <c r="G36" s="21"/>
      <c r="I36" s="21"/>
      <c r="J36" s="21"/>
    </row>
    <row r="37" spans="1:11" x14ac:dyDescent="0.2">
      <c r="A37" s="12" t="s">
        <v>3</v>
      </c>
      <c r="B37" s="20">
        <f>B15/$B15</f>
        <v>1</v>
      </c>
      <c r="C37" s="20">
        <f t="shared" si="2"/>
        <v>1.6892061781609196</v>
      </c>
      <c r="D37" s="20">
        <f t="shared" si="2"/>
        <v>12.338362068965518</v>
      </c>
      <c r="E37" s="20">
        <f t="shared" si="2"/>
        <v>1.8683548850574712</v>
      </c>
      <c r="F37" s="20">
        <f t="shared" si="2"/>
        <v>1.9264547413793103</v>
      </c>
    </row>
    <row r="38" spans="1:11" x14ac:dyDescent="0.2">
      <c r="A38" s="12" t="s">
        <v>4</v>
      </c>
      <c r="B38" s="20">
        <f>B16/$B16</f>
        <v>1</v>
      </c>
      <c r="C38" s="20">
        <f t="shared" si="2"/>
        <v>1.599460464629004</v>
      </c>
      <c r="D38" s="20">
        <f t="shared" si="2"/>
        <v>12.940991592676985</v>
      </c>
      <c r="E38" s="20">
        <f t="shared" si="2"/>
        <v>1.6913386239228936</v>
      </c>
      <c r="F38" s="20">
        <f t="shared" si="2"/>
        <v>1.7253869725779838</v>
      </c>
    </row>
    <row r="39" spans="1:11" x14ac:dyDescent="0.2">
      <c r="A39" s="12" t="s">
        <v>5</v>
      </c>
      <c r="B39" s="20">
        <f>B17/$B17</f>
        <v>1</v>
      </c>
      <c r="C39" s="20">
        <f t="shared" si="2"/>
        <v>1.9476324365774171</v>
      </c>
      <c r="D39" s="20">
        <f t="shared" si="2"/>
        <v>3.087737235606109</v>
      </c>
      <c r="E39" s="20">
        <f t="shared" si="2"/>
        <v>2.0097130807080323</v>
      </c>
      <c r="F39" s="20">
        <f t="shared" si="2"/>
        <v>2.0301616716723112</v>
      </c>
    </row>
    <row r="40" spans="1:11" x14ac:dyDescent="0.2">
      <c r="A40" s="2" t="s">
        <v>85</v>
      </c>
      <c r="B40" s="20">
        <f>GEOMEAN(B24:B39)</f>
        <v>1</v>
      </c>
      <c r="C40" s="20">
        <f>GEOMEAN(C24:C39)</f>
        <v>1.6126845866503123</v>
      </c>
      <c r="D40" s="20">
        <f>GEOMEAN(D24:D39)</f>
        <v>5.7268698795566282</v>
      </c>
      <c r="E40" s="20">
        <f>GEOMEAN(E24:E39)</f>
        <v>1.6607677624132051</v>
      </c>
      <c r="F40" s="20">
        <f>GEOMEAN(F24:F39)</f>
        <v>1.7188099331003612</v>
      </c>
      <c r="G40" s="31">
        <f>D40/F40</f>
        <v>3.3318808375901074</v>
      </c>
    </row>
    <row r="41" spans="1:11" x14ac:dyDescent="0.2">
      <c r="B41" s="21"/>
      <c r="C41" s="21"/>
      <c r="D41" s="21"/>
      <c r="E41" s="21"/>
      <c r="F41" s="21"/>
      <c r="G41" s="1">
        <f>E40/C40</f>
        <v>1.0298156106661662</v>
      </c>
    </row>
    <row r="42" spans="1:11" x14ac:dyDescent="0.2">
      <c r="B42" s="21"/>
      <c r="C42" s="21"/>
      <c r="D42" s="21"/>
      <c r="F42" s="21"/>
    </row>
    <row r="45" spans="1:11" x14ac:dyDescent="0.2">
      <c r="G45" s="1" t="s">
        <v>128</v>
      </c>
    </row>
    <row r="46" spans="1:11" x14ac:dyDescent="0.2">
      <c r="A46" s="2" t="s">
        <v>88</v>
      </c>
      <c r="B46" s="23" t="s">
        <v>86</v>
      </c>
      <c r="C46" s="2" t="s">
        <v>111</v>
      </c>
      <c r="D46" s="2" t="s">
        <v>112</v>
      </c>
      <c r="E46" s="2" t="s">
        <v>109</v>
      </c>
      <c r="F46" s="2" t="s">
        <v>110</v>
      </c>
      <c r="G46" s="2" t="s">
        <v>111</v>
      </c>
      <c r="H46" s="2" t="s">
        <v>112</v>
      </c>
      <c r="I46" s="2" t="s">
        <v>109</v>
      </c>
      <c r="J46" s="2" t="s">
        <v>110</v>
      </c>
    </row>
    <row r="47" spans="1:11" x14ac:dyDescent="0.2">
      <c r="A47" s="12" t="s">
        <v>115</v>
      </c>
      <c r="B47" s="3">
        <v>623988</v>
      </c>
      <c r="C47" s="3">
        <v>625992</v>
      </c>
      <c r="D47" s="3">
        <v>625968</v>
      </c>
      <c r="E47" s="3">
        <v>625828</v>
      </c>
      <c r="F47" s="3">
        <v>625804</v>
      </c>
      <c r="G47" s="20">
        <f>(C47-$B47)/1024</f>
        <v>1.95703125</v>
      </c>
      <c r="H47" s="20">
        <f>(D47-$B47)/1024</f>
        <v>1.93359375</v>
      </c>
      <c r="I47" s="20">
        <f>(E47-$B47)/1024</f>
        <v>1.796875</v>
      </c>
      <c r="J47" s="20">
        <f>(F47-$B47)/1024</f>
        <v>1.7734375</v>
      </c>
      <c r="K47" s="25"/>
    </row>
    <row r="48" spans="1:11" x14ac:dyDescent="0.2">
      <c r="A48" s="12" t="s">
        <v>116</v>
      </c>
      <c r="B48" s="3">
        <v>166548</v>
      </c>
      <c r="C48" s="3">
        <v>167016</v>
      </c>
      <c r="D48" s="3">
        <v>167796</v>
      </c>
      <c r="E48" s="3">
        <v>167076</v>
      </c>
      <c r="F48" s="3">
        <v>167020</v>
      </c>
      <c r="G48" s="20">
        <f>(C48-$B48)/1024</f>
        <v>0.45703125</v>
      </c>
      <c r="H48" s="20">
        <f t="shared" ref="H48:I50" si="3">(D48-$B48)/1024</f>
        <v>1.21875</v>
      </c>
      <c r="I48" s="20">
        <f t="shared" si="3"/>
        <v>0.515625</v>
      </c>
      <c r="J48" s="20">
        <f>(F48-$B48)/1024</f>
        <v>0.4609375</v>
      </c>
      <c r="K48" s="25"/>
    </row>
    <row r="49" spans="1:11" x14ac:dyDescent="0.2">
      <c r="A49" s="12" t="s">
        <v>117</v>
      </c>
      <c r="B49" s="3">
        <v>424120</v>
      </c>
      <c r="C49" s="3">
        <v>425676</v>
      </c>
      <c r="D49" s="3">
        <v>427916</v>
      </c>
      <c r="E49" s="3">
        <v>425304</v>
      </c>
      <c r="F49" s="3">
        <v>425328</v>
      </c>
      <c r="G49" s="20">
        <f>(C49-$B49)/1024</f>
        <v>1.51953125</v>
      </c>
      <c r="H49" s="20">
        <f t="shared" si="3"/>
        <v>3.70703125</v>
      </c>
      <c r="I49" s="20">
        <f t="shared" si="3"/>
        <v>1.15625</v>
      </c>
      <c r="J49" s="20">
        <f>(F49-$B49)/1024</f>
        <v>1.1796875</v>
      </c>
      <c r="K49" s="25"/>
    </row>
    <row r="50" spans="1:11" x14ac:dyDescent="0.2">
      <c r="A50" s="12" t="s">
        <v>118</v>
      </c>
      <c r="B50" s="3">
        <v>420396</v>
      </c>
      <c r="C50" s="3">
        <v>422404</v>
      </c>
      <c r="D50" s="3">
        <v>422488</v>
      </c>
      <c r="E50" s="3">
        <v>422024</v>
      </c>
      <c r="F50" s="3">
        <v>422052</v>
      </c>
      <c r="G50" s="20">
        <f>(C50-$B50)/1024</f>
        <v>1.9609375</v>
      </c>
      <c r="H50" s="20">
        <f t="shared" si="3"/>
        <v>2.04296875</v>
      </c>
      <c r="I50" s="20">
        <f t="shared" si="3"/>
        <v>1.58984375</v>
      </c>
      <c r="J50" s="20">
        <f>(F50-$B50)/1024</f>
        <v>1.6171875</v>
      </c>
      <c r="K50" s="25"/>
    </row>
    <row r="51" spans="1:11" x14ac:dyDescent="0.2">
      <c r="A51" s="58" t="s">
        <v>156</v>
      </c>
      <c r="B51" s="66">
        <v>247416</v>
      </c>
      <c r="C51" s="66">
        <v>249712</v>
      </c>
      <c r="D51" s="66">
        <v>249712</v>
      </c>
      <c r="E51" s="66">
        <v>249136</v>
      </c>
      <c r="F51" s="66">
        <v>249200</v>
      </c>
      <c r="G51" s="65">
        <f t="shared" ref="G51:G58" si="4">(C51-$B51)/1024</f>
        <v>2.2421875</v>
      </c>
      <c r="H51" s="65">
        <f t="shared" ref="H51:H58" si="5">(D51-$B51)/1024</f>
        <v>2.2421875</v>
      </c>
      <c r="I51" s="65">
        <f t="shared" ref="I51:I58" si="6">(E51-$B51)/1024</f>
        <v>1.6796875</v>
      </c>
      <c r="J51" s="65">
        <f t="shared" ref="J51:J58" si="7">(F51-$B51)/1024</f>
        <v>1.7421875</v>
      </c>
      <c r="K51" s="25"/>
    </row>
    <row r="52" spans="1:11" x14ac:dyDescent="0.2">
      <c r="A52" s="12" t="s">
        <v>119</v>
      </c>
      <c r="B52" s="3">
        <v>490640</v>
      </c>
      <c r="C52" s="3">
        <v>495192</v>
      </c>
      <c r="D52" s="3">
        <v>504596</v>
      </c>
      <c r="E52" s="3">
        <v>494404</v>
      </c>
      <c r="F52" s="3">
        <v>494656</v>
      </c>
      <c r="G52" s="20">
        <f t="shared" si="4"/>
        <v>4.4453125</v>
      </c>
      <c r="H52" s="20">
        <f t="shared" si="5"/>
        <v>13.62890625</v>
      </c>
      <c r="I52" s="20">
        <f t="shared" si="6"/>
        <v>3.67578125</v>
      </c>
      <c r="J52" s="20">
        <f t="shared" si="7"/>
        <v>3.921875</v>
      </c>
      <c r="K52" s="25"/>
    </row>
    <row r="53" spans="1:11" x14ac:dyDescent="0.2">
      <c r="A53" s="12" t="s">
        <v>120</v>
      </c>
      <c r="B53" s="3">
        <v>159952</v>
      </c>
      <c r="C53" s="3">
        <v>162632</v>
      </c>
      <c r="D53" s="3">
        <v>167692</v>
      </c>
      <c r="E53" s="3">
        <v>162452</v>
      </c>
      <c r="F53" s="3">
        <v>162660</v>
      </c>
      <c r="G53" s="20">
        <f t="shared" si="4"/>
        <v>2.6171875</v>
      </c>
      <c r="H53" s="20">
        <f t="shared" si="5"/>
        <v>7.55859375</v>
      </c>
      <c r="I53" s="20">
        <f t="shared" si="6"/>
        <v>2.44140625</v>
      </c>
      <c r="J53" s="20">
        <f t="shared" si="7"/>
        <v>2.64453125</v>
      </c>
      <c r="K53" s="25"/>
    </row>
    <row r="54" spans="1:11" x14ac:dyDescent="0.2">
      <c r="A54" s="12" t="s">
        <v>121</v>
      </c>
      <c r="B54" s="3">
        <v>27644</v>
      </c>
      <c r="C54" s="3">
        <v>28364</v>
      </c>
      <c r="D54" s="3">
        <v>29636</v>
      </c>
      <c r="E54" s="3">
        <v>28308</v>
      </c>
      <c r="F54" s="3">
        <v>28296</v>
      </c>
      <c r="G54" s="20">
        <f t="shared" si="4"/>
        <v>0.703125</v>
      </c>
      <c r="H54" s="20">
        <f t="shared" si="5"/>
        <v>1.9453125</v>
      </c>
      <c r="I54" s="20">
        <f t="shared" si="6"/>
        <v>0.6484375</v>
      </c>
      <c r="J54" s="20">
        <f t="shared" si="7"/>
        <v>0.63671875</v>
      </c>
      <c r="K54" s="25"/>
    </row>
    <row r="55" spans="1:11" x14ac:dyDescent="0.2">
      <c r="A55" s="12" t="s">
        <v>122</v>
      </c>
      <c r="B55" s="3">
        <v>743004</v>
      </c>
      <c r="C55" s="3">
        <v>745468</v>
      </c>
      <c r="D55" s="3">
        <v>745992</v>
      </c>
      <c r="E55" s="3">
        <v>745384</v>
      </c>
      <c r="F55" s="3">
        <v>745524</v>
      </c>
      <c r="G55" s="20">
        <f t="shared" si="4"/>
        <v>2.40625</v>
      </c>
      <c r="H55" s="20">
        <f t="shared" si="5"/>
        <v>2.91796875</v>
      </c>
      <c r="I55" s="20">
        <f t="shared" si="6"/>
        <v>2.32421875</v>
      </c>
      <c r="J55" s="20">
        <f t="shared" si="7"/>
        <v>2.4609375</v>
      </c>
      <c r="K55" s="25"/>
    </row>
    <row r="56" spans="1:11" x14ac:dyDescent="0.2">
      <c r="A56" s="12" t="s">
        <v>0</v>
      </c>
      <c r="B56" s="3">
        <v>4056652</v>
      </c>
      <c r="C56" s="3">
        <v>4058360</v>
      </c>
      <c r="D56" s="3">
        <v>4058448</v>
      </c>
      <c r="E56" s="3">
        <v>4058224</v>
      </c>
      <c r="F56" s="3">
        <v>4058300</v>
      </c>
      <c r="G56" s="20">
        <f t="shared" si="4"/>
        <v>1.66796875</v>
      </c>
      <c r="H56" s="20">
        <f t="shared" si="5"/>
        <v>1.75390625</v>
      </c>
      <c r="I56" s="20">
        <f t="shared" si="6"/>
        <v>1.53515625</v>
      </c>
      <c r="J56" s="20">
        <f t="shared" si="7"/>
        <v>1.609375</v>
      </c>
      <c r="K56" s="25"/>
    </row>
    <row r="57" spans="1:11" x14ac:dyDescent="0.2">
      <c r="A57" s="12" t="s">
        <v>1</v>
      </c>
      <c r="B57" s="3">
        <v>3302240</v>
      </c>
      <c r="C57" s="3">
        <v>3303732</v>
      </c>
      <c r="D57" s="3">
        <v>3303936</v>
      </c>
      <c r="E57" s="3">
        <v>3303668</v>
      </c>
      <c r="F57" s="3">
        <v>3303576</v>
      </c>
      <c r="G57" s="20">
        <f t="shared" si="4"/>
        <v>1.45703125</v>
      </c>
      <c r="H57" s="20">
        <f t="shared" si="5"/>
        <v>1.65625</v>
      </c>
      <c r="I57" s="20">
        <f t="shared" si="6"/>
        <v>1.39453125</v>
      </c>
      <c r="J57" s="20">
        <f t="shared" si="7"/>
        <v>1.3046875</v>
      </c>
      <c r="K57" s="25"/>
    </row>
    <row r="58" spans="1:11" x14ac:dyDescent="0.2">
      <c r="A58" s="58" t="s">
        <v>157</v>
      </c>
      <c r="B58" s="66">
        <v>247668</v>
      </c>
      <c r="C58" s="66">
        <v>249648</v>
      </c>
      <c r="D58" s="66">
        <v>249776</v>
      </c>
      <c r="E58" s="66">
        <v>249136</v>
      </c>
      <c r="F58" s="66">
        <v>249200</v>
      </c>
      <c r="G58" s="65">
        <f t="shared" si="4"/>
        <v>1.93359375</v>
      </c>
      <c r="H58" s="65">
        <f t="shared" si="5"/>
        <v>2.05859375</v>
      </c>
      <c r="I58" s="65">
        <f t="shared" si="6"/>
        <v>1.43359375</v>
      </c>
      <c r="J58" s="65">
        <f t="shared" si="7"/>
        <v>1.49609375</v>
      </c>
      <c r="K58" s="25"/>
    </row>
    <row r="59" spans="1:11" x14ac:dyDescent="0.2">
      <c r="A59" s="12" t="s">
        <v>2</v>
      </c>
      <c r="B59" s="3">
        <v>491012</v>
      </c>
      <c r="C59" s="3">
        <v>495100</v>
      </c>
      <c r="D59" s="3">
        <v>504536</v>
      </c>
      <c r="E59" s="3">
        <v>494452</v>
      </c>
      <c r="F59" s="3">
        <v>494664</v>
      </c>
      <c r="G59" s="20">
        <f>(C59-$B59)/1024</f>
        <v>3.9921875</v>
      </c>
      <c r="H59" s="20">
        <f t="shared" ref="H59:I61" si="8">(D59-$B59)/1024</f>
        <v>13.20703125</v>
      </c>
      <c r="I59" s="20">
        <f t="shared" si="8"/>
        <v>3.359375</v>
      </c>
      <c r="J59" s="20">
        <f>(F59-$B59)/1024</f>
        <v>3.56640625</v>
      </c>
      <c r="K59" s="25"/>
    </row>
    <row r="60" spans="1:11" x14ac:dyDescent="0.2">
      <c r="A60" s="12" t="s">
        <v>3</v>
      </c>
      <c r="B60" s="3">
        <v>160200</v>
      </c>
      <c r="C60" s="3">
        <v>162660</v>
      </c>
      <c r="D60" s="3">
        <v>167592</v>
      </c>
      <c r="E60" s="3">
        <v>162604</v>
      </c>
      <c r="F60" s="3">
        <v>162624</v>
      </c>
      <c r="G60" s="20">
        <f>(C60-$B60)/1024</f>
        <v>2.40234375</v>
      </c>
      <c r="H60" s="20">
        <f t="shared" si="8"/>
        <v>7.21875</v>
      </c>
      <c r="I60" s="20">
        <f t="shared" si="8"/>
        <v>2.34765625</v>
      </c>
      <c r="J60" s="20">
        <f>(F60-$B60)/1024</f>
        <v>2.3671875</v>
      </c>
      <c r="K60" s="25"/>
    </row>
    <row r="61" spans="1:11" x14ac:dyDescent="0.2">
      <c r="A61" s="12" t="s">
        <v>4</v>
      </c>
      <c r="B61" s="3">
        <v>28044</v>
      </c>
      <c r="C61" s="3">
        <v>28424</v>
      </c>
      <c r="D61" s="3">
        <v>28596</v>
      </c>
      <c r="E61" s="3">
        <v>28240</v>
      </c>
      <c r="F61" s="3">
        <v>28292</v>
      </c>
      <c r="G61" s="20">
        <f>(C61-$B61)/1024</f>
        <v>0.37109375</v>
      </c>
      <c r="H61" s="20">
        <f t="shared" si="8"/>
        <v>0.5390625</v>
      </c>
      <c r="I61" s="20">
        <f t="shared" si="8"/>
        <v>0.19140625</v>
      </c>
      <c r="J61" s="20">
        <f>(F61-$B61)/1024</f>
        <v>0.2421875</v>
      </c>
      <c r="K61" s="25"/>
    </row>
    <row r="62" spans="1:11" x14ac:dyDescent="0.2">
      <c r="A62" s="12" t="s">
        <v>5</v>
      </c>
      <c r="B62" s="3">
        <v>15206648</v>
      </c>
      <c r="C62" s="3">
        <v>15655200</v>
      </c>
      <c r="D62" s="3">
        <v>15701212</v>
      </c>
      <c r="E62" s="3">
        <v>15219108</v>
      </c>
      <c r="F62" s="3">
        <v>15481592</v>
      </c>
      <c r="G62" s="29">
        <v>37</v>
      </c>
      <c r="H62" s="29">
        <v>53</v>
      </c>
      <c r="I62" s="29">
        <v>20</v>
      </c>
      <c r="J62" s="29">
        <v>21</v>
      </c>
      <c r="K62" s="29"/>
    </row>
    <row r="63" spans="1:11" x14ac:dyDescent="0.2">
      <c r="A63" s="1" t="s">
        <v>66</v>
      </c>
      <c r="B63" s="22"/>
      <c r="C63" s="22"/>
      <c r="D63" s="22"/>
      <c r="E63" s="22"/>
      <c r="F63" s="22"/>
      <c r="G63" s="1">
        <f>GEOMEAN(G48:G62)</f>
        <v>2.0169587012564212</v>
      </c>
      <c r="H63" s="1">
        <f>GEOMEAN(H48:H62)</f>
        <v>3.5725812194968047</v>
      </c>
      <c r="I63" s="1">
        <f>GEOMEAN(I48:I62)</f>
        <v>1.6595842368126772</v>
      </c>
      <c r="J63" s="1">
        <f>GEOMEAN(J48:J62)</f>
        <v>1.7182016598897574</v>
      </c>
    </row>
    <row r="64" spans="1:11" x14ac:dyDescent="0.2">
      <c r="B64" s="22"/>
      <c r="C64" s="22"/>
      <c r="D64" s="22"/>
      <c r="E64" s="22"/>
      <c r="F64" s="22"/>
    </row>
    <row r="65" spans="2:6" x14ac:dyDescent="0.2">
      <c r="B65" s="22"/>
      <c r="C65" s="22"/>
      <c r="D65" s="22"/>
      <c r="E65" s="22"/>
      <c r="F65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3A9-3F83-6C49-99EA-B094B22E50E7}">
  <dimension ref="A1:K53"/>
  <sheetViews>
    <sheetView zoomScale="80" zoomScaleNormal="80" workbookViewId="0">
      <selection activeCell="D35" sqref="D35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6384" width="10.83203125" style="1"/>
  </cols>
  <sheetData>
    <row r="1" spans="1:11" x14ac:dyDescent="0.2">
      <c r="A1" s="2" t="s">
        <v>103</v>
      </c>
      <c r="B1" s="2" t="s">
        <v>86</v>
      </c>
      <c r="C1" s="2" t="s">
        <v>111</v>
      </c>
      <c r="D1" s="2" t="s">
        <v>112</v>
      </c>
      <c r="E1" s="2" t="s">
        <v>109</v>
      </c>
      <c r="F1" s="2" t="s">
        <v>110</v>
      </c>
    </row>
    <row r="2" spans="1:11" x14ac:dyDescent="0.2">
      <c r="A2" s="2" t="s">
        <v>91</v>
      </c>
      <c r="B2" s="3">
        <v>26</v>
      </c>
      <c r="C2" s="3">
        <v>57</v>
      </c>
      <c r="D2" s="3">
        <v>410</v>
      </c>
      <c r="E2" s="3">
        <v>71</v>
      </c>
      <c r="F2" s="3">
        <v>74</v>
      </c>
      <c r="G2" s="21" t="s">
        <v>108</v>
      </c>
      <c r="K2" s="1" t="s">
        <v>107</v>
      </c>
    </row>
    <row r="3" spans="1:11" x14ac:dyDescent="0.2">
      <c r="A3" s="2" t="s">
        <v>92</v>
      </c>
      <c r="B3" s="3">
        <v>22</v>
      </c>
      <c r="C3" s="3">
        <v>23</v>
      </c>
      <c r="D3" s="3">
        <v>58</v>
      </c>
      <c r="E3" s="3">
        <v>24</v>
      </c>
      <c r="F3" s="3">
        <v>25</v>
      </c>
      <c r="G3" s="21"/>
    </row>
    <row r="4" spans="1:11" x14ac:dyDescent="0.2">
      <c r="A4" s="2" t="s">
        <v>93</v>
      </c>
      <c r="B4" s="3">
        <v>5557</v>
      </c>
      <c r="C4" s="3">
        <v>5691</v>
      </c>
      <c r="D4" s="3">
        <v>14340</v>
      </c>
      <c r="E4" s="3">
        <v>6498</v>
      </c>
      <c r="F4" s="3">
        <v>6214</v>
      </c>
      <c r="G4" s="21"/>
    </row>
    <row r="5" spans="1:11" x14ac:dyDescent="0.2">
      <c r="A5" s="2" t="s">
        <v>94</v>
      </c>
      <c r="B5" s="3">
        <v>44</v>
      </c>
      <c r="C5" s="24">
        <v>41</v>
      </c>
      <c r="D5" s="3">
        <v>75</v>
      </c>
      <c r="E5" s="3">
        <v>42</v>
      </c>
      <c r="F5" s="24">
        <v>43</v>
      </c>
      <c r="G5" s="21" t="s">
        <v>108</v>
      </c>
    </row>
    <row r="6" spans="1:11" x14ac:dyDescent="0.2">
      <c r="A6" s="2" t="s">
        <v>95</v>
      </c>
      <c r="B6" s="3">
        <v>2625</v>
      </c>
      <c r="C6" s="3">
        <v>4677</v>
      </c>
      <c r="D6" s="3">
        <v>29042</v>
      </c>
      <c r="E6" s="3">
        <v>4781</v>
      </c>
      <c r="F6" s="3">
        <v>4553</v>
      </c>
      <c r="G6" s="21"/>
    </row>
    <row r="7" spans="1:11" x14ac:dyDescent="0.2">
      <c r="A7" s="2" t="s">
        <v>96</v>
      </c>
      <c r="B7" s="3">
        <v>3865</v>
      </c>
      <c r="C7" s="3">
        <v>5879</v>
      </c>
      <c r="D7" s="3">
        <v>30555</v>
      </c>
      <c r="E7" s="3">
        <v>5516</v>
      </c>
      <c r="F7" s="3">
        <v>5821</v>
      </c>
      <c r="G7" s="21"/>
    </row>
    <row r="8" spans="1:11" x14ac:dyDescent="0.2">
      <c r="A8" s="2" t="s">
        <v>97</v>
      </c>
      <c r="B8" s="3">
        <v>1809</v>
      </c>
      <c r="C8" s="3">
        <v>1821</v>
      </c>
      <c r="D8" s="3">
        <v>1842</v>
      </c>
      <c r="E8" s="3">
        <v>1822</v>
      </c>
      <c r="F8" s="3">
        <v>1823</v>
      </c>
      <c r="G8" s="21"/>
    </row>
    <row r="9" spans="1:11" x14ac:dyDescent="0.2">
      <c r="A9" s="2" t="s">
        <v>98</v>
      </c>
      <c r="B9" s="3">
        <v>3764</v>
      </c>
      <c r="C9" s="3">
        <v>3685</v>
      </c>
      <c r="D9" s="3">
        <v>3712</v>
      </c>
      <c r="E9" s="3">
        <v>3711</v>
      </c>
      <c r="F9" s="3">
        <v>3799</v>
      </c>
      <c r="G9" s="21"/>
    </row>
    <row r="10" spans="1:11" x14ac:dyDescent="0.2">
      <c r="A10" s="2" t="s">
        <v>99</v>
      </c>
      <c r="B10" s="3">
        <v>31</v>
      </c>
      <c r="C10" s="24">
        <v>83</v>
      </c>
      <c r="D10" s="3">
        <v>894</v>
      </c>
      <c r="E10" s="24">
        <v>98</v>
      </c>
      <c r="F10" s="24">
        <v>106</v>
      </c>
      <c r="G10" s="21" t="s">
        <v>108</v>
      </c>
    </row>
    <row r="11" spans="1:11" x14ac:dyDescent="0.2">
      <c r="A11" s="2" t="s">
        <v>100</v>
      </c>
      <c r="B11" s="3">
        <v>949</v>
      </c>
      <c r="C11" s="3">
        <v>1284</v>
      </c>
      <c r="D11" s="3">
        <v>7754</v>
      </c>
      <c r="E11" s="3">
        <v>1289</v>
      </c>
      <c r="F11" s="3">
        <v>1320</v>
      </c>
    </row>
    <row r="12" spans="1:11" x14ac:dyDescent="0.2">
      <c r="A12" s="4" t="s">
        <v>158</v>
      </c>
      <c r="B12" s="66">
        <v>5884</v>
      </c>
      <c r="C12" s="66">
        <v>6102</v>
      </c>
      <c r="D12" s="66">
        <v>15728</v>
      </c>
      <c r="E12" s="66">
        <v>6319</v>
      </c>
      <c r="F12" s="66">
        <v>6940</v>
      </c>
    </row>
    <row r="13" spans="1:11" x14ac:dyDescent="0.2">
      <c r="A13" s="2" t="s">
        <v>101</v>
      </c>
      <c r="B13" s="3">
        <v>472</v>
      </c>
      <c r="C13" s="3">
        <v>650</v>
      </c>
      <c r="D13" s="3">
        <v>3253</v>
      </c>
      <c r="E13" s="3">
        <v>693</v>
      </c>
      <c r="F13" s="3">
        <v>768</v>
      </c>
    </row>
    <row r="14" spans="1:11" x14ac:dyDescent="0.2">
      <c r="A14" s="2" t="s">
        <v>102</v>
      </c>
      <c r="B14" s="3">
        <v>54</v>
      </c>
      <c r="C14" s="3">
        <v>81</v>
      </c>
      <c r="D14" s="3">
        <v>339</v>
      </c>
      <c r="E14" s="3">
        <v>83</v>
      </c>
      <c r="F14" s="3">
        <v>91</v>
      </c>
    </row>
    <row r="15" spans="1:11" x14ac:dyDescent="0.2">
      <c r="A15" s="2"/>
    </row>
    <row r="17" spans="1:11" x14ac:dyDescent="0.2">
      <c r="A17" s="2" t="s">
        <v>87</v>
      </c>
      <c r="B17" s="2" t="s">
        <v>86</v>
      </c>
      <c r="C17" s="2" t="s">
        <v>111</v>
      </c>
      <c r="D17" s="2" t="s">
        <v>112</v>
      </c>
      <c r="E17" s="2" t="s">
        <v>109</v>
      </c>
      <c r="F17" s="2" t="s">
        <v>110</v>
      </c>
    </row>
    <row r="18" spans="1:11" x14ac:dyDescent="0.2">
      <c r="A18" s="2" t="s">
        <v>91</v>
      </c>
      <c r="B18" s="20">
        <f t="shared" ref="B18:B30" si="0">B2/$B2</f>
        <v>1</v>
      </c>
      <c r="C18" s="20">
        <f t="shared" ref="C18:F30" si="1">C2/$B2</f>
        <v>2.1923076923076925</v>
      </c>
      <c r="D18" s="20">
        <f t="shared" si="1"/>
        <v>15.76923076923077</v>
      </c>
      <c r="E18" s="20">
        <f t="shared" si="1"/>
        <v>2.7307692307692308</v>
      </c>
      <c r="F18" s="20">
        <f t="shared" si="1"/>
        <v>2.8461538461538463</v>
      </c>
      <c r="G18" s="21"/>
      <c r="I18" s="21"/>
      <c r="J18" s="21"/>
      <c r="K18" s="21"/>
    </row>
    <row r="19" spans="1:11" x14ac:dyDescent="0.2">
      <c r="A19" s="2" t="s">
        <v>92</v>
      </c>
      <c r="B19" s="20">
        <f t="shared" si="0"/>
        <v>1</v>
      </c>
      <c r="C19" s="20">
        <f t="shared" si="1"/>
        <v>1.0454545454545454</v>
      </c>
      <c r="D19" s="20">
        <f t="shared" si="1"/>
        <v>2.6363636363636362</v>
      </c>
      <c r="E19" s="20">
        <f t="shared" si="1"/>
        <v>1.0909090909090908</v>
      </c>
      <c r="F19" s="20">
        <f t="shared" si="1"/>
        <v>1.1363636363636365</v>
      </c>
      <c r="G19" s="21"/>
      <c r="I19" s="21"/>
      <c r="J19" s="21"/>
      <c r="K19" s="21"/>
    </row>
    <row r="20" spans="1:11" x14ac:dyDescent="0.2">
      <c r="A20" s="2" t="s">
        <v>93</v>
      </c>
      <c r="B20" s="20">
        <f t="shared" si="0"/>
        <v>1</v>
      </c>
      <c r="C20" s="20">
        <f t="shared" si="1"/>
        <v>1.0241137304300882</v>
      </c>
      <c r="D20" s="20">
        <f t="shared" si="1"/>
        <v>2.5805290624437647</v>
      </c>
      <c r="E20" s="20">
        <f t="shared" si="1"/>
        <v>1.1693359726471118</v>
      </c>
      <c r="F20" s="20">
        <f t="shared" si="1"/>
        <v>1.1182292603922981</v>
      </c>
      <c r="G20" s="21"/>
      <c r="I20" s="21"/>
      <c r="J20" s="21"/>
      <c r="K20" s="21"/>
    </row>
    <row r="21" spans="1:11" x14ac:dyDescent="0.2">
      <c r="A21" s="2" t="s">
        <v>94</v>
      </c>
      <c r="B21" s="20">
        <f t="shared" si="0"/>
        <v>1</v>
      </c>
      <c r="C21" s="20">
        <f t="shared" si="1"/>
        <v>0.93181818181818177</v>
      </c>
      <c r="D21" s="20">
        <f t="shared" si="1"/>
        <v>1.7045454545454546</v>
      </c>
      <c r="E21" s="20">
        <f t="shared" si="1"/>
        <v>0.95454545454545459</v>
      </c>
      <c r="F21" s="20">
        <f t="shared" si="1"/>
        <v>0.97727272727272729</v>
      </c>
      <c r="G21" s="21"/>
      <c r="I21" s="21"/>
      <c r="J21" s="21"/>
      <c r="K21" s="21"/>
    </row>
    <row r="22" spans="1:11" x14ac:dyDescent="0.2">
      <c r="A22" s="2" t="s">
        <v>95</v>
      </c>
      <c r="B22" s="20">
        <f t="shared" si="0"/>
        <v>1</v>
      </c>
      <c r="C22" s="20">
        <f t="shared" si="1"/>
        <v>1.7817142857142858</v>
      </c>
      <c r="D22" s="20">
        <f t="shared" si="1"/>
        <v>11.063619047619047</v>
      </c>
      <c r="E22" s="20">
        <f t="shared" si="1"/>
        <v>1.8213333333333332</v>
      </c>
      <c r="F22" s="20">
        <f t="shared" si="1"/>
        <v>1.7344761904761905</v>
      </c>
      <c r="G22" s="21"/>
      <c r="I22" s="21"/>
      <c r="J22" s="21"/>
      <c r="K22" s="21"/>
    </row>
    <row r="23" spans="1:11" x14ac:dyDescent="0.2">
      <c r="A23" s="2" t="s">
        <v>96</v>
      </c>
      <c r="B23" s="20">
        <f t="shared" si="0"/>
        <v>1</v>
      </c>
      <c r="C23" s="20">
        <f t="shared" si="1"/>
        <v>1.5210866752910737</v>
      </c>
      <c r="D23" s="20">
        <f t="shared" si="1"/>
        <v>7.9055627425614485</v>
      </c>
      <c r="E23" s="20">
        <f t="shared" si="1"/>
        <v>1.4271668822768435</v>
      </c>
      <c r="F23" s="20">
        <f t="shared" si="1"/>
        <v>1.5060802069857697</v>
      </c>
      <c r="G23" s="21"/>
      <c r="I23" s="21"/>
      <c r="J23" s="21"/>
      <c r="K23" s="21"/>
    </row>
    <row r="24" spans="1:11" x14ac:dyDescent="0.2">
      <c r="A24" s="2" t="s">
        <v>97</v>
      </c>
      <c r="B24" s="20">
        <f t="shared" si="0"/>
        <v>1</v>
      </c>
      <c r="C24" s="20">
        <f t="shared" si="1"/>
        <v>1.0066334991708126</v>
      </c>
      <c r="D24" s="20">
        <f t="shared" si="1"/>
        <v>1.0182421227197347</v>
      </c>
      <c r="E24" s="20">
        <f t="shared" si="1"/>
        <v>1.0071862907683804</v>
      </c>
      <c r="F24" s="20">
        <f t="shared" si="1"/>
        <v>1.007739082365948</v>
      </c>
      <c r="G24" s="21"/>
      <c r="I24" s="21"/>
      <c r="J24" s="21"/>
      <c r="K24" s="21"/>
    </row>
    <row r="25" spans="1:11" x14ac:dyDescent="0.2">
      <c r="A25" s="2" t="s">
        <v>98</v>
      </c>
      <c r="B25" s="20">
        <f t="shared" si="0"/>
        <v>1</v>
      </c>
      <c r="C25" s="20">
        <f t="shared" si="1"/>
        <v>0.97901168969181718</v>
      </c>
      <c r="D25" s="20">
        <f t="shared" si="1"/>
        <v>0.98618490967056327</v>
      </c>
      <c r="E25" s="20">
        <f t="shared" si="1"/>
        <v>0.98591923485653565</v>
      </c>
      <c r="F25" s="20">
        <f t="shared" si="1"/>
        <v>1.0092986184909671</v>
      </c>
      <c r="G25" s="21"/>
      <c r="I25" s="21"/>
      <c r="J25" s="21"/>
      <c r="K25" s="21"/>
    </row>
    <row r="26" spans="1:11" x14ac:dyDescent="0.2">
      <c r="A26" s="2" t="s">
        <v>99</v>
      </c>
      <c r="B26" s="20">
        <f t="shared" si="0"/>
        <v>1</v>
      </c>
      <c r="C26" s="20">
        <f t="shared" si="1"/>
        <v>2.6774193548387095</v>
      </c>
      <c r="D26" s="20">
        <f t="shared" si="1"/>
        <v>28.838709677419356</v>
      </c>
      <c r="E26" s="20">
        <f t="shared" si="1"/>
        <v>3.161290322580645</v>
      </c>
      <c r="F26" s="20">
        <f t="shared" si="1"/>
        <v>3.4193548387096775</v>
      </c>
      <c r="G26" s="21"/>
      <c r="I26" s="21"/>
      <c r="J26" s="21"/>
      <c r="K26" s="21"/>
    </row>
    <row r="27" spans="1:11" x14ac:dyDescent="0.2">
      <c r="A27" s="2" t="s">
        <v>100</v>
      </c>
      <c r="B27" s="20">
        <f t="shared" si="0"/>
        <v>1</v>
      </c>
      <c r="C27" s="20">
        <f t="shared" si="1"/>
        <v>1.3530031612223392</v>
      </c>
      <c r="D27" s="20">
        <f t="shared" si="1"/>
        <v>8.1707060063224439</v>
      </c>
      <c r="E27" s="20">
        <f t="shared" si="1"/>
        <v>1.3582718651211803</v>
      </c>
      <c r="F27" s="20">
        <f t="shared" si="1"/>
        <v>1.3909378292939938</v>
      </c>
      <c r="G27" s="21"/>
      <c r="I27" s="21"/>
      <c r="J27" s="21"/>
      <c r="K27" s="21"/>
    </row>
    <row r="28" spans="1:11" x14ac:dyDescent="0.2">
      <c r="A28" s="4" t="s">
        <v>158</v>
      </c>
      <c r="B28" s="65">
        <f t="shared" si="0"/>
        <v>1</v>
      </c>
      <c r="C28" s="65">
        <f t="shared" si="1"/>
        <v>1.0370496261046906</v>
      </c>
      <c r="D28" s="65">
        <f t="shared" si="1"/>
        <v>2.6730115567641062</v>
      </c>
      <c r="E28" s="65">
        <f t="shared" si="1"/>
        <v>1.073929299796057</v>
      </c>
      <c r="F28" s="65">
        <f t="shared" si="1"/>
        <v>1.1794697484704282</v>
      </c>
      <c r="G28" s="21"/>
      <c r="I28" s="21"/>
      <c r="J28" s="21"/>
      <c r="K28" s="21"/>
    </row>
    <row r="29" spans="1:11" x14ac:dyDescent="0.2">
      <c r="A29" s="2" t="s">
        <v>101</v>
      </c>
      <c r="B29" s="20">
        <f t="shared" si="0"/>
        <v>1</v>
      </c>
      <c r="C29" s="20">
        <f t="shared" si="1"/>
        <v>1.3771186440677967</v>
      </c>
      <c r="D29" s="20">
        <f t="shared" si="1"/>
        <v>6.8919491525423728</v>
      </c>
      <c r="E29" s="20">
        <f t="shared" si="1"/>
        <v>1.4682203389830508</v>
      </c>
      <c r="F29" s="20">
        <f t="shared" si="1"/>
        <v>1.6271186440677967</v>
      </c>
      <c r="G29" s="21"/>
      <c r="I29" s="21"/>
      <c r="J29" s="21"/>
      <c r="K29" s="21"/>
    </row>
    <row r="30" spans="1:11" x14ac:dyDescent="0.2">
      <c r="A30" s="2" t="s">
        <v>102</v>
      </c>
      <c r="B30" s="20">
        <f t="shared" si="0"/>
        <v>1</v>
      </c>
      <c r="C30" s="20">
        <f t="shared" si="1"/>
        <v>1.5</v>
      </c>
      <c r="D30" s="20">
        <f t="shared" si="1"/>
        <v>6.2777777777777777</v>
      </c>
      <c r="E30" s="20">
        <f t="shared" si="1"/>
        <v>1.537037037037037</v>
      </c>
      <c r="F30" s="20">
        <f t="shared" si="1"/>
        <v>1.6851851851851851</v>
      </c>
      <c r="G30" s="21"/>
      <c r="I30" s="21"/>
      <c r="J30" s="21"/>
      <c r="K30" s="21"/>
    </row>
    <row r="31" spans="1:11" x14ac:dyDescent="0.2">
      <c r="A31" s="2" t="s">
        <v>160</v>
      </c>
      <c r="B31" s="20">
        <f>GEOMEAN(B18:B30)</f>
        <v>1</v>
      </c>
      <c r="C31" s="20">
        <f>GEOMEAN(C18:C30)</f>
        <v>1.3409621318138527</v>
      </c>
      <c r="D31" s="20">
        <f>GEOMEAN(D18:D30)</f>
        <v>4.6206638097694075</v>
      </c>
      <c r="E31" s="20">
        <f>GEOMEAN(E18:E30)</f>
        <v>1.4127695343529236</v>
      </c>
      <c r="F31" s="20">
        <f>GEOMEAN(F18:F30)</f>
        <v>1.4659923378379092</v>
      </c>
      <c r="G31" s="1">
        <f>D31/F31</f>
        <v>3.151901746351625</v>
      </c>
    </row>
    <row r="32" spans="1:11" x14ac:dyDescent="0.2">
      <c r="B32" s="21"/>
      <c r="C32" s="21"/>
      <c r="D32" s="21"/>
      <c r="E32" s="21"/>
      <c r="F32" s="21"/>
    </row>
    <row r="33" spans="1:11" x14ac:dyDescent="0.2">
      <c r="B33" s="21"/>
      <c r="C33" s="21"/>
      <c r="D33" s="21"/>
      <c r="E33" s="21"/>
      <c r="F33" s="21"/>
    </row>
    <row r="34" spans="1:11" x14ac:dyDescent="0.2">
      <c r="B34" s="21"/>
      <c r="C34" s="21"/>
      <c r="D34" s="21"/>
      <c r="E34" s="21"/>
      <c r="F34" s="21"/>
    </row>
    <row r="35" spans="1:11" x14ac:dyDescent="0.2">
      <c r="B35" s="21"/>
      <c r="C35" s="21"/>
      <c r="D35" s="21"/>
      <c r="E35" s="21"/>
      <c r="F35" s="21"/>
      <c r="G35" s="1">
        <f>E31/C31</f>
        <v>1.0535491650625068</v>
      </c>
    </row>
    <row r="39" spans="1:11" x14ac:dyDescent="0.2">
      <c r="A39" s="2" t="s">
        <v>88</v>
      </c>
      <c r="B39" s="23" t="s">
        <v>86</v>
      </c>
      <c r="C39" s="2" t="s">
        <v>111</v>
      </c>
      <c r="D39" s="2" t="s">
        <v>112</v>
      </c>
      <c r="E39" s="2" t="s">
        <v>109</v>
      </c>
      <c r="F39" s="2" t="s">
        <v>110</v>
      </c>
      <c r="G39" s="2" t="s">
        <v>111</v>
      </c>
      <c r="H39" s="2" t="s">
        <v>109</v>
      </c>
      <c r="I39" s="2" t="s">
        <v>112</v>
      </c>
      <c r="J39" s="2" t="s">
        <v>110</v>
      </c>
    </row>
    <row r="40" spans="1:11" x14ac:dyDescent="0.2">
      <c r="A40" s="2" t="s">
        <v>91</v>
      </c>
      <c r="B40" s="3">
        <v>5360</v>
      </c>
      <c r="C40" s="3">
        <v>7224</v>
      </c>
      <c r="D40" s="3">
        <v>7156</v>
      </c>
      <c r="E40" s="3">
        <v>6888</v>
      </c>
      <c r="F40" s="3">
        <v>6884</v>
      </c>
      <c r="G40" s="26">
        <f>(C40-$B40)/1024</f>
        <v>1.8203125</v>
      </c>
      <c r="H40" s="26">
        <f t="shared" ref="H40:H52" si="2">(E40-$B40)/1024</f>
        <v>1.4921875</v>
      </c>
      <c r="I40" s="26">
        <f t="shared" ref="I40:I52" si="3">(D40-$B40)/1024</f>
        <v>1.75390625</v>
      </c>
      <c r="J40" s="26">
        <f>(F40-$B40)/1024</f>
        <v>1.48828125</v>
      </c>
      <c r="K40" s="25">
        <f t="shared" ref="K40:K52" si="4">I40-J40</f>
        <v>0.265625</v>
      </c>
    </row>
    <row r="41" spans="1:11" x14ac:dyDescent="0.2">
      <c r="A41" s="2" t="s">
        <v>92</v>
      </c>
      <c r="B41" s="3">
        <v>41536</v>
      </c>
      <c r="C41" s="3">
        <v>44076</v>
      </c>
      <c r="D41" s="3">
        <v>43832</v>
      </c>
      <c r="E41" s="3">
        <v>44008</v>
      </c>
      <c r="F41" s="3">
        <v>43944</v>
      </c>
      <c r="G41" s="26">
        <f t="shared" ref="G41:G52" si="5">(C41-$B41)/1024</f>
        <v>2.48046875</v>
      </c>
      <c r="H41" s="26">
        <f t="shared" si="2"/>
        <v>2.4140625</v>
      </c>
      <c r="I41" s="26">
        <f t="shared" si="3"/>
        <v>2.2421875</v>
      </c>
      <c r="J41" s="26">
        <f t="shared" ref="J41:J52" si="6">(F41-$B41)/1024</f>
        <v>2.3515625</v>
      </c>
      <c r="K41" s="25">
        <f t="shared" si="4"/>
        <v>-0.109375</v>
      </c>
    </row>
    <row r="42" spans="1:11" x14ac:dyDescent="0.2">
      <c r="A42" s="2" t="s">
        <v>93</v>
      </c>
      <c r="B42" s="3">
        <v>12587144</v>
      </c>
      <c r="C42" s="3">
        <v>12589148</v>
      </c>
      <c r="D42" s="3">
        <v>12589168</v>
      </c>
      <c r="E42" s="3">
        <v>12589072</v>
      </c>
      <c r="F42" s="3">
        <v>12588864</v>
      </c>
      <c r="G42" s="26">
        <f t="shared" si="5"/>
        <v>1.95703125</v>
      </c>
      <c r="H42" s="26">
        <f t="shared" si="2"/>
        <v>1.8828125</v>
      </c>
      <c r="I42" s="26">
        <f t="shared" si="3"/>
        <v>1.9765625</v>
      </c>
      <c r="J42" s="26">
        <f t="shared" si="6"/>
        <v>1.6796875</v>
      </c>
      <c r="K42" s="25">
        <f t="shared" si="4"/>
        <v>0.296875</v>
      </c>
    </row>
    <row r="43" spans="1:11" x14ac:dyDescent="0.2">
      <c r="A43" s="2" t="s">
        <v>94</v>
      </c>
      <c r="B43" s="3">
        <v>26204</v>
      </c>
      <c r="C43" s="3">
        <v>27948</v>
      </c>
      <c r="D43" s="3">
        <v>27920</v>
      </c>
      <c r="E43" s="3">
        <v>27652</v>
      </c>
      <c r="F43" s="3">
        <v>27744</v>
      </c>
      <c r="G43" s="26">
        <f t="shared" si="5"/>
        <v>1.703125</v>
      </c>
      <c r="H43" s="26">
        <f t="shared" si="2"/>
        <v>1.4140625</v>
      </c>
      <c r="I43" s="26">
        <f t="shared" si="3"/>
        <v>1.67578125</v>
      </c>
      <c r="J43" s="26">
        <f t="shared" si="6"/>
        <v>1.50390625</v>
      </c>
      <c r="K43" s="25">
        <f t="shared" si="4"/>
        <v>0.171875</v>
      </c>
    </row>
    <row r="44" spans="1:11" x14ac:dyDescent="0.2">
      <c r="A44" s="2" t="s">
        <v>95</v>
      </c>
      <c r="B44" s="3">
        <v>133964</v>
      </c>
      <c r="C44" s="3">
        <v>135920</v>
      </c>
      <c r="D44" s="3">
        <v>135900</v>
      </c>
      <c r="E44" s="3">
        <v>135776</v>
      </c>
      <c r="F44" s="3">
        <v>135804</v>
      </c>
      <c r="G44" s="26">
        <f t="shared" si="5"/>
        <v>1.91015625</v>
      </c>
      <c r="H44" s="26">
        <f t="shared" si="2"/>
        <v>1.76953125</v>
      </c>
      <c r="I44" s="26">
        <f t="shared" si="3"/>
        <v>1.890625</v>
      </c>
      <c r="J44" s="26">
        <f t="shared" si="6"/>
        <v>1.796875</v>
      </c>
      <c r="K44" s="25">
        <f t="shared" si="4"/>
        <v>9.375E-2</v>
      </c>
    </row>
    <row r="45" spans="1:11" x14ac:dyDescent="0.2">
      <c r="A45" s="2" t="s">
        <v>96</v>
      </c>
      <c r="B45" s="3">
        <v>133440</v>
      </c>
      <c r="C45" s="3">
        <v>135404</v>
      </c>
      <c r="D45" s="3">
        <v>135540</v>
      </c>
      <c r="E45" s="3">
        <v>135256</v>
      </c>
      <c r="F45" s="3">
        <v>135344</v>
      </c>
      <c r="G45" s="26">
        <f t="shared" si="5"/>
        <v>1.91796875</v>
      </c>
      <c r="H45" s="26">
        <f t="shared" si="2"/>
        <v>1.7734375</v>
      </c>
      <c r="I45" s="26">
        <f t="shared" si="3"/>
        <v>2.05078125</v>
      </c>
      <c r="J45" s="26">
        <f t="shared" si="6"/>
        <v>1.859375</v>
      </c>
      <c r="K45" s="25">
        <f t="shared" si="4"/>
        <v>0.19140625</v>
      </c>
    </row>
    <row r="46" spans="1:11" x14ac:dyDescent="0.2">
      <c r="A46" s="2" t="s">
        <v>97</v>
      </c>
      <c r="B46" s="3">
        <v>3629736</v>
      </c>
      <c r="C46" s="3">
        <v>3631776</v>
      </c>
      <c r="D46" s="3">
        <v>3631860</v>
      </c>
      <c r="E46" s="3">
        <v>3631788</v>
      </c>
      <c r="F46" s="3">
        <v>3631688</v>
      </c>
      <c r="G46" s="26">
        <f t="shared" si="5"/>
        <v>1.9921875</v>
      </c>
      <c r="H46" s="26">
        <f t="shared" si="2"/>
        <v>2.00390625</v>
      </c>
      <c r="I46" s="26">
        <f t="shared" si="3"/>
        <v>2.07421875</v>
      </c>
      <c r="J46" s="26">
        <f t="shared" si="6"/>
        <v>1.90625</v>
      </c>
      <c r="K46" s="25">
        <f t="shared" si="4"/>
        <v>0.16796875</v>
      </c>
    </row>
    <row r="47" spans="1:11" x14ac:dyDescent="0.2">
      <c r="A47" s="2" t="s">
        <v>98</v>
      </c>
      <c r="B47" s="3">
        <v>4092668</v>
      </c>
      <c r="C47" s="3">
        <v>4094604</v>
      </c>
      <c r="D47" s="3">
        <v>4094656</v>
      </c>
      <c r="E47" s="3">
        <v>4094596</v>
      </c>
      <c r="F47" s="3">
        <v>4094376</v>
      </c>
      <c r="G47" s="26">
        <f t="shared" si="5"/>
        <v>1.890625</v>
      </c>
      <c r="H47" s="26">
        <f t="shared" si="2"/>
        <v>1.8828125</v>
      </c>
      <c r="I47" s="26">
        <f t="shared" si="3"/>
        <v>1.94140625</v>
      </c>
      <c r="J47" s="26">
        <f t="shared" si="6"/>
        <v>1.66796875</v>
      </c>
      <c r="K47" s="25">
        <f t="shared" si="4"/>
        <v>0.2734375</v>
      </c>
    </row>
    <row r="48" spans="1:11" x14ac:dyDescent="0.2">
      <c r="A48" s="2" t="s">
        <v>99</v>
      </c>
      <c r="B48" s="3">
        <v>219128</v>
      </c>
      <c r="C48" s="3">
        <v>220972</v>
      </c>
      <c r="D48" s="3">
        <v>221176</v>
      </c>
      <c r="E48" s="3">
        <v>220688</v>
      </c>
      <c r="F48" s="3">
        <v>220900</v>
      </c>
      <c r="G48" s="26">
        <f t="shared" si="5"/>
        <v>1.80078125</v>
      </c>
      <c r="H48" s="26">
        <f t="shared" si="2"/>
        <v>1.5234375</v>
      </c>
      <c r="I48" s="26">
        <f t="shared" si="3"/>
        <v>2</v>
      </c>
      <c r="J48" s="26">
        <f t="shared" si="6"/>
        <v>1.73046875</v>
      </c>
      <c r="K48" s="25">
        <f t="shared" si="4"/>
        <v>0.26953125</v>
      </c>
    </row>
    <row r="49" spans="1:11" x14ac:dyDescent="0.2">
      <c r="A49" s="2" t="s">
        <v>100</v>
      </c>
      <c r="B49" s="3">
        <v>1440684</v>
      </c>
      <c r="C49" s="3">
        <v>1442876</v>
      </c>
      <c r="D49" s="3">
        <v>1442708</v>
      </c>
      <c r="E49" s="3">
        <v>1442688</v>
      </c>
      <c r="F49" s="3">
        <v>1442508</v>
      </c>
      <c r="G49" s="26">
        <f t="shared" si="5"/>
        <v>2.140625</v>
      </c>
      <c r="H49" s="26">
        <f t="shared" si="2"/>
        <v>1.95703125</v>
      </c>
      <c r="I49" s="26">
        <f t="shared" si="3"/>
        <v>1.9765625</v>
      </c>
      <c r="J49" s="26">
        <f t="shared" si="6"/>
        <v>1.78125</v>
      </c>
      <c r="K49" s="25">
        <f t="shared" si="4"/>
        <v>0.1953125</v>
      </c>
    </row>
    <row r="50" spans="1:11" x14ac:dyDescent="0.2">
      <c r="A50" s="4" t="s">
        <v>158</v>
      </c>
      <c r="B50" s="66">
        <v>23940</v>
      </c>
      <c r="C50" s="66">
        <v>25680</v>
      </c>
      <c r="D50" s="66">
        <v>25684</v>
      </c>
      <c r="E50" s="66">
        <v>25656</v>
      </c>
      <c r="F50" s="66">
        <v>25664</v>
      </c>
      <c r="G50" s="67">
        <f>(C50-$B50)/1024</f>
        <v>1.69921875</v>
      </c>
      <c r="H50" s="67">
        <f t="shared" si="2"/>
        <v>1.67578125</v>
      </c>
      <c r="I50" s="67">
        <f t="shared" si="3"/>
        <v>1.703125</v>
      </c>
      <c r="J50" s="67">
        <f>(F50-$B50)/1024</f>
        <v>1.68359375</v>
      </c>
      <c r="K50" s="25"/>
    </row>
    <row r="51" spans="1:11" x14ac:dyDescent="0.2">
      <c r="A51" s="2" t="s">
        <v>101</v>
      </c>
      <c r="B51" s="3">
        <v>6708</v>
      </c>
      <c r="C51" s="3">
        <v>8700</v>
      </c>
      <c r="D51" s="3">
        <v>8736</v>
      </c>
      <c r="E51" s="3">
        <v>8532</v>
      </c>
      <c r="F51" s="3">
        <v>8488</v>
      </c>
      <c r="G51" s="26">
        <f t="shared" si="5"/>
        <v>1.9453125</v>
      </c>
      <c r="H51" s="26">
        <f t="shared" si="2"/>
        <v>1.78125</v>
      </c>
      <c r="I51" s="26">
        <f t="shared" si="3"/>
        <v>1.98046875</v>
      </c>
      <c r="J51" s="26">
        <f t="shared" si="6"/>
        <v>1.73828125</v>
      </c>
      <c r="K51" s="25">
        <f t="shared" si="4"/>
        <v>0.2421875</v>
      </c>
    </row>
    <row r="52" spans="1:11" x14ac:dyDescent="0.2">
      <c r="A52" s="2" t="s">
        <v>102</v>
      </c>
      <c r="B52" s="3">
        <v>5508</v>
      </c>
      <c r="C52" s="3">
        <v>7580</v>
      </c>
      <c r="D52" s="3">
        <v>7592</v>
      </c>
      <c r="E52" s="3">
        <v>7444</v>
      </c>
      <c r="F52" s="3">
        <v>7320</v>
      </c>
      <c r="G52" s="26">
        <f t="shared" si="5"/>
        <v>2.0234375</v>
      </c>
      <c r="H52" s="26">
        <f t="shared" si="2"/>
        <v>1.890625</v>
      </c>
      <c r="I52" s="26">
        <f t="shared" si="3"/>
        <v>2.03515625</v>
      </c>
      <c r="J52" s="26">
        <f t="shared" si="6"/>
        <v>1.76953125</v>
      </c>
      <c r="K52" s="25">
        <f t="shared" si="4"/>
        <v>0.265625</v>
      </c>
    </row>
    <row r="53" spans="1:11" x14ac:dyDescent="0.2">
      <c r="A53" s="2" t="s">
        <v>66</v>
      </c>
      <c r="B53" s="2"/>
      <c r="C53" s="2"/>
      <c r="D53" s="2"/>
      <c r="F53" s="2"/>
      <c r="G53" s="27">
        <f>GEOMEAN(G40:G52)</f>
        <v>1.9356332780233232</v>
      </c>
      <c r="H53" s="27">
        <f>GEOMEAN(H40:H52)</f>
        <v>1.7881262061774543</v>
      </c>
      <c r="I53" s="27">
        <f>GEOMEAN(I40:I52)</f>
        <v>1.9401485266730638</v>
      </c>
      <c r="J53" s="27">
        <f>GEOMEAN(J40:J52)</f>
        <v>1.7550761801760975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309-DB42-5D47-B840-18C61923646E}">
  <dimension ref="A1:O76"/>
  <sheetViews>
    <sheetView topLeftCell="A33" zoomScale="80" zoomScaleNormal="80" workbookViewId="0">
      <selection activeCell="A31" sqref="A31"/>
    </sheetView>
  </sheetViews>
  <sheetFormatPr baseColWidth="10" defaultRowHeight="18" x14ac:dyDescent="0.2"/>
  <cols>
    <col min="1" max="1" width="27.83203125" style="1" bestFit="1" customWidth="1"/>
    <col min="2" max="3" width="14.1640625" style="1" bestFit="1" customWidth="1"/>
    <col min="4" max="4" width="25.6640625" style="1" bestFit="1" customWidth="1"/>
    <col min="5" max="5" width="20.6640625" style="1" bestFit="1" customWidth="1"/>
    <col min="6" max="6" width="35.1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20.6640625" style="1" bestFit="1" customWidth="1"/>
    <col min="11" max="11" width="35.1640625" style="1" bestFit="1" customWidth="1"/>
    <col min="12" max="12" width="30.1640625" style="1" bestFit="1" customWidth="1"/>
    <col min="13" max="16384" width="10.83203125" style="1"/>
  </cols>
  <sheetData>
    <row r="1" spans="1:7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124</v>
      </c>
      <c r="F1" s="2" t="s">
        <v>113</v>
      </c>
      <c r="G1" s="2" t="s">
        <v>123</v>
      </c>
    </row>
    <row r="2" spans="1:7" x14ac:dyDescent="0.2">
      <c r="A2" s="12" t="s">
        <v>28</v>
      </c>
      <c r="B2" s="3">
        <v>32869</v>
      </c>
      <c r="C2" s="3">
        <v>61249</v>
      </c>
      <c r="D2" s="3">
        <v>393700</v>
      </c>
      <c r="E2" s="3">
        <v>322373</v>
      </c>
      <c r="F2" s="3">
        <v>458800</v>
      </c>
      <c r="G2" s="3">
        <v>388900</v>
      </c>
    </row>
    <row r="3" spans="1:7" x14ac:dyDescent="0.2">
      <c r="A3" s="12" t="s">
        <v>6</v>
      </c>
      <c r="B3" s="3">
        <v>25970</v>
      </c>
      <c r="C3" s="3">
        <v>44619</v>
      </c>
      <c r="D3" s="3">
        <v>56892</v>
      </c>
      <c r="E3" s="3">
        <v>51233</v>
      </c>
      <c r="F3" s="3">
        <v>58866</v>
      </c>
      <c r="G3" s="3">
        <v>52843</v>
      </c>
    </row>
    <row r="4" spans="1:7" x14ac:dyDescent="0.2">
      <c r="A4" s="12" t="s">
        <v>7</v>
      </c>
      <c r="B4" s="3">
        <v>39798</v>
      </c>
      <c r="C4" s="3">
        <v>104067</v>
      </c>
      <c r="D4" s="3">
        <v>181311</v>
      </c>
      <c r="E4" s="3">
        <v>143485</v>
      </c>
      <c r="F4" s="3">
        <v>195831</v>
      </c>
      <c r="G4" s="3">
        <v>157595</v>
      </c>
    </row>
    <row r="5" spans="1:7" x14ac:dyDescent="0.2">
      <c r="A5" s="12" t="s">
        <v>31</v>
      </c>
      <c r="B5" s="3">
        <v>24488</v>
      </c>
      <c r="C5" s="3">
        <v>41939</v>
      </c>
      <c r="D5" s="3">
        <v>41541</v>
      </c>
      <c r="E5" s="3">
        <v>41794</v>
      </c>
      <c r="F5" s="3">
        <v>41833</v>
      </c>
      <c r="G5" s="3">
        <v>41701</v>
      </c>
    </row>
    <row r="6" spans="1:7" x14ac:dyDescent="0.2">
      <c r="A6" s="12" t="s">
        <v>30</v>
      </c>
      <c r="B6" s="3">
        <v>29569</v>
      </c>
      <c r="C6" s="3">
        <v>55325</v>
      </c>
      <c r="D6" s="3">
        <v>226761</v>
      </c>
      <c r="E6" s="3">
        <v>143741</v>
      </c>
      <c r="F6" s="3">
        <v>260709</v>
      </c>
      <c r="G6" s="3">
        <v>176264</v>
      </c>
    </row>
    <row r="7" spans="1:7" x14ac:dyDescent="0.2">
      <c r="A7" s="12" t="s">
        <v>32</v>
      </c>
      <c r="B7" s="3">
        <v>11043</v>
      </c>
      <c r="C7" s="3">
        <v>23148</v>
      </c>
      <c r="D7" s="3">
        <v>80574</v>
      </c>
      <c r="E7" s="3">
        <v>62939</v>
      </c>
      <c r="F7" s="3">
        <v>92039</v>
      </c>
      <c r="G7" s="3">
        <v>73311</v>
      </c>
    </row>
    <row r="8" spans="1:7" x14ac:dyDescent="0.2">
      <c r="A8" s="12" t="s">
        <v>34</v>
      </c>
      <c r="B8" s="3">
        <v>38109</v>
      </c>
      <c r="C8" s="3">
        <v>71140</v>
      </c>
      <c r="D8" s="3">
        <v>277611</v>
      </c>
      <c r="E8" s="3">
        <v>164814</v>
      </c>
      <c r="F8" s="3">
        <v>315309</v>
      </c>
      <c r="G8" s="3">
        <v>196404</v>
      </c>
    </row>
    <row r="9" spans="1:7" x14ac:dyDescent="0.2">
      <c r="A9" s="12" t="s">
        <v>36</v>
      </c>
      <c r="B9" s="3">
        <v>12007</v>
      </c>
      <c r="C9" s="3">
        <v>20963</v>
      </c>
      <c r="D9" s="3">
        <v>27253</v>
      </c>
      <c r="E9" s="3">
        <v>24849</v>
      </c>
      <c r="F9" s="3">
        <v>28443</v>
      </c>
      <c r="G9" s="3">
        <v>25916</v>
      </c>
    </row>
    <row r="10" spans="1:7" x14ac:dyDescent="0.2">
      <c r="A10" s="12" t="s">
        <v>11</v>
      </c>
      <c r="B10" s="3">
        <v>66451</v>
      </c>
      <c r="C10" s="3">
        <v>124404</v>
      </c>
      <c r="D10" s="3">
        <v>766000</v>
      </c>
      <c r="E10" s="3">
        <v>625600</v>
      </c>
      <c r="F10" s="3">
        <v>881100</v>
      </c>
      <c r="G10" s="3">
        <v>754600</v>
      </c>
    </row>
    <row r="11" spans="1:7" x14ac:dyDescent="0.2">
      <c r="A11" s="12" t="s">
        <v>13</v>
      </c>
      <c r="B11" s="3">
        <v>116294</v>
      </c>
      <c r="C11" s="3">
        <v>122291</v>
      </c>
      <c r="D11" s="3">
        <v>118549</v>
      </c>
      <c r="E11" s="3">
        <v>118093</v>
      </c>
      <c r="F11" s="3">
        <v>118090</v>
      </c>
      <c r="G11" s="3">
        <v>118523</v>
      </c>
    </row>
    <row r="12" spans="1:7" x14ac:dyDescent="0.2">
      <c r="A12" s="12" t="s">
        <v>15</v>
      </c>
      <c r="B12" s="3">
        <v>29341</v>
      </c>
      <c r="C12" s="3">
        <v>54869</v>
      </c>
      <c r="D12" s="3">
        <v>226410</v>
      </c>
      <c r="E12" s="3">
        <v>141824</v>
      </c>
      <c r="F12" s="3">
        <v>260330</v>
      </c>
      <c r="G12" s="3">
        <v>174995</v>
      </c>
    </row>
    <row r="13" spans="1:7" x14ac:dyDescent="0.2">
      <c r="A13" s="12" t="s">
        <v>16</v>
      </c>
      <c r="B13" s="3">
        <v>11136</v>
      </c>
      <c r="C13" s="3">
        <v>23149</v>
      </c>
      <c r="D13" s="3">
        <v>80515</v>
      </c>
      <c r="E13" s="3">
        <v>62926</v>
      </c>
      <c r="F13" s="3">
        <v>91966</v>
      </c>
      <c r="G13" s="3">
        <v>73369</v>
      </c>
    </row>
    <row r="14" spans="1:7" x14ac:dyDescent="0.2">
      <c r="A14" s="12" t="s">
        <v>19</v>
      </c>
      <c r="B14" s="3">
        <v>38181</v>
      </c>
      <c r="C14" s="3">
        <v>71419</v>
      </c>
      <c r="D14" s="3">
        <v>275313</v>
      </c>
      <c r="E14" s="3">
        <v>166059</v>
      </c>
      <c r="F14" s="3">
        <v>316958</v>
      </c>
      <c r="G14" s="3">
        <v>197495</v>
      </c>
    </row>
    <row r="15" spans="1:7" x14ac:dyDescent="0.2">
      <c r="A15" s="12" t="s">
        <v>21</v>
      </c>
      <c r="B15" s="3">
        <v>31298</v>
      </c>
      <c r="C15" s="3">
        <v>64447</v>
      </c>
      <c r="D15" s="3">
        <v>81707</v>
      </c>
      <c r="E15" s="3">
        <v>76384</v>
      </c>
      <c r="F15" s="3">
        <v>85929</v>
      </c>
      <c r="G15" s="3">
        <v>80178</v>
      </c>
    </row>
    <row r="16" spans="1:7" x14ac:dyDescent="0.2">
      <c r="B16" s="22"/>
      <c r="C16" s="22"/>
      <c r="D16" s="22"/>
      <c r="E16" s="22"/>
      <c r="F16" s="22"/>
      <c r="G16" s="22"/>
    </row>
    <row r="17" spans="1:15" x14ac:dyDescent="0.2">
      <c r="B17" s="22"/>
      <c r="C17" s="22"/>
      <c r="D17" s="22"/>
      <c r="E17" s="22"/>
      <c r="F17" s="22"/>
      <c r="G17" s="22"/>
    </row>
    <row r="18" spans="1:15" x14ac:dyDescent="0.2">
      <c r="B18" s="22"/>
      <c r="C18" s="22"/>
      <c r="D18" s="22"/>
      <c r="E18" s="22"/>
      <c r="F18" s="22"/>
      <c r="G18" s="22"/>
    </row>
    <row r="21" spans="1:15" x14ac:dyDescent="0.2">
      <c r="A21" s="2" t="s">
        <v>87</v>
      </c>
      <c r="B21" s="2" t="s">
        <v>86</v>
      </c>
      <c r="C21" s="2" t="s">
        <v>104</v>
      </c>
      <c r="D21" s="2" t="s">
        <v>109</v>
      </c>
      <c r="E21" s="2" t="s">
        <v>124</v>
      </c>
      <c r="F21" s="2" t="s">
        <v>113</v>
      </c>
      <c r="G21" s="2" t="s">
        <v>123</v>
      </c>
      <c r="I21" s="2" t="s">
        <v>87</v>
      </c>
      <c r="J21" s="2" t="s">
        <v>104</v>
      </c>
      <c r="K21" s="2" t="s">
        <v>113</v>
      </c>
      <c r="L21" s="2" t="s">
        <v>109</v>
      </c>
      <c r="M21" s="2" t="s">
        <v>123</v>
      </c>
      <c r="N21" s="2" t="s">
        <v>124</v>
      </c>
      <c r="O21" s="2"/>
    </row>
    <row r="22" spans="1:15" x14ac:dyDescent="0.2">
      <c r="A22" s="12" t="s">
        <v>115</v>
      </c>
      <c r="B22" s="20">
        <f t="shared" ref="B22:D35" si="0">B2/$B2</f>
        <v>1</v>
      </c>
      <c r="C22" s="20">
        <f t="shared" si="0"/>
        <v>1.8634275457117648</v>
      </c>
      <c r="D22" s="20">
        <f t="shared" si="0"/>
        <v>11.977851470990903</v>
      </c>
      <c r="E22" s="20">
        <f t="shared" ref="E22:G35" si="1">E2/$B2</f>
        <v>9.8078128327603515</v>
      </c>
      <c r="F22" s="20">
        <f t="shared" ref="F22:F35" si="2">F2/$B2</f>
        <v>13.95844108430436</v>
      </c>
      <c r="G22" s="20">
        <f t="shared" si="1"/>
        <v>11.831817213788067</v>
      </c>
      <c r="I22" s="12" t="s">
        <v>115</v>
      </c>
      <c r="J22" s="20">
        <f>C2/$C2</f>
        <v>1</v>
      </c>
      <c r="K22" s="20">
        <f t="shared" ref="K22:N35" si="3">D2/$C2</f>
        <v>6.4278600466946401</v>
      </c>
      <c r="L22" s="20">
        <f t="shared" si="3"/>
        <v>5.2633185847932209</v>
      </c>
      <c r="M22" s="20">
        <f t="shared" si="3"/>
        <v>7.4907345426047769</v>
      </c>
      <c r="N22" s="20">
        <f t="shared" si="3"/>
        <v>6.3494914202680857</v>
      </c>
      <c r="O22" s="20"/>
    </row>
    <row r="23" spans="1:15" x14ac:dyDescent="0.2">
      <c r="A23" s="12" t="s">
        <v>116</v>
      </c>
      <c r="B23" s="20">
        <f t="shared" si="0"/>
        <v>1</v>
      </c>
      <c r="C23" s="20">
        <f t="shared" si="0"/>
        <v>1.7180978051597997</v>
      </c>
      <c r="D23" s="20">
        <f t="shared" si="0"/>
        <v>2.1906815556411243</v>
      </c>
      <c r="E23" s="20">
        <f t="shared" si="1"/>
        <v>1.9727762803234501</v>
      </c>
      <c r="F23" s="20">
        <f t="shared" si="2"/>
        <v>2.2666923373122834</v>
      </c>
      <c r="G23" s="20">
        <f t="shared" si="1"/>
        <v>2.0347708894878704</v>
      </c>
      <c r="I23" s="12" t="s">
        <v>116</v>
      </c>
      <c r="J23" s="20">
        <f t="shared" ref="J23:J35" si="4">C3/$C3</f>
        <v>1</v>
      </c>
      <c r="K23" s="20">
        <f t="shared" si="3"/>
        <v>1.2750621932360653</v>
      </c>
      <c r="L23" s="20">
        <f t="shared" si="3"/>
        <v>1.1482328156166655</v>
      </c>
      <c r="M23" s="20">
        <f t="shared" si="3"/>
        <v>1.319303435756068</v>
      </c>
      <c r="N23" s="20">
        <f t="shared" si="3"/>
        <v>1.1843160985230508</v>
      </c>
      <c r="O23" s="20"/>
    </row>
    <row r="24" spans="1:15" x14ac:dyDescent="0.2">
      <c r="A24" s="12" t="s">
        <v>117</v>
      </c>
      <c r="B24" s="20">
        <f t="shared" si="0"/>
        <v>1</v>
      </c>
      <c r="C24" s="20">
        <f t="shared" si="0"/>
        <v>2.6148801447308911</v>
      </c>
      <c r="D24" s="20">
        <f t="shared" si="0"/>
        <v>4.5557816975727423</v>
      </c>
      <c r="E24" s="20">
        <f t="shared" si="1"/>
        <v>3.6053319262274486</v>
      </c>
      <c r="F24" s="20">
        <f t="shared" si="2"/>
        <v>4.9206241519674352</v>
      </c>
      <c r="G24" s="20">
        <f t="shared" si="1"/>
        <v>3.9598723553947432</v>
      </c>
      <c r="I24" s="12" t="s">
        <v>117</v>
      </c>
      <c r="J24" s="20">
        <f t="shared" si="4"/>
        <v>1</v>
      </c>
      <c r="K24" s="20">
        <f t="shared" si="3"/>
        <v>1.7422525872755052</v>
      </c>
      <c r="L24" s="20">
        <f t="shared" si="3"/>
        <v>1.3787752121229593</v>
      </c>
      <c r="M24" s="20">
        <f t="shared" si="3"/>
        <v>1.8817780852719883</v>
      </c>
      <c r="N24" s="20">
        <f t="shared" si="3"/>
        <v>1.5143609405479161</v>
      </c>
      <c r="O24" s="20"/>
    </row>
    <row r="25" spans="1:15" x14ac:dyDescent="0.2">
      <c r="A25" s="12" t="s">
        <v>118</v>
      </c>
      <c r="B25" s="20">
        <f t="shared" si="0"/>
        <v>1</v>
      </c>
      <c r="C25" s="20">
        <f t="shared" si="0"/>
        <v>1.7126347598823914</v>
      </c>
      <c r="D25" s="20">
        <f t="shared" si="0"/>
        <v>1.6963819013394315</v>
      </c>
      <c r="E25" s="20">
        <f t="shared" si="1"/>
        <v>1.7067134923227703</v>
      </c>
      <c r="F25" s="20">
        <f t="shared" si="2"/>
        <v>1.7083061091146685</v>
      </c>
      <c r="G25" s="20">
        <f t="shared" si="1"/>
        <v>1.7029157138190134</v>
      </c>
      <c r="I25" s="12" t="s">
        <v>118</v>
      </c>
      <c r="J25" s="20">
        <f t="shared" si="4"/>
        <v>1</v>
      </c>
      <c r="K25" s="20">
        <f t="shared" si="3"/>
        <v>0.99051002646701158</v>
      </c>
      <c r="L25" s="20">
        <f t="shared" si="3"/>
        <v>0.99654259758220276</v>
      </c>
      <c r="M25" s="20">
        <f t="shared" si="3"/>
        <v>0.99747251961181715</v>
      </c>
      <c r="N25" s="20">
        <f t="shared" si="3"/>
        <v>0.99432509120389134</v>
      </c>
      <c r="O25" s="20"/>
    </row>
    <row r="26" spans="1:15" x14ac:dyDescent="0.2">
      <c r="A26" s="12" t="s">
        <v>119</v>
      </c>
      <c r="B26" s="20">
        <f t="shared" si="0"/>
        <v>1</v>
      </c>
      <c r="C26" s="20">
        <f t="shared" si="0"/>
        <v>1.871047380702763</v>
      </c>
      <c r="D26" s="20">
        <f t="shared" si="0"/>
        <v>7.6688761878994898</v>
      </c>
      <c r="E26" s="20">
        <f t="shared" si="1"/>
        <v>4.8612059927626907</v>
      </c>
      <c r="F26" s="20">
        <f t="shared" si="2"/>
        <v>8.8169704758361807</v>
      </c>
      <c r="G26" s="20">
        <f t="shared" si="1"/>
        <v>5.9611079170753154</v>
      </c>
      <c r="I26" s="12" t="s">
        <v>119</v>
      </c>
      <c r="J26" s="20">
        <f t="shared" si="4"/>
        <v>1</v>
      </c>
      <c r="K26" s="20">
        <f t="shared" si="3"/>
        <v>4.0987076366922732</v>
      </c>
      <c r="L26" s="20">
        <f t="shared" si="3"/>
        <v>2.5981201988251241</v>
      </c>
      <c r="M26" s="20">
        <f t="shared" si="3"/>
        <v>4.7123181201988249</v>
      </c>
      <c r="N26" s="20">
        <f t="shared" si="3"/>
        <v>3.1859737912336197</v>
      </c>
      <c r="O26" s="20"/>
    </row>
    <row r="27" spans="1:15" x14ac:dyDescent="0.2">
      <c r="A27" s="12" t="s">
        <v>120</v>
      </c>
      <c r="B27" s="20">
        <f t="shared" si="0"/>
        <v>1</v>
      </c>
      <c r="C27" s="20">
        <f t="shared" si="0"/>
        <v>2.0961695191524043</v>
      </c>
      <c r="D27" s="20">
        <f t="shared" si="0"/>
        <v>7.2963868513990766</v>
      </c>
      <c r="E27" s="20">
        <f t="shared" si="1"/>
        <v>5.6994476138730414</v>
      </c>
      <c r="F27" s="20">
        <f t="shared" si="2"/>
        <v>8.3346011047722541</v>
      </c>
      <c r="G27" s="20">
        <f t="shared" si="1"/>
        <v>6.6386851399076336</v>
      </c>
      <c r="I27" s="12" t="s">
        <v>120</v>
      </c>
      <c r="J27" s="20">
        <f t="shared" si="4"/>
        <v>1</v>
      </c>
      <c r="K27" s="20">
        <f t="shared" si="3"/>
        <v>3.4808190772420944</v>
      </c>
      <c r="L27" s="20">
        <f t="shared" si="3"/>
        <v>2.7189822014860896</v>
      </c>
      <c r="M27" s="20">
        <f t="shared" si="3"/>
        <v>3.9761102471055816</v>
      </c>
      <c r="N27" s="20">
        <f t="shared" si="3"/>
        <v>3.1670554691550028</v>
      </c>
      <c r="O27" s="20"/>
    </row>
    <row r="28" spans="1:15" x14ac:dyDescent="0.2">
      <c r="A28" s="12" t="s">
        <v>121</v>
      </c>
      <c r="B28" s="20">
        <f t="shared" si="0"/>
        <v>1</v>
      </c>
      <c r="C28" s="20">
        <f t="shared" si="0"/>
        <v>1.8667506363326249</v>
      </c>
      <c r="D28" s="20">
        <f t="shared" si="0"/>
        <v>7.2846571675982048</v>
      </c>
      <c r="E28" s="20">
        <f t="shared" si="1"/>
        <v>4.3248051641344567</v>
      </c>
      <c r="F28" s="20">
        <f t="shared" si="2"/>
        <v>8.2738723136267023</v>
      </c>
      <c r="G28" s="20">
        <f t="shared" si="1"/>
        <v>5.1537432102652918</v>
      </c>
      <c r="I28" s="12" t="s">
        <v>121</v>
      </c>
      <c r="J28" s="20">
        <f t="shared" si="4"/>
        <v>1</v>
      </c>
      <c r="K28" s="20">
        <f t="shared" si="3"/>
        <v>3.9023193702558334</v>
      </c>
      <c r="L28" s="20">
        <f t="shared" si="3"/>
        <v>2.3167556929997191</v>
      </c>
      <c r="M28" s="20">
        <f t="shared" si="3"/>
        <v>4.4322322181613716</v>
      </c>
      <c r="N28" s="20">
        <f t="shared" si="3"/>
        <v>2.7608096710711272</v>
      </c>
      <c r="O28" s="20"/>
    </row>
    <row r="29" spans="1:15" x14ac:dyDescent="0.2">
      <c r="A29" s="12" t="s">
        <v>122</v>
      </c>
      <c r="B29" s="20">
        <f t="shared" si="0"/>
        <v>1</v>
      </c>
      <c r="C29" s="20">
        <f t="shared" si="0"/>
        <v>1.745898226034813</v>
      </c>
      <c r="D29" s="20">
        <f t="shared" si="0"/>
        <v>2.2697593070708755</v>
      </c>
      <c r="E29" s="20">
        <f t="shared" si="1"/>
        <v>2.0695427667194135</v>
      </c>
      <c r="F29" s="20">
        <f t="shared" si="2"/>
        <v>2.36886816023986</v>
      </c>
      <c r="G29" s="20">
        <f t="shared" si="1"/>
        <v>2.1584075955692512</v>
      </c>
      <c r="I29" s="12" t="s">
        <v>122</v>
      </c>
      <c r="J29" s="20">
        <f t="shared" si="4"/>
        <v>1</v>
      </c>
      <c r="K29" s="20">
        <f t="shared" si="3"/>
        <v>1.3000524734055241</v>
      </c>
      <c r="L29" s="20">
        <f t="shared" si="3"/>
        <v>1.1853742307875781</v>
      </c>
      <c r="M29" s="20">
        <f t="shared" si="3"/>
        <v>1.3568191575633259</v>
      </c>
      <c r="N29" s="20">
        <f t="shared" si="3"/>
        <v>1.2362734341458761</v>
      </c>
      <c r="O29" s="20"/>
    </row>
    <row r="30" spans="1:15" x14ac:dyDescent="0.2">
      <c r="A30" s="12" t="s">
        <v>0</v>
      </c>
      <c r="B30" s="20">
        <f t="shared" si="0"/>
        <v>1</v>
      </c>
      <c r="C30" s="20">
        <f t="shared" si="0"/>
        <v>1.872116296218266</v>
      </c>
      <c r="D30" s="20">
        <f t="shared" si="0"/>
        <v>11.527290785691713</v>
      </c>
      <c r="E30" s="20">
        <f t="shared" si="1"/>
        <v>9.4144557643978271</v>
      </c>
      <c r="F30" s="20">
        <f t="shared" si="2"/>
        <v>13.259394140043039</v>
      </c>
      <c r="G30" s="20">
        <f t="shared" si="1"/>
        <v>11.355735805330243</v>
      </c>
      <c r="I30" s="12" t="s">
        <v>0</v>
      </c>
      <c r="J30" s="20">
        <f t="shared" si="4"/>
        <v>1</v>
      </c>
      <c r="K30" s="20">
        <f t="shared" si="3"/>
        <v>6.1573582842995398</v>
      </c>
      <c r="L30" s="20">
        <f t="shared" si="3"/>
        <v>5.0287772097360213</v>
      </c>
      <c r="M30" s="20">
        <f t="shared" si="3"/>
        <v>7.0825696922928527</v>
      </c>
      <c r="N30" s="20">
        <f t="shared" si="3"/>
        <v>6.0657213594418184</v>
      </c>
      <c r="O30" s="20"/>
    </row>
    <row r="31" spans="1:15" x14ac:dyDescent="0.2">
      <c r="A31" s="12" t="s">
        <v>1</v>
      </c>
      <c r="B31" s="20">
        <f t="shared" si="0"/>
        <v>1</v>
      </c>
      <c r="C31" s="20">
        <f t="shared" si="0"/>
        <v>1.051567578722892</v>
      </c>
      <c r="D31" s="20">
        <f t="shared" si="0"/>
        <v>1.0193905102584828</v>
      </c>
      <c r="E31" s="20">
        <f t="shared" si="1"/>
        <v>1.0154694137272775</v>
      </c>
      <c r="F31" s="20">
        <f t="shared" si="2"/>
        <v>1.0154436170395722</v>
      </c>
      <c r="G31" s="20">
        <f t="shared" si="1"/>
        <v>1.0191669389650369</v>
      </c>
      <c r="I31" s="12" t="s">
        <v>1</v>
      </c>
      <c r="J31" s="20">
        <f t="shared" si="4"/>
        <v>1</v>
      </c>
      <c r="K31" s="20">
        <f t="shared" si="3"/>
        <v>0.96940085533686049</v>
      </c>
      <c r="L31" s="20">
        <f t="shared" si="3"/>
        <v>0.96567204454947619</v>
      </c>
      <c r="M31" s="20">
        <f t="shared" si="3"/>
        <v>0.9656475128995593</v>
      </c>
      <c r="N31" s="20">
        <f t="shared" si="3"/>
        <v>0.96918824770424639</v>
      </c>
      <c r="O31" s="20"/>
    </row>
    <row r="32" spans="1:15" x14ac:dyDescent="0.2">
      <c r="A32" s="12" t="s">
        <v>2</v>
      </c>
      <c r="B32" s="20">
        <f t="shared" si="0"/>
        <v>1</v>
      </c>
      <c r="C32" s="20">
        <f t="shared" si="0"/>
        <v>1.8700453290617225</v>
      </c>
      <c r="D32" s="20">
        <f t="shared" si="0"/>
        <v>7.7165059132272251</v>
      </c>
      <c r="E32" s="20">
        <f t="shared" si="1"/>
        <v>4.8336457516785387</v>
      </c>
      <c r="F32" s="20">
        <f t="shared" si="2"/>
        <v>8.8725673971575603</v>
      </c>
      <c r="G32" s="20">
        <f t="shared" si="1"/>
        <v>5.9641798166388327</v>
      </c>
      <c r="I32" s="12" t="s">
        <v>2</v>
      </c>
      <c r="J32" s="20">
        <f t="shared" si="4"/>
        <v>1</v>
      </c>
      <c r="K32" s="20">
        <f t="shared" si="3"/>
        <v>4.126373726512238</v>
      </c>
      <c r="L32" s="20">
        <f t="shared" si="3"/>
        <v>2.584774645063697</v>
      </c>
      <c r="M32" s="20">
        <f t="shared" si="3"/>
        <v>4.7445734385536458</v>
      </c>
      <c r="N32" s="20">
        <f t="shared" si="3"/>
        <v>3.189323661812681</v>
      </c>
      <c r="O32" s="20"/>
    </row>
    <row r="33" spans="1:15" x14ac:dyDescent="0.2">
      <c r="A33" s="12" t="s">
        <v>3</v>
      </c>
      <c r="B33" s="20">
        <f t="shared" si="0"/>
        <v>1</v>
      </c>
      <c r="C33" s="20">
        <f t="shared" si="0"/>
        <v>2.078753591954023</v>
      </c>
      <c r="D33" s="20">
        <f t="shared" si="0"/>
        <v>7.2301544540229887</v>
      </c>
      <c r="E33" s="20">
        <f t="shared" si="1"/>
        <v>5.6506824712643677</v>
      </c>
      <c r="F33" s="20">
        <f t="shared" si="2"/>
        <v>8.2584410919540225</v>
      </c>
      <c r="G33" s="20">
        <f t="shared" si="1"/>
        <v>6.5884518678160919</v>
      </c>
      <c r="I33" s="12" t="s">
        <v>3</v>
      </c>
      <c r="J33" s="20">
        <f t="shared" si="4"/>
        <v>1</v>
      </c>
      <c r="K33" s="20">
        <f t="shared" si="3"/>
        <v>3.478120005183809</v>
      </c>
      <c r="L33" s="20">
        <f t="shared" si="3"/>
        <v>2.7183031664434747</v>
      </c>
      <c r="M33" s="20">
        <f t="shared" si="3"/>
        <v>3.9727850015119444</v>
      </c>
      <c r="N33" s="20">
        <f t="shared" si="3"/>
        <v>3.1694241651907209</v>
      </c>
      <c r="O33" s="20"/>
    </row>
    <row r="34" spans="1:15" x14ac:dyDescent="0.2">
      <c r="A34" s="12" t="s">
        <v>4</v>
      </c>
      <c r="B34" s="20">
        <f t="shared" si="0"/>
        <v>1</v>
      </c>
      <c r="C34" s="20">
        <f t="shared" si="0"/>
        <v>1.8705377019983762</v>
      </c>
      <c r="D34" s="20">
        <f t="shared" si="0"/>
        <v>7.2107330871375819</v>
      </c>
      <c r="E34" s="20">
        <f t="shared" si="1"/>
        <v>4.3492574840889446</v>
      </c>
      <c r="F34" s="20">
        <f t="shared" si="2"/>
        <v>8.301458840784683</v>
      </c>
      <c r="G34" s="20">
        <f t="shared" si="1"/>
        <v>5.1725989366438805</v>
      </c>
      <c r="I34" s="12" t="s">
        <v>4</v>
      </c>
      <c r="J34" s="20">
        <f t="shared" si="4"/>
        <v>1</v>
      </c>
      <c r="K34" s="20">
        <f t="shared" si="3"/>
        <v>3.8548985564065585</v>
      </c>
      <c r="L34" s="20">
        <f t="shared" si="3"/>
        <v>2.3251375684341702</v>
      </c>
      <c r="M34" s="20">
        <f t="shared" si="3"/>
        <v>4.438006692896848</v>
      </c>
      <c r="N34" s="20">
        <f t="shared" si="3"/>
        <v>2.7653005502737367</v>
      </c>
      <c r="O34" s="20"/>
    </row>
    <row r="35" spans="1:15" x14ac:dyDescent="0.2">
      <c r="A35" s="12" t="s">
        <v>5</v>
      </c>
      <c r="B35" s="20">
        <f t="shared" si="0"/>
        <v>1</v>
      </c>
      <c r="C35" s="20">
        <f t="shared" si="0"/>
        <v>2.0591411591795001</v>
      </c>
      <c r="D35" s="20">
        <f t="shared" si="0"/>
        <v>2.6106140967473959</v>
      </c>
      <c r="E35" s="20">
        <f t="shared" si="1"/>
        <v>2.4405393315866828</v>
      </c>
      <c r="F35" s="20">
        <f t="shared" si="2"/>
        <v>2.7455108952648732</v>
      </c>
      <c r="G35" s="20">
        <f t="shared" si="1"/>
        <v>2.5617611348967984</v>
      </c>
      <c r="I35" s="12" t="s">
        <v>5</v>
      </c>
      <c r="J35" s="20">
        <f t="shared" si="4"/>
        <v>1</v>
      </c>
      <c r="K35" s="20">
        <f t="shared" si="3"/>
        <v>1.2678169658789393</v>
      </c>
      <c r="L35" s="20">
        <f t="shared" si="3"/>
        <v>1.1852219653358573</v>
      </c>
      <c r="M35" s="20">
        <f t="shared" si="3"/>
        <v>1.333328161124645</v>
      </c>
      <c r="N35" s="20">
        <f t="shared" si="3"/>
        <v>1.2440920446258166</v>
      </c>
      <c r="O35" s="20"/>
    </row>
    <row r="36" spans="1:15" x14ac:dyDescent="0.2">
      <c r="A36" s="2" t="s">
        <v>85</v>
      </c>
      <c r="B36" s="20">
        <f t="shared" ref="B36:G36" si="5">GEOMEAN(B22:B35)</f>
        <v>1</v>
      </c>
      <c r="C36" s="20">
        <f t="shared" si="5"/>
        <v>1.8476181560103755</v>
      </c>
      <c r="D36" s="20">
        <f t="shared" si="5"/>
        <v>4.6655435097550528</v>
      </c>
      <c r="E36" s="20">
        <f t="shared" si="5"/>
        <v>3.6745826883437345</v>
      </c>
      <c r="F36" s="20">
        <f t="shared" si="5"/>
        <v>5.1245444978469061</v>
      </c>
      <c r="G36" s="20">
        <f t="shared" si="5"/>
        <v>4.13737523717624</v>
      </c>
      <c r="H36" s="1">
        <f>F36/G36</f>
        <v>1.2385979525860964</v>
      </c>
      <c r="I36" s="2" t="s">
        <v>85</v>
      </c>
      <c r="J36" s="20">
        <f>GEOMEAN(J22:J35)</f>
        <v>1</v>
      </c>
      <c r="K36" s="20">
        <f>GEOMEAN(K22:K35)</f>
        <v>2.5251665202454601</v>
      </c>
      <c r="L36" s="20">
        <f>GEOMEAN(L22:L35)</f>
        <v>1.9888214869453251</v>
      </c>
      <c r="M36" s="20">
        <f>GEOMEAN(M22:M35)</f>
        <v>2.7735950099735485</v>
      </c>
      <c r="N36" s="20">
        <f>GEOMEAN(N22:N35)</f>
        <v>2.239302111054275</v>
      </c>
      <c r="O36" s="20"/>
    </row>
    <row r="37" spans="1:15" x14ac:dyDescent="0.2">
      <c r="B37" s="21"/>
      <c r="C37" s="21"/>
      <c r="D37" s="21"/>
      <c r="E37" s="21"/>
      <c r="F37" s="21"/>
      <c r="G37" s="21"/>
    </row>
    <row r="38" spans="1:15" x14ac:dyDescent="0.2">
      <c r="B38" s="21"/>
      <c r="C38" s="21"/>
      <c r="D38" s="21"/>
      <c r="E38" s="21"/>
      <c r="F38" s="21"/>
      <c r="G38" s="21"/>
    </row>
    <row r="42" spans="1:15" x14ac:dyDescent="0.2">
      <c r="A42" s="2" t="s">
        <v>88</v>
      </c>
      <c r="B42" s="23" t="s">
        <v>86</v>
      </c>
      <c r="C42" s="2" t="s">
        <v>104</v>
      </c>
      <c r="D42" s="2" t="s">
        <v>109</v>
      </c>
      <c r="E42" s="2" t="s">
        <v>124</v>
      </c>
      <c r="F42" s="2" t="s">
        <v>113</v>
      </c>
      <c r="G42" s="2" t="s">
        <v>123</v>
      </c>
      <c r="H42" s="2" t="s">
        <v>104</v>
      </c>
      <c r="I42" s="2" t="s">
        <v>109</v>
      </c>
      <c r="J42" s="2" t="s">
        <v>124</v>
      </c>
      <c r="K42" s="2" t="s">
        <v>113</v>
      </c>
      <c r="L42" s="2" t="s">
        <v>123</v>
      </c>
    </row>
    <row r="43" spans="1:15" x14ac:dyDescent="0.2">
      <c r="A43" s="12" t="s">
        <v>115</v>
      </c>
      <c r="B43" s="3">
        <v>623988</v>
      </c>
      <c r="C43" s="3">
        <v>631656</v>
      </c>
      <c r="D43" s="3">
        <v>679972</v>
      </c>
      <c r="E43" s="3">
        <v>632524</v>
      </c>
      <c r="F43" s="3">
        <v>680084</v>
      </c>
      <c r="G43" s="3">
        <v>632620</v>
      </c>
      <c r="H43" s="3">
        <f>(C43-$B43)/1024</f>
        <v>7.48828125</v>
      </c>
      <c r="I43" s="3">
        <f>(D43-$B43)/1024</f>
        <v>54.671875</v>
      </c>
      <c r="J43" s="3">
        <f>(E43-$B43)/1024</f>
        <v>8.3359375</v>
      </c>
      <c r="K43" s="3">
        <f>(F43-$B43)/1024</f>
        <v>54.78125</v>
      </c>
      <c r="L43" s="3">
        <f>(G43-$B43)/1024</f>
        <v>8.4296875</v>
      </c>
      <c r="M43" s="25">
        <f t="shared" ref="M43:M56" si="6">K43-L43</f>
        <v>46.3515625</v>
      </c>
    </row>
    <row r="44" spans="1:15" x14ac:dyDescent="0.2">
      <c r="A44" s="12" t="s">
        <v>116</v>
      </c>
      <c r="B44" s="3">
        <v>166548</v>
      </c>
      <c r="C44" s="3">
        <v>174952</v>
      </c>
      <c r="D44" s="3">
        <v>235356</v>
      </c>
      <c r="E44" s="3">
        <v>176120</v>
      </c>
      <c r="F44" s="3">
        <v>235524</v>
      </c>
      <c r="G44" s="3">
        <v>176192</v>
      </c>
      <c r="H44" s="3">
        <f t="shared" ref="H44:H55" si="7">(C44-$B44)/1024</f>
        <v>8.20703125</v>
      </c>
      <c r="I44" s="3">
        <f t="shared" ref="I44:I55" si="8">(D44-$B44)/1024</f>
        <v>67.1953125</v>
      </c>
      <c r="J44" s="3">
        <f t="shared" ref="J44:J55" si="9">(E44-$B44)/1024</f>
        <v>9.34765625</v>
      </c>
      <c r="K44" s="3">
        <f t="shared" ref="K44:K56" si="10">(F44-$B44)/1024</f>
        <v>67.359375</v>
      </c>
      <c r="L44" s="3">
        <f t="shared" ref="L44:L56" si="11">(G44-$B44)/1024</f>
        <v>9.41796875</v>
      </c>
      <c r="M44" s="25">
        <f t="shared" si="6"/>
        <v>57.94140625</v>
      </c>
    </row>
    <row r="45" spans="1:15" x14ac:dyDescent="0.2">
      <c r="A45" s="12" t="s">
        <v>117</v>
      </c>
      <c r="B45" s="3">
        <v>424120</v>
      </c>
      <c r="C45" s="3">
        <v>532096</v>
      </c>
      <c r="D45" s="3">
        <v>1837868</v>
      </c>
      <c r="E45" s="3">
        <v>535876</v>
      </c>
      <c r="F45" s="3">
        <v>1839932</v>
      </c>
      <c r="G45" s="3">
        <v>537444</v>
      </c>
      <c r="H45" s="3">
        <f t="shared" si="7"/>
        <v>105.4453125</v>
      </c>
      <c r="I45" s="3">
        <f t="shared" si="8"/>
        <v>1380.61328125</v>
      </c>
      <c r="J45" s="3">
        <f t="shared" si="9"/>
        <v>109.13671875</v>
      </c>
      <c r="K45" s="3">
        <f t="shared" si="10"/>
        <v>1382.62890625</v>
      </c>
      <c r="L45" s="3">
        <f t="shared" si="11"/>
        <v>110.66796875</v>
      </c>
      <c r="M45" s="25">
        <f t="shared" si="6"/>
        <v>1271.9609375</v>
      </c>
    </row>
    <row r="46" spans="1:15" x14ac:dyDescent="0.2">
      <c r="A46" s="12" t="s">
        <v>118</v>
      </c>
      <c r="B46" s="3">
        <v>420396</v>
      </c>
      <c r="C46" s="3">
        <v>427684</v>
      </c>
      <c r="D46" s="3">
        <v>472928</v>
      </c>
      <c r="E46" s="3">
        <v>428808</v>
      </c>
      <c r="F46" s="3">
        <v>473264</v>
      </c>
      <c r="G46" s="3">
        <v>428680</v>
      </c>
      <c r="H46" s="3">
        <f t="shared" si="7"/>
        <v>7.1171875</v>
      </c>
      <c r="I46" s="3">
        <f t="shared" si="8"/>
        <v>51.30078125</v>
      </c>
      <c r="J46" s="3">
        <f t="shared" si="9"/>
        <v>8.21484375</v>
      </c>
      <c r="K46" s="3">
        <f t="shared" si="10"/>
        <v>51.62890625</v>
      </c>
      <c r="L46" s="3">
        <f t="shared" si="11"/>
        <v>8.08984375</v>
      </c>
      <c r="M46" s="25">
        <f t="shared" si="6"/>
        <v>43.5390625</v>
      </c>
    </row>
    <row r="47" spans="1:15" x14ac:dyDescent="0.2">
      <c r="A47" s="12" t="s">
        <v>119</v>
      </c>
      <c r="B47" s="3">
        <v>490640</v>
      </c>
      <c r="C47" s="3">
        <v>508848</v>
      </c>
      <c r="D47" s="3">
        <v>739320</v>
      </c>
      <c r="E47" s="3">
        <v>511764</v>
      </c>
      <c r="F47" s="3">
        <v>741216</v>
      </c>
      <c r="G47" s="3">
        <v>513348</v>
      </c>
      <c r="H47" s="3">
        <f t="shared" si="7"/>
        <v>17.78125</v>
      </c>
      <c r="I47" s="3">
        <f t="shared" si="8"/>
        <v>242.8515625</v>
      </c>
      <c r="J47" s="3">
        <f t="shared" si="9"/>
        <v>20.62890625</v>
      </c>
      <c r="K47" s="3">
        <f t="shared" si="10"/>
        <v>244.703125</v>
      </c>
      <c r="L47" s="3">
        <f t="shared" si="11"/>
        <v>22.17578125</v>
      </c>
      <c r="M47" s="25">
        <f t="shared" si="6"/>
        <v>222.52734375</v>
      </c>
    </row>
    <row r="48" spans="1:15" x14ac:dyDescent="0.2">
      <c r="A48" s="12" t="s">
        <v>120</v>
      </c>
      <c r="B48" s="3">
        <v>159952</v>
      </c>
      <c r="C48" s="3">
        <v>172224</v>
      </c>
      <c r="D48" s="3">
        <v>275884</v>
      </c>
      <c r="E48" s="3">
        <v>176780</v>
      </c>
      <c r="F48" s="3">
        <v>273232</v>
      </c>
      <c r="G48" s="3">
        <v>177136</v>
      </c>
      <c r="H48" s="3">
        <f t="shared" si="7"/>
        <v>11.984375</v>
      </c>
      <c r="I48" s="3">
        <f t="shared" si="8"/>
        <v>113.21484375</v>
      </c>
      <c r="J48" s="3">
        <f t="shared" si="9"/>
        <v>16.43359375</v>
      </c>
      <c r="K48" s="3">
        <f t="shared" si="10"/>
        <v>110.625</v>
      </c>
      <c r="L48" s="3">
        <f t="shared" si="11"/>
        <v>16.78125</v>
      </c>
      <c r="M48" s="25">
        <f t="shared" si="6"/>
        <v>93.84375</v>
      </c>
    </row>
    <row r="49" spans="1:13" x14ac:dyDescent="0.2">
      <c r="A49" s="12" t="s">
        <v>121</v>
      </c>
      <c r="B49" s="3">
        <v>27644</v>
      </c>
      <c r="C49" s="3">
        <v>86128</v>
      </c>
      <c r="D49" s="3">
        <v>333520</v>
      </c>
      <c r="E49" s="3">
        <v>87252</v>
      </c>
      <c r="F49" s="3">
        <v>333976</v>
      </c>
      <c r="G49" s="3">
        <v>87420</v>
      </c>
      <c r="H49" s="3">
        <f t="shared" si="7"/>
        <v>57.11328125</v>
      </c>
      <c r="I49" s="3">
        <f t="shared" si="8"/>
        <v>298.70703125</v>
      </c>
      <c r="J49" s="3">
        <f t="shared" si="9"/>
        <v>58.2109375</v>
      </c>
      <c r="K49" s="3">
        <f t="shared" si="10"/>
        <v>299.15234375</v>
      </c>
      <c r="L49" s="3">
        <f t="shared" si="11"/>
        <v>58.375</v>
      </c>
      <c r="M49" s="25">
        <f t="shared" si="6"/>
        <v>240.77734375</v>
      </c>
    </row>
    <row r="50" spans="1:13" x14ac:dyDescent="0.2">
      <c r="A50" s="12" t="s">
        <v>122</v>
      </c>
      <c r="B50" s="3">
        <v>743004</v>
      </c>
      <c r="C50" s="3">
        <v>751400</v>
      </c>
      <c r="D50" s="3">
        <v>797204</v>
      </c>
      <c r="E50" s="3">
        <v>752772</v>
      </c>
      <c r="F50" s="3">
        <v>797372</v>
      </c>
      <c r="G50" s="3">
        <v>752864</v>
      </c>
      <c r="H50" s="3">
        <f t="shared" si="7"/>
        <v>8.19921875</v>
      </c>
      <c r="I50" s="3">
        <f t="shared" si="8"/>
        <v>52.9296875</v>
      </c>
      <c r="J50" s="3">
        <f t="shared" si="9"/>
        <v>9.5390625</v>
      </c>
      <c r="K50" s="3">
        <f t="shared" si="10"/>
        <v>53.09375</v>
      </c>
      <c r="L50" s="3">
        <f t="shared" si="11"/>
        <v>9.62890625</v>
      </c>
      <c r="M50" s="25">
        <f t="shared" si="6"/>
        <v>43.46484375</v>
      </c>
    </row>
    <row r="51" spans="1:13" x14ac:dyDescent="0.2">
      <c r="A51" s="12" t="s">
        <v>0</v>
      </c>
      <c r="B51" s="3">
        <v>4056652</v>
      </c>
      <c r="C51" s="3">
        <v>4064044</v>
      </c>
      <c r="D51" s="3">
        <v>4111984</v>
      </c>
      <c r="E51" s="3">
        <v>4064964</v>
      </c>
      <c r="F51" s="3">
        <v>4112300</v>
      </c>
      <c r="G51" s="3">
        <v>4065020</v>
      </c>
      <c r="H51" s="3">
        <f t="shared" si="7"/>
        <v>7.21875</v>
      </c>
      <c r="I51" s="3">
        <f t="shared" si="8"/>
        <v>54.03515625</v>
      </c>
      <c r="J51" s="3">
        <f t="shared" si="9"/>
        <v>8.1171875</v>
      </c>
      <c r="K51" s="3">
        <f t="shared" si="10"/>
        <v>54.34375</v>
      </c>
      <c r="L51" s="3">
        <f t="shared" si="11"/>
        <v>8.171875</v>
      </c>
      <c r="M51" s="25">
        <f t="shared" si="6"/>
        <v>46.171875</v>
      </c>
    </row>
    <row r="52" spans="1:13" x14ac:dyDescent="0.2">
      <c r="A52" s="12" t="s">
        <v>1</v>
      </c>
      <c r="B52" s="3">
        <v>3302240</v>
      </c>
      <c r="C52" s="3">
        <v>3310468</v>
      </c>
      <c r="D52" s="3">
        <v>3370548</v>
      </c>
      <c r="E52" s="3">
        <v>3312568</v>
      </c>
      <c r="F52" s="3">
        <v>3370436</v>
      </c>
      <c r="G52" s="3">
        <v>3312784</v>
      </c>
      <c r="H52" s="3">
        <f t="shared" si="7"/>
        <v>8.03515625</v>
      </c>
      <c r="I52" s="3">
        <f t="shared" si="8"/>
        <v>66.70703125</v>
      </c>
      <c r="J52" s="3">
        <f t="shared" si="9"/>
        <v>10.0859375</v>
      </c>
      <c r="K52" s="3">
        <f t="shared" si="10"/>
        <v>66.59765625</v>
      </c>
      <c r="L52" s="3">
        <f t="shared" si="11"/>
        <v>10.296875</v>
      </c>
      <c r="M52" s="25">
        <f t="shared" si="6"/>
        <v>56.30078125</v>
      </c>
    </row>
    <row r="53" spans="1:13" x14ac:dyDescent="0.2">
      <c r="A53" s="12" t="s">
        <v>2</v>
      </c>
      <c r="B53" s="3">
        <v>491012</v>
      </c>
      <c r="C53" s="3">
        <v>508752</v>
      </c>
      <c r="D53" s="3">
        <v>738776</v>
      </c>
      <c r="E53" s="3">
        <v>511668</v>
      </c>
      <c r="F53" s="3">
        <v>740612</v>
      </c>
      <c r="G53" s="3">
        <v>513236</v>
      </c>
      <c r="H53" s="3">
        <f t="shared" si="7"/>
        <v>17.32421875</v>
      </c>
      <c r="I53" s="3">
        <f t="shared" si="8"/>
        <v>241.95703125</v>
      </c>
      <c r="J53" s="3">
        <f t="shared" si="9"/>
        <v>20.171875</v>
      </c>
      <c r="K53" s="3">
        <f t="shared" si="10"/>
        <v>243.75</v>
      </c>
      <c r="L53" s="3">
        <f t="shared" si="11"/>
        <v>21.703125</v>
      </c>
      <c r="M53" s="25">
        <f t="shared" si="6"/>
        <v>222.046875</v>
      </c>
    </row>
    <row r="54" spans="1:13" x14ac:dyDescent="0.2">
      <c r="A54" s="12" t="s">
        <v>3</v>
      </c>
      <c r="B54" s="3">
        <v>160200</v>
      </c>
      <c r="C54" s="3">
        <v>172196</v>
      </c>
      <c r="D54" s="3">
        <v>275840</v>
      </c>
      <c r="E54" s="3">
        <v>176796</v>
      </c>
      <c r="F54" s="3">
        <v>273264</v>
      </c>
      <c r="G54" s="3">
        <v>177152</v>
      </c>
      <c r="H54" s="3">
        <f t="shared" si="7"/>
        <v>11.71484375</v>
      </c>
      <c r="I54" s="3">
        <f t="shared" si="8"/>
        <v>112.9296875</v>
      </c>
      <c r="J54" s="3">
        <f t="shared" si="9"/>
        <v>16.20703125</v>
      </c>
      <c r="K54" s="3">
        <f t="shared" si="10"/>
        <v>110.4140625</v>
      </c>
      <c r="L54" s="3">
        <f t="shared" si="11"/>
        <v>16.5546875</v>
      </c>
      <c r="M54" s="25">
        <f t="shared" si="6"/>
        <v>93.859375</v>
      </c>
    </row>
    <row r="55" spans="1:13" x14ac:dyDescent="0.2">
      <c r="A55" s="12" t="s">
        <v>4</v>
      </c>
      <c r="B55" s="3">
        <v>28044</v>
      </c>
      <c r="C55" s="3">
        <v>86228</v>
      </c>
      <c r="D55" s="3">
        <v>333404</v>
      </c>
      <c r="E55" s="3">
        <v>87204</v>
      </c>
      <c r="F55" s="3">
        <v>333948</v>
      </c>
      <c r="G55" s="3">
        <v>87464</v>
      </c>
      <c r="H55" s="3">
        <f t="shared" si="7"/>
        <v>56.8203125</v>
      </c>
      <c r="I55" s="3">
        <f t="shared" si="8"/>
        <v>298.203125</v>
      </c>
      <c r="J55" s="3">
        <f t="shared" si="9"/>
        <v>57.7734375</v>
      </c>
      <c r="K55" s="3">
        <f t="shared" si="10"/>
        <v>298.734375</v>
      </c>
      <c r="L55" s="3">
        <f t="shared" si="11"/>
        <v>58.02734375</v>
      </c>
      <c r="M55" s="25">
        <f t="shared" si="6"/>
        <v>240.70703125</v>
      </c>
    </row>
    <row r="56" spans="1:13" x14ac:dyDescent="0.2">
      <c r="A56" s="12" t="s">
        <v>5</v>
      </c>
      <c r="B56" s="3">
        <v>15741624</v>
      </c>
      <c r="C56" s="3">
        <v>15706200</v>
      </c>
      <c r="D56" s="3">
        <v>15779704</v>
      </c>
      <c r="E56" s="3">
        <v>15744700</v>
      </c>
      <c r="F56" s="3">
        <v>15795580</v>
      </c>
      <c r="G56" s="3">
        <v>15763444</v>
      </c>
      <c r="H56" s="3">
        <v>19</v>
      </c>
      <c r="I56" s="3">
        <f>(D56-$B56)/1024</f>
        <v>37.1875</v>
      </c>
      <c r="J56" s="3">
        <v>20</v>
      </c>
      <c r="K56" s="3">
        <f t="shared" si="10"/>
        <v>52.69140625</v>
      </c>
      <c r="L56" s="3">
        <f t="shared" si="11"/>
        <v>21.30859375</v>
      </c>
      <c r="M56" s="25">
        <f t="shared" si="6"/>
        <v>31.3828125</v>
      </c>
    </row>
    <row r="57" spans="1:13" x14ac:dyDescent="0.2">
      <c r="A57" s="1" t="s">
        <v>66</v>
      </c>
      <c r="B57" s="22"/>
      <c r="C57" s="22"/>
      <c r="D57" s="22"/>
      <c r="E57" s="22"/>
      <c r="F57" s="22"/>
      <c r="G57" s="22"/>
      <c r="H57" s="22">
        <f>GEOMEAN(H43:H56)</f>
        <v>15.763390524474127</v>
      </c>
      <c r="I57" s="22">
        <f>GEOMEAN(I43:I56)</f>
        <v>119.66995116169697</v>
      </c>
      <c r="J57" s="22">
        <f>GEOMEAN(J43:J56)</f>
        <v>18.105288259872243</v>
      </c>
      <c r="K57" s="22">
        <f>GEOMEAN(K43:K56)</f>
        <v>122.61599360895013</v>
      </c>
      <c r="L57" s="22">
        <f>GEOMEAN(L43:L56)</f>
        <v>18.513671580555755</v>
      </c>
    </row>
    <row r="58" spans="1:13" x14ac:dyDescent="0.2">
      <c r="B58" s="22"/>
      <c r="C58" s="22"/>
      <c r="D58" s="22"/>
      <c r="E58" s="22"/>
      <c r="F58" s="22"/>
      <c r="G58" s="22"/>
      <c r="H58" s="22"/>
    </row>
    <row r="59" spans="1:13" x14ac:dyDescent="0.2">
      <c r="B59" s="22"/>
      <c r="C59" s="22"/>
      <c r="D59" s="22"/>
      <c r="E59" s="22"/>
      <c r="F59" s="22"/>
      <c r="G59" s="22"/>
      <c r="H59" s="22"/>
    </row>
    <row r="61" spans="1:13" x14ac:dyDescent="0.2">
      <c r="A61" s="2" t="s">
        <v>88</v>
      </c>
      <c r="B61" s="23" t="s">
        <v>86</v>
      </c>
      <c r="C61" s="2" t="s">
        <v>104</v>
      </c>
      <c r="D61" s="2" t="s">
        <v>109</v>
      </c>
      <c r="E61" s="2" t="s">
        <v>124</v>
      </c>
      <c r="F61" s="2" t="s">
        <v>113</v>
      </c>
      <c r="G61" s="2" t="s">
        <v>123</v>
      </c>
    </row>
    <row r="62" spans="1:13" x14ac:dyDescent="0.2">
      <c r="A62" s="12" t="s">
        <v>28</v>
      </c>
      <c r="B62" s="32">
        <f t="shared" ref="B62:B73" si="12">B43/$B43</f>
        <v>1</v>
      </c>
      <c r="C62" s="32">
        <f t="shared" ref="C62:D75" si="13">C43/$B43</f>
        <v>1.0122886978595742</v>
      </c>
      <c r="D62" s="32">
        <f t="shared" si="13"/>
        <v>1.0897196740962967</v>
      </c>
      <c r="E62" s="32">
        <f t="shared" ref="E62:G75" si="14">E43/$B43</f>
        <v>1.0136797502516075</v>
      </c>
      <c r="F62" s="32">
        <f t="shared" ref="F62:F75" si="15">F43/$B43</f>
        <v>1.0898991647275269</v>
      </c>
      <c r="G62" s="32">
        <f t="shared" si="14"/>
        <v>1.0138335993640903</v>
      </c>
    </row>
    <row r="63" spans="1:13" x14ac:dyDescent="0.2">
      <c r="A63" s="12" t="s">
        <v>6</v>
      </c>
      <c r="B63" s="32">
        <f t="shared" si="12"/>
        <v>1</v>
      </c>
      <c r="C63" s="32">
        <f t="shared" si="13"/>
        <v>1.0504599274683575</v>
      </c>
      <c r="D63" s="32">
        <f t="shared" si="13"/>
        <v>1.4131421572159377</v>
      </c>
      <c r="E63" s="32">
        <f t="shared" si="14"/>
        <v>1.0574729207195523</v>
      </c>
      <c r="F63" s="32">
        <f t="shared" si="15"/>
        <v>1.4141508754233014</v>
      </c>
      <c r="G63" s="32">
        <f t="shared" si="14"/>
        <v>1.0579052285227082</v>
      </c>
    </row>
    <row r="64" spans="1:13" x14ac:dyDescent="0.2">
      <c r="A64" s="12" t="s">
        <v>7</v>
      </c>
      <c r="B64" s="32">
        <f t="shared" si="12"/>
        <v>1</v>
      </c>
      <c r="C64" s="32">
        <f t="shared" si="13"/>
        <v>1.2545883240592286</v>
      </c>
      <c r="D64" s="32">
        <f t="shared" si="13"/>
        <v>4.3333679147411113</v>
      </c>
      <c r="E64" s="32">
        <f t="shared" si="14"/>
        <v>1.2635008959728378</v>
      </c>
      <c r="F64" s="32">
        <f t="shared" si="15"/>
        <v>4.3382344619447331</v>
      </c>
      <c r="G64" s="32">
        <f t="shared" si="14"/>
        <v>1.2671979628407055</v>
      </c>
    </row>
    <row r="65" spans="1:7" x14ac:dyDescent="0.2">
      <c r="A65" s="12" t="s">
        <v>31</v>
      </c>
      <c r="B65" s="32">
        <f t="shared" si="12"/>
        <v>1</v>
      </c>
      <c r="C65" s="32">
        <f t="shared" si="13"/>
        <v>1.0173360355474361</v>
      </c>
      <c r="D65" s="32">
        <f t="shared" si="13"/>
        <v>1.1249583725820418</v>
      </c>
      <c r="E65" s="32">
        <f t="shared" si="14"/>
        <v>1.0200097051351582</v>
      </c>
      <c r="F65" s="32">
        <f t="shared" si="15"/>
        <v>1.1257576190068412</v>
      </c>
      <c r="G65" s="32">
        <f t="shared" si="14"/>
        <v>1.0197052303066632</v>
      </c>
    </row>
    <row r="66" spans="1:7" x14ac:dyDescent="0.2">
      <c r="A66" s="12" t="s">
        <v>30</v>
      </c>
      <c r="B66" s="32">
        <f t="shared" si="12"/>
        <v>1</v>
      </c>
      <c r="C66" s="32">
        <f t="shared" si="13"/>
        <v>1.0371107125387249</v>
      </c>
      <c r="D66" s="32">
        <f t="shared" si="13"/>
        <v>1.5068481982716453</v>
      </c>
      <c r="E66" s="32">
        <f t="shared" si="14"/>
        <v>1.0430539703244741</v>
      </c>
      <c r="F66" s="32">
        <f t="shared" si="15"/>
        <v>1.5107125387249307</v>
      </c>
      <c r="G66" s="32">
        <f t="shared" si="14"/>
        <v>1.0462824066525354</v>
      </c>
    </row>
    <row r="67" spans="1:7" x14ac:dyDescent="0.2">
      <c r="A67" s="12" t="s">
        <v>32</v>
      </c>
      <c r="B67" s="32">
        <f t="shared" si="12"/>
        <v>1</v>
      </c>
      <c r="C67" s="32">
        <f t="shared" si="13"/>
        <v>1.0767230169050714</v>
      </c>
      <c r="D67" s="32">
        <f t="shared" si="13"/>
        <v>1.7247924377313193</v>
      </c>
      <c r="E67" s="32">
        <f t="shared" si="14"/>
        <v>1.1052065619685907</v>
      </c>
      <c r="F67" s="32">
        <f t="shared" si="15"/>
        <v>1.7082124637391218</v>
      </c>
      <c r="G67" s="32">
        <f t="shared" si="14"/>
        <v>1.1074322296689008</v>
      </c>
    </row>
    <row r="68" spans="1:7" x14ac:dyDescent="0.2">
      <c r="A68" s="12" t="s">
        <v>34</v>
      </c>
      <c r="B68" s="32">
        <f t="shared" si="12"/>
        <v>1</v>
      </c>
      <c r="C68" s="32">
        <f t="shared" si="13"/>
        <v>3.1156127912024307</v>
      </c>
      <c r="D68" s="32">
        <f t="shared" si="13"/>
        <v>12.064824193315005</v>
      </c>
      <c r="E68" s="32">
        <f t="shared" si="14"/>
        <v>3.1562726088843873</v>
      </c>
      <c r="F68" s="32">
        <f t="shared" si="15"/>
        <v>12.081319635363913</v>
      </c>
      <c r="G68" s="32">
        <f t="shared" si="14"/>
        <v>3.162349877007669</v>
      </c>
    </row>
    <row r="69" spans="1:7" x14ac:dyDescent="0.2">
      <c r="A69" s="12" t="s">
        <v>36</v>
      </c>
      <c r="B69" s="32">
        <f t="shared" si="12"/>
        <v>1</v>
      </c>
      <c r="C69" s="32">
        <f t="shared" si="13"/>
        <v>1.01130007375465</v>
      </c>
      <c r="D69" s="32">
        <f t="shared" si="13"/>
        <v>1.0729471173775647</v>
      </c>
      <c r="E69" s="32">
        <f t="shared" si="14"/>
        <v>1.0131466317812556</v>
      </c>
      <c r="F69" s="32">
        <f t="shared" si="15"/>
        <v>1.0731732265236795</v>
      </c>
      <c r="G69" s="32">
        <f t="shared" si="14"/>
        <v>1.0132704534565089</v>
      </c>
    </row>
    <row r="70" spans="1:7" x14ac:dyDescent="0.2">
      <c r="A70" s="12" t="s">
        <v>11</v>
      </c>
      <c r="B70" s="32">
        <f t="shared" si="12"/>
        <v>1</v>
      </c>
      <c r="C70" s="32">
        <f t="shared" si="13"/>
        <v>1.0018221922905883</v>
      </c>
      <c r="D70" s="32">
        <f t="shared" si="13"/>
        <v>1.0136398192401024</v>
      </c>
      <c r="E70" s="32">
        <f t="shared" si="14"/>
        <v>1.0020489802921226</v>
      </c>
      <c r="F70" s="32">
        <f t="shared" si="15"/>
        <v>1.0137177159884556</v>
      </c>
      <c r="G70" s="32">
        <f t="shared" si="14"/>
        <v>1.0020627847791725</v>
      </c>
    </row>
    <row r="71" spans="1:7" x14ac:dyDescent="0.2">
      <c r="A71" s="12" t="s">
        <v>13</v>
      </c>
      <c r="B71" s="32">
        <f t="shared" si="12"/>
        <v>1</v>
      </c>
      <c r="C71" s="32">
        <f t="shared" si="13"/>
        <v>1.0024916420369203</v>
      </c>
      <c r="D71" s="32">
        <f t="shared" si="13"/>
        <v>1.0206853529725277</v>
      </c>
      <c r="E71" s="32">
        <f t="shared" si="14"/>
        <v>1.0031275740103687</v>
      </c>
      <c r="F71" s="32">
        <f t="shared" si="15"/>
        <v>1.0206514366006105</v>
      </c>
      <c r="G71" s="32">
        <f t="shared" si="14"/>
        <v>1.0031929841562091</v>
      </c>
    </row>
    <row r="72" spans="1:7" x14ac:dyDescent="0.2">
      <c r="A72" s="12" t="s">
        <v>15</v>
      </c>
      <c r="B72" s="32">
        <f t="shared" si="12"/>
        <v>1</v>
      </c>
      <c r="C72" s="32">
        <f t="shared" si="13"/>
        <v>1.0361294632310412</v>
      </c>
      <c r="D72" s="32">
        <f t="shared" si="13"/>
        <v>1.5045986656130603</v>
      </c>
      <c r="E72" s="32">
        <f t="shared" si="14"/>
        <v>1.0420682182920173</v>
      </c>
      <c r="F72" s="32">
        <f t="shared" si="15"/>
        <v>1.5083378817625639</v>
      </c>
      <c r="G72" s="32">
        <f t="shared" si="14"/>
        <v>1.0452616229338592</v>
      </c>
    </row>
    <row r="73" spans="1:7" x14ac:dyDescent="0.2">
      <c r="A73" s="12" t="s">
        <v>16</v>
      </c>
      <c r="B73" s="32">
        <f t="shared" si="12"/>
        <v>1</v>
      </c>
      <c r="C73" s="32">
        <f t="shared" si="13"/>
        <v>1.0748813982521848</v>
      </c>
      <c r="D73" s="32">
        <f t="shared" si="13"/>
        <v>1.7218476903870161</v>
      </c>
      <c r="E73" s="32">
        <f t="shared" si="14"/>
        <v>1.1035955056179776</v>
      </c>
      <c r="F73" s="32">
        <f t="shared" si="15"/>
        <v>1.7057677902621722</v>
      </c>
      <c r="G73" s="32">
        <f t="shared" si="14"/>
        <v>1.1058177278401997</v>
      </c>
    </row>
    <row r="74" spans="1:7" x14ac:dyDescent="0.2">
      <c r="A74" s="12" t="s">
        <v>19</v>
      </c>
      <c r="B74" s="32">
        <f>B55/$B55</f>
        <v>1</v>
      </c>
      <c r="C74" s="32">
        <f t="shared" si="13"/>
        <v>3.0747396947653689</v>
      </c>
      <c r="D74" s="32">
        <f t="shared" si="13"/>
        <v>11.888603622878334</v>
      </c>
      <c r="E74" s="32">
        <f t="shared" si="14"/>
        <v>3.1095421480530594</v>
      </c>
      <c r="F74" s="32">
        <f t="shared" si="15"/>
        <v>11.908001711596063</v>
      </c>
      <c r="G74" s="32">
        <f t="shared" si="14"/>
        <v>3.1188132933960917</v>
      </c>
    </row>
    <row r="75" spans="1:7" x14ac:dyDescent="0.2">
      <c r="A75" s="12" t="s">
        <v>21</v>
      </c>
      <c r="B75" s="32">
        <f>B56/$B56</f>
        <v>1</v>
      </c>
      <c r="C75" s="32">
        <f t="shared" si="13"/>
        <v>0.99774966039082114</v>
      </c>
      <c r="D75" s="32">
        <f t="shared" si="13"/>
        <v>1.0024190642591895</v>
      </c>
      <c r="E75" s="32">
        <f t="shared" si="14"/>
        <v>1.0001954055058107</v>
      </c>
      <c r="F75" s="32">
        <f t="shared" si="15"/>
        <v>1.0034276006084251</v>
      </c>
      <c r="G75" s="32">
        <f t="shared" si="14"/>
        <v>1.001386133984651</v>
      </c>
    </row>
    <row r="76" spans="1:7" x14ac:dyDescent="0.2">
      <c r="A76" s="2" t="s">
        <v>85</v>
      </c>
      <c r="B76" s="32">
        <f t="shared" ref="B76:G76" si="16">GEOMEAN(B62:B75)</f>
        <v>1</v>
      </c>
      <c r="C76" s="32">
        <f t="shared" si="16"/>
        <v>1.2210921406382136</v>
      </c>
      <c r="D76" s="32">
        <f t="shared" si="16"/>
        <v>1.9013094932587031</v>
      </c>
      <c r="E76" s="32">
        <f t="shared" si="16"/>
        <v>1.2308110528355438</v>
      </c>
      <c r="F76" s="32">
        <f t="shared" si="16"/>
        <v>1.9003548568054989</v>
      </c>
      <c r="G76" s="32">
        <f t="shared" si="16"/>
        <v>1.2325397047224376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4696-2C82-B041-BC40-27ED715ED08E}">
  <dimension ref="A1:M61"/>
  <sheetViews>
    <sheetView zoomScale="70" zoomScaleNormal="70" workbookViewId="0">
      <selection activeCell="F36" sqref="F36"/>
    </sheetView>
  </sheetViews>
  <sheetFormatPr baseColWidth="10" defaultRowHeight="18" x14ac:dyDescent="0.2"/>
  <cols>
    <col min="1" max="1" width="27.83203125" style="1" customWidth="1"/>
    <col min="2" max="3" width="15.33203125" style="1" bestFit="1" customWidth="1"/>
    <col min="4" max="4" width="25.6640625" style="1" bestFit="1" customWidth="1"/>
    <col min="5" max="5" width="35.1640625" style="1" bestFit="1" customWidth="1"/>
    <col min="6" max="6" width="20.6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35.1640625" style="1" bestFit="1" customWidth="1"/>
    <col min="11" max="11" width="20.6640625" style="1" bestFit="1" customWidth="1"/>
    <col min="12" max="12" width="32.83203125" style="1" bestFit="1" customWidth="1"/>
    <col min="13" max="16384" width="10.83203125" style="1"/>
  </cols>
  <sheetData>
    <row r="1" spans="1:13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13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  <c r="I2" s="3"/>
      <c r="J2" s="3"/>
      <c r="K2" s="3"/>
      <c r="L2" s="3"/>
      <c r="M2" s="3"/>
    </row>
    <row r="3" spans="1:13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  <c r="I3" s="3"/>
      <c r="J3" s="3"/>
      <c r="K3" s="3"/>
      <c r="L3" s="3"/>
    </row>
    <row r="4" spans="1:13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  <c r="I4" s="3"/>
      <c r="J4" s="3"/>
      <c r="K4" s="3"/>
      <c r="L4" s="3"/>
    </row>
    <row r="5" spans="1:13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  <c r="I5" s="3"/>
      <c r="J5" s="3"/>
      <c r="K5" s="3"/>
      <c r="L5" s="3"/>
    </row>
    <row r="6" spans="1:13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  <c r="I6" s="3"/>
      <c r="J6" s="3"/>
      <c r="K6" s="3"/>
      <c r="L6" s="3"/>
    </row>
    <row r="7" spans="1:13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  <c r="I7" s="3"/>
      <c r="J7" s="3"/>
      <c r="K7" s="3"/>
      <c r="L7" s="3"/>
    </row>
    <row r="8" spans="1:13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  <c r="I8" s="3"/>
      <c r="J8" s="3"/>
      <c r="K8" s="3"/>
      <c r="L8" s="3"/>
    </row>
    <row r="9" spans="1:13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  <c r="I9" s="3"/>
      <c r="J9" s="3"/>
      <c r="K9" s="3"/>
      <c r="L9" s="3"/>
    </row>
    <row r="10" spans="1:13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  <c r="I10" s="3"/>
      <c r="J10" s="3"/>
      <c r="K10" s="3"/>
      <c r="L10" s="3"/>
    </row>
    <row r="11" spans="1:13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  <c r="I11" s="3"/>
      <c r="J11" s="3"/>
      <c r="K11" s="3"/>
      <c r="L11" s="3"/>
    </row>
    <row r="12" spans="1:13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  <c r="I12" s="3"/>
      <c r="J12" s="3"/>
      <c r="K12" s="3"/>
      <c r="L12" s="3"/>
    </row>
    <row r="13" spans="1:13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  <c r="I13" s="3"/>
      <c r="J13" s="3"/>
      <c r="K13" s="3"/>
      <c r="L13" s="3"/>
    </row>
    <row r="16" spans="1:13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13" x14ac:dyDescent="0.2">
      <c r="A17" s="2" t="s">
        <v>91</v>
      </c>
      <c r="B17" s="20">
        <f>B2/$B2</f>
        <v>1</v>
      </c>
      <c r="C17" s="20">
        <f>C2/$B2</f>
        <v>1.1153846153846154</v>
      </c>
      <c r="D17" s="20">
        <f>D2/$B2</f>
        <v>14.76923076923077</v>
      </c>
      <c r="E17" s="20">
        <f>E2/$B2</f>
        <v>14.23076923076923</v>
      </c>
      <c r="F17" s="20">
        <f t="shared" ref="F17:G28" si="0">F2/$B2</f>
        <v>20.846153846153847</v>
      </c>
      <c r="G17" s="20">
        <f t="shared" si="0"/>
        <v>17.73076923076923</v>
      </c>
      <c r="I17" s="21"/>
      <c r="J17" s="21">
        <v>110745362652</v>
      </c>
      <c r="K17" s="21"/>
      <c r="L17" s="21"/>
      <c r="M17" s="21"/>
    </row>
    <row r="18" spans="1:13" x14ac:dyDescent="0.2">
      <c r="A18" s="2" t="s">
        <v>92</v>
      </c>
      <c r="B18" s="20">
        <f t="shared" ref="B18:E28" si="1">B3/$B3</f>
        <v>1</v>
      </c>
      <c r="C18" s="20">
        <f t="shared" si="1"/>
        <v>1.4090909090909092</v>
      </c>
      <c r="D18" s="20">
        <f t="shared" si="1"/>
        <v>3.3636363636363638</v>
      </c>
      <c r="E18" s="20">
        <f t="shared" si="1"/>
        <v>3.0909090909090908</v>
      </c>
      <c r="F18" s="20">
        <f t="shared" si="0"/>
        <v>4.5</v>
      </c>
      <c r="G18" s="20">
        <f t="shared" si="0"/>
        <v>3.9545454545454546</v>
      </c>
      <c r="I18" s="21"/>
      <c r="J18" s="21">
        <v>166250210566</v>
      </c>
      <c r="K18" s="21"/>
      <c r="L18" s="21"/>
      <c r="M18" s="21"/>
    </row>
    <row r="19" spans="1:13" x14ac:dyDescent="0.2">
      <c r="A19" s="2" t="s">
        <v>93</v>
      </c>
      <c r="B19" s="20">
        <f t="shared" si="1"/>
        <v>1</v>
      </c>
      <c r="C19" s="20">
        <f t="shared" si="1"/>
        <v>1.5463379521324456</v>
      </c>
      <c r="D19" s="20">
        <f t="shared" si="1"/>
        <v>7.2513946373942773</v>
      </c>
      <c r="E19" s="20">
        <f t="shared" si="1"/>
        <v>6.1943494691380243</v>
      </c>
      <c r="F19" s="20">
        <f t="shared" si="0"/>
        <v>10.853158178873493</v>
      </c>
      <c r="G19" s="20">
        <f t="shared" si="0"/>
        <v>9.534640993341732</v>
      </c>
      <c r="I19" s="21"/>
      <c r="J19" s="21"/>
      <c r="K19" s="21"/>
      <c r="L19" s="21"/>
      <c r="M19" s="21"/>
    </row>
    <row r="20" spans="1:13" x14ac:dyDescent="0.2">
      <c r="A20" s="2" t="s">
        <v>94</v>
      </c>
      <c r="B20" s="20">
        <f t="shared" si="1"/>
        <v>1</v>
      </c>
      <c r="C20" s="20">
        <f t="shared" si="1"/>
        <v>1.2727272727272727</v>
      </c>
      <c r="D20" s="20">
        <f t="shared" si="1"/>
        <v>2.3409090909090908</v>
      </c>
      <c r="E20" s="20">
        <f t="shared" si="1"/>
        <v>2.1363636363636362</v>
      </c>
      <c r="F20" s="20">
        <f t="shared" si="0"/>
        <v>3.1363636363636362</v>
      </c>
      <c r="G20" s="20">
        <f t="shared" si="0"/>
        <v>2.7954545454545454</v>
      </c>
      <c r="I20" s="21"/>
      <c r="J20" s="21"/>
      <c r="K20" s="21"/>
      <c r="L20" s="21"/>
      <c r="M20" s="21"/>
    </row>
    <row r="21" spans="1:13" x14ac:dyDescent="0.2">
      <c r="A21" s="2" t="s">
        <v>95</v>
      </c>
      <c r="B21" s="20">
        <f t="shared" si="1"/>
        <v>1</v>
      </c>
      <c r="C21" s="20">
        <f t="shared" si="1"/>
        <v>1.0331428571428571</v>
      </c>
      <c r="D21" s="20">
        <f t="shared" si="1"/>
        <v>6.5039999999999996</v>
      </c>
      <c r="E21" s="20">
        <f t="shared" si="1"/>
        <v>5.7344761904761903</v>
      </c>
      <c r="F21" s="20">
        <f t="shared" si="0"/>
        <v>9.0712380952380958</v>
      </c>
      <c r="G21" s="20">
        <f t="shared" si="0"/>
        <v>6.8994285714285715</v>
      </c>
      <c r="I21" s="21"/>
      <c r="J21" s="21"/>
      <c r="K21" s="21"/>
      <c r="L21" s="21"/>
      <c r="M21" s="21"/>
    </row>
    <row r="22" spans="1:13" x14ac:dyDescent="0.2">
      <c r="A22" s="2" t="s">
        <v>96</v>
      </c>
      <c r="B22" s="20">
        <f t="shared" si="1"/>
        <v>1</v>
      </c>
      <c r="C22" s="20">
        <f t="shared" si="1"/>
        <v>1.0388098318240622</v>
      </c>
      <c r="D22" s="20">
        <f t="shared" si="1"/>
        <v>5.0623544631306601</v>
      </c>
      <c r="E22" s="20">
        <f t="shared" si="1"/>
        <v>4.5068564036222512</v>
      </c>
      <c r="F22" s="20">
        <f t="shared" si="0"/>
        <v>6.6631306597671411</v>
      </c>
      <c r="G22" s="20">
        <f t="shared" si="0"/>
        <v>5.0401034928848638</v>
      </c>
      <c r="I22" s="21"/>
      <c r="J22" s="21"/>
      <c r="K22" s="21"/>
      <c r="L22" s="21"/>
      <c r="M22" s="21"/>
    </row>
    <row r="23" spans="1:13" x14ac:dyDescent="0.2">
      <c r="A23" s="2" t="s">
        <v>97</v>
      </c>
      <c r="B23" s="20">
        <f t="shared" si="1"/>
        <v>1</v>
      </c>
      <c r="C23" s="20">
        <f t="shared" si="1"/>
        <v>1.0334821428571428</v>
      </c>
      <c r="D23" s="20">
        <f t="shared" si="1"/>
        <v>1.0758928571428572</v>
      </c>
      <c r="E23" s="20">
        <f t="shared" si="1"/>
        <v>1.0714285714285714</v>
      </c>
      <c r="F23" s="20">
        <f t="shared" si="0"/>
        <v>1.1551339285714286</v>
      </c>
      <c r="G23" s="20">
        <f t="shared" si="0"/>
        <v>1.1238839285714286</v>
      </c>
      <c r="I23" s="21"/>
      <c r="J23" s="21"/>
      <c r="K23" s="21"/>
      <c r="L23" s="21"/>
      <c r="M23" s="21"/>
    </row>
    <row r="24" spans="1:13" x14ac:dyDescent="0.2">
      <c r="A24" s="2" t="s">
        <v>98</v>
      </c>
      <c r="B24" s="20">
        <f t="shared" si="1"/>
        <v>1</v>
      </c>
      <c r="C24" s="20">
        <f t="shared" si="1"/>
        <v>1.0154091392136027</v>
      </c>
      <c r="D24" s="20">
        <f t="shared" si="1"/>
        <v>1.0162061636556854</v>
      </c>
      <c r="E24" s="20">
        <f t="shared" si="1"/>
        <v>1.0185972369819341</v>
      </c>
      <c r="F24" s="20">
        <f t="shared" si="0"/>
        <v>1.0209883103081827</v>
      </c>
      <c r="G24" s="20">
        <f t="shared" si="0"/>
        <v>0.99123273113708821</v>
      </c>
      <c r="I24" s="21"/>
      <c r="J24" s="21"/>
      <c r="K24" s="21"/>
      <c r="L24" s="21"/>
      <c r="M24" s="21"/>
    </row>
    <row r="25" spans="1:13" x14ac:dyDescent="0.2">
      <c r="A25" s="2" t="s">
        <v>99</v>
      </c>
      <c r="B25" s="20">
        <f t="shared" si="1"/>
        <v>1</v>
      </c>
      <c r="C25" s="20">
        <f t="shared" si="1"/>
        <v>1.3225806451612903</v>
      </c>
      <c r="D25" s="20">
        <f t="shared" si="1"/>
        <v>14</v>
      </c>
      <c r="E25" s="20">
        <f t="shared" si="1"/>
        <v>12.096774193548388</v>
      </c>
      <c r="F25" s="20">
        <f t="shared" si="0"/>
        <v>21.516129032258064</v>
      </c>
      <c r="G25" s="20">
        <f t="shared" si="0"/>
        <v>16.903225806451612</v>
      </c>
      <c r="I25" s="21"/>
      <c r="J25" s="21"/>
      <c r="K25" s="21"/>
      <c r="L25" s="21"/>
      <c r="M25" s="21"/>
    </row>
    <row r="26" spans="1:13" x14ac:dyDescent="0.2">
      <c r="A26" s="2" t="s">
        <v>100</v>
      </c>
      <c r="B26" s="20">
        <f t="shared" si="1"/>
        <v>1</v>
      </c>
      <c r="C26" s="20">
        <f t="shared" si="1"/>
        <v>1.0147523709167545</v>
      </c>
      <c r="D26" s="20">
        <f t="shared" si="1"/>
        <v>4.7692307692307692</v>
      </c>
      <c r="E26" s="20">
        <f t="shared" si="1"/>
        <v>4.3076923076923075</v>
      </c>
      <c r="F26" s="20">
        <f t="shared" si="0"/>
        <v>6.3308746048472075</v>
      </c>
      <c r="G26" s="20">
        <f t="shared" si="0"/>
        <v>5.8177028451001052</v>
      </c>
      <c r="I26" s="21"/>
      <c r="J26" s="21"/>
      <c r="K26" s="21"/>
      <c r="L26" s="21"/>
      <c r="M26" s="21"/>
    </row>
    <row r="27" spans="1:13" x14ac:dyDescent="0.2">
      <c r="A27" s="2" t="s">
        <v>101</v>
      </c>
      <c r="B27" s="20">
        <f t="shared" si="1"/>
        <v>1</v>
      </c>
      <c r="C27" s="20">
        <f t="shared" si="1"/>
        <v>1.097457627118644</v>
      </c>
      <c r="D27" s="20">
        <f t="shared" si="1"/>
        <v>4.6207627118644066</v>
      </c>
      <c r="E27" s="20">
        <f t="shared" si="1"/>
        <v>4.1716101694915251</v>
      </c>
      <c r="F27" s="20">
        <f t="shared" si="0"/>
        <v>6.1652542372881358</v>
      </c>
      <c r="G27" s="20">
        <f t="shared" si="0"/>
        <v>4.9110169491525424</v>
      </c>
      <c r="I27" s="21"/>
      <c r="J27" s="21"/>
      <c r="K27" s="21"/>
      <c r="L27" s="21"/>
      <c r="M27" s="21"/>
    </row>
    <row r="28" spans="1:13" x14ac:dyDescent="0.2">
      <c r="A28" s="2" t="s">
        <v>102</v>
      </c>
      <c r="B28" s="20">
        <f t="shared" si="1"/>
        <v>1</v>
      </c>
      <c r="C28" s="20">
        <f t="shared" si="1"/>
        <v>1.4259259259259258</v>
      </c>
      <c r="D28" s="20">
        <f t="shared" si="1"/>
        <v>6.4814814814814818</v>
      </c>
      <c r="E28" s="20">
        <f t="shared" si="1"/>
        <v>5.7777777777777777</v>
      </c>
      <c r="F28" s="20">
        <f t="shared" si="0"/>
        <v>9.3148148148148149</v>
      </c>
      <c r="G28" s="20">
        <f t="shared" si="0"/>
        <v>7.5185185185185182</v>
      </c>
      <c r="I28" s="21"/>
      <c r="J28" s="21"/>
      <c r="K28" s="21"/>
      <c r="L28" s="21"/>
      <c r="M28" s="21"/>
    </row>
    <row r="29" spans="1:13" x14ac:dyDescent="0.2">
      <c r="A29" s="2" t="s">
        <v>85</v>
      </c>
      <c r="B29" s="20">
        <f t="shared" ref="B29:G29" si="2">GEOMEAN(B17:B28)</f>
        <v>1</v>
      </c>
      <c r="C29" s="20">
        <f t="shared" si="2"/>
        <v>1.1803910434964764</v>
      </c>
      <c r="D29" s="20">
        <f t="shared" si="2"/>
        <v>4.4524778925966091</v>
      </c>
      <c r="E29" s="20">
        <f t="shared" si="2"/>
        <v>4.0693476148817931</v>
      </c>
      <c r="F29" s="20">
        <f t="shared" si="2"/>
        <v>5.9003939039676796</v>
      </c>
      <c r="G29" s="20">
        <f t="shared" si="2"/>
        <v>5.0309069677068088</v>
      </c>
      <c r="H29" s="1">
        <f>E29/G29</f>
        <v>0.80886958176781509</v>
      </c>
    </row>
    <row r="33" spans="1:13" x14ac:dyDescent="0.2">
      <c r="A33" s="2" t="s">
        <v>88</v>
      </c>
      <c r="B33" s="23" t="s">
        <v>86</v>
      </c>
      <c r="C33" s="23" t="s">
        <v>104</v>
      </c>
      <c r="D33" s="2" t="s">
        <v>109</v>
      </c>
      <c r="E33" s="2" t="s">
        <v>124</v>
      </c>
      <c r="F33" s="2" t="s">
        <v>113</v>
      </c>
      <c r="G33" s="2" t="s">
        <v>123</v>
      </c>
      <c r="H33" s="2" t="s">
        <v>104</v>
      </c>
      <c r="I33" s="2" t="s">
        <v>109</v>
      </c>
      <c r="J33" s="2" t="s">
        <v>124</v>
      </c>
      <c r="K33" s="2" t="s">
        <v>113</v>
      </c>
      <c r="L33" s="2" t="s">
        <v>123</v>
      </c>
    </row>
    <row r="34" spans="1:13" x14ac:dyDescent="0.2">
      <c r="A34" s="2" t="s">
        <v>91</v>
      </c>
      <c r="B34" s="3">
        <v>5360</v>
      </c>
      <c r="C34" s="3">
        <v>13144</v>
      </c>
      <c r="D34" s="3">
        <v>62824</v>
      </c>
      <c r="E34" s="3">
        <v>63072</v>
      </c>
      <c r="F34" s="3">
        <v>13904</v>
      </c>
      <c r="G34" s="3">
        <v>13916</v>
      </c>
      <c r="H34" s="26">
        <f>(C34-$B34)/1024</f>
        <v>7.6015625</v>
      </c>
      <c r="I34" s="26">
        <f>(D34-$B34)/1024</f>
        <v>56.1171875</v>
      </c>
      <c r="J34" s="26">
        <f>(E34-$B34)/1024</f>
        <v>56.359375</v>
      </c>
      <c r="K34" s="26">
        <f>(F34-$B34)/1024</f>
        <v>8.34375</v>
      </c>
      <c r="L34" s="26">
        <f>(G34-$B34)/1024</f>
        <v>8.35546875</v>
      </c>
      <c r="M34" s="25">
        <f>J34-L34</f>
        <v>48.00390625</v>
      </c>
    </row>
    <row r="35" spans="1:13" x14ac:dyDescent="0.2">
      <c r="A35" s="2" t="s">
        <v>92</v>
      </c>
      <c r="B35" s="3">
        <v>41536</v>
      </c>
      <c r="C35" s="3">
        <v>50052</v>
      </c>
      <c r="D35" s="3">
        <v>108036</v>
      </c>
      <c r="E35" s="3">
        <v>108204</v>
      </c>
      <c r="F35" s="3">
        <v>51204</v>
      </c>
      <c r="G35" s="3">
        <v>51220</v>
      </c>
      <c r="H35" s="26">
        <f t="shared" ref="H35:H45" si="3">(C35-$B35)/1024</f>
        <v>8.31640625</v>
      </c>
      <c r="I35" s="26">
        <f t="shared" ref="I35:I45" si="4">(D35-$B35)/1024</f>
        <v>64.94140625</v>
      </c>
      <c r="J35" s="26">
        <f t="shared" ref="J35:J45" si="5">(E35-$B35)/1024</f>
        <v>65.10546875</v>
      </c>
      <c r="K35" s="26">
        <f t="shared" ref="K35:K45" si="6">(F35-$B35)/1024</f>
        <v>9.44140625</v>
      </c>
      <c r="L35" s="26">
        <f t="shared" ref="L35:L45" si="7">(G35-$B35)/1024</f>
        <v>9.45703125</v>
      </c>
      <c r="M35" s="25">
        <f t="shared" ref="M35:M45" si="8">J35-L35</f>
        <v>55.6484375</v>
      </c>
    </row>
    <row r="36" spans="1:13" x14ac:dyDescent="0.2">
      <c r="A36" s="2" t="s">
        <v>93</v>
      </c>
      <c r="B36" s="3">
        <v>12587144</v>
      </c>
      <c r="C36" s="3">
        <v>12594744</v>
      </c>
      <c r="D36" s="3">
        <v>12641892</v>
      </c>
      <c r="E36" s="3">
        <v>12641952</v>
      </c>
      <c r="F36" s="3">
        <v>12595580</v>
      </c>
      <c r="G36" s="3">
        <v>12595564</v>
      </c>
      <c r="H36" s="26">
        <f t="shared" si="3"/>
        <v>7.421875</v>
      </c>
      <c r="I36" s="26">
        <f t="shared" si="4"/>
        <v>53.46484375</v>
      </c>
      <c r="J36" s="26">
        <f t="shared" si="5"/>
        <v>53.5234375</v>
      </c>
      <c r="K36" s="26">
        <f t="shared" si="6"/>
        <v>8.23828125</v>
      </c>
      <c r="L36" s="26">
        <f t="shared" si="7"/>
        <v>8.22265625</v>
      </c>
      <c r="M36" s="25">
        <f t="shared" si="8"/>
        <v>45.30078125</v>
      </c>
    </row>
    <row r="37" spans="1:13" x14ac:dyDescent="0.2">
      <c r="A37" s="2" t="s">
        <v>94</v>
      </c>
      <c r="B37" s="3">
        <v>26204</v>
      </c>
      <c r="C37" s="3">
        <v>34308</v>
      </c>
      <c r="D37" s="3">
        <v>90500</v>
      </c>
      <c r="E37" s="3">
        <v>90780</v>
      </c>
      <c r="F37" s="3">
        <v>35160</v>
      </c>
      <c r="G37" s="3">
        <v>35204</v>
      </c>
      <c r="H37" s="26">
        <f t="shared" si="3"/>
        <v>7.9140625</v>
      </c>
      <c r="I37" s="26">
        <f t="shared" si="4"/>
        <v>62.7890625</v>
      </c>
      <c r="J37" s="26">
        <f t="shared" si="5"/>
        <v>63.0625</v>
      </c>
      <c r="K37" s="26">
        <f t="shared" si="6"/>
        <v>8.74609375</v>
      </c>
      <c r="L37" s="26">
        <f t="shared" si="7"/>
        <v>8.7890625</v>
      </c>
      <c r="M37" s="25">
        <f t="shared" si="8"/>
        <v>54.2734375</v>
      </c>
    </row>
    <row r="38" spans="1:13" x14ac:dyDescent="0.2">
      <c r="A38" s="2" t="s">
        <v>95</v>
      </c>
      <c r="B38" s="3">
        <v>133964</v>
      </c>
      <c r="C38" s="3">
        <v>141596</v>
      </c>
      <c r="D38" s="3">
        <v>189824</v>
      </c>
      <c r="E38" s="3">
        <v>190160</v>
      </c>
      <c r="F38" s="3">
        <v>142304</v>
      </c>
      <c r="G38" s="3">
        <v>142360</v>
      </c>
      <c r="H38" s="26">
        <f t="shared" si="3"/>
        <v>7.453125</v>
      </c>
      <c r="I38" s="26">
        <f t="shared" si="4"/>
        <v>54.55078125</v>
      </c>
      <c r="J38" s="26">
        <f t="shared" si="5"/>
        <v>54.87890625</v>
      </c>
      <c r="K38" s="26">
        <f t="shared" si="6"/>
        <v>8.14453125</v>
      </c>
      <c r="L38" s="26">
        <f t="shared" si="7"/>
        <v>8.19921875</v>
      </c>
      <c r="M38" s="25">
        <f t="shared" si="8"/>
        <v>46.6796875</v>
      </c>
    </row>
    <row r="39" spans="1:13" x14ac:dyDescent="0.2">
      <c r="A39" s="2" t="s">
        <v>96</v>
      </c>
      <c r="B39" s="3">
        <v>133440</v>
      </c>
      <c r="C39" s="3">
        <v>141076</v>
      </c>
      <c r="D39" s="3">
        <v>189404</v>
      </c>
      <c r="E39" s="3">
        <v>189292</v>
      </c>
      <c r="F39" s="3">
        <v>141808</v>
      </c>
      <c r="G39" s="3">
        <v>141944</v>
      </c>
      <c r="H39" s="26">
        <f t="shared" si="3"/>
        <v>7.45703125</v>
      </c>
      <c r="I39" s="26">
        <f t="shared" si="4"/>
        <v>54.65234375</v>
      </c>
      <c r="J39" s="26">
        <f t="shared" si="5"/>
        <v>54.54296875</v>
      </c>
      <c r="K39" s="26">
        <f t="shared" si="6"/>
        <v>8.171875</v>
      </c>
      <c r="L39" s="26">
        <f t="shared" si="7"/>
        <v>8.3046875</v>
      </c>
      <c r="M39" s="25">
        <f t="shared" si="8"/>
        <v>46.23828125</v>
      </c>
    </row>
    <row r="40" spans="1:13" x14ac:dyDescent="0.2">
      <c r="A40" s="2" t="s">
        <v>97</v>
      </c>
      <c r="B40" s="3">
        <v>3629736</v>
      </c>
      <c r="C40" s="3">
        <v>3638004</v>
      </c>
      <c r="D40" s="3">
        <v>3689212</v>
      </c>
      <c r="E40" s="3">
        <v>3689200</v>
      </c>
      <c r="F40" s="3">
        <v>3639052</v>
      </c>
      <c r="G40" s="3">
        <v>3639068</v>
      </c>
      <c r="H40" s="26">
        <f t="shared" si="3"/>
        <v>8.07421875</v>
      </c>
      <c r="I40" s="26">
        <f t="shared" si="4"/>
        <v>58.08203125</v>
      </c>
      <c r="J40" s="26">
        <f t="shared" si="5"/>
        <v>58.0703125</v>
      </c>
      <c r="K40" s="26">
        <f t="shared" si="6"/>
        <v>9.09765625</v>
      </c>
      <c r="L40" s="26">
        <f t="shared" si="7"/>
        <v>9.11328125</v>
      </c>
      <c r="M40" s="25">
        <f t="shared" si="8"/>
        <v>48.95703125</v>
      </c>
    </row>
    <row r="41" spans="1:13" x14ac:dyDescent="0.2">
      <c r="A41" s="2" t="s">
        <v>98</v>
      </c>
      <c r="B41" s="3">
        <v>4092668</v>
      </c>
      <c r="C41" s="3">
        <v>4100588</v>
      </c>
      <c r="D41" s="3">
        <v>4150416</v>
      </c>
      <c r="E41" s="3">
        <v>4150508</v>
      </c>
      <c r="F41" s="3">
        <v>4101716</v>
      </c>
      <c r="G41" s="3">
        <v>4101748</v>
      </c>
      <c r="H41" s="26">
        <f t="shared" si="3"/>
        <v>7.734375</v>
      </c>
      <c r="I41" s="26">
        <f t="shared" si="4"/>
        <v>56.39453125</v>
      </c>
      <c r="J41" s="26">
        <f t="shared" si="5"/>
        <v>56.484375</v>
      </c>
      <c r="K41" s="26">
        <f t="shared" si="6"/>
        <v>8.8359375</v>
      </c>
      <c r="L41" s="26">
        <f t="shared" si="7"/>
        <v>8.8671875</v>
      </c>
      <c r="M41" s="25">
        <f t="shared" si="8"/>
        <v>47.6171875</v>
      </c>
    </row>
    <row r="42" spans="1:13" x14ac:dyDescent="0.2">
      <c r="A42" s="2" t="s">
        <v>99</v>
      </c>
      <c r="B42" s="3">
        <v>219128</v>
      </c>
      <c r="C42" s="3">
        <v>227168</v>
      </c>
      <c r="D42" s="3">
        <v>530128</v>
      </c>
      <c r="E42" s="3">
        <v>530852</v>
      </c>
      <c r="F42" s="3">
        <v>228484</v>
      </c>
      <c r="G42" s="3">
        <v>228536</v>
      </c>
      <c r="H42" s="26">
        <f t="shared" si="3"/>
        <v>7.8515625</v>
      </c>
      <c r="I42" s="26">
        <f t="shared" si="4"/>
        <v>303.7109375</v>
      </c>
      <c r="J42" s="26">
        <f t="shared" si="5"/>
        <v>304.41796875</v>
      </c>
      <c r="K42" s="26">
        <f t="shared" si="6"/>
        <v>9.13671875</v>
      </c>
      <c r="L42" s="26">
        <f t="shared" si="7"/>
        <v>9.1875</v>
      </c>
      <c r="M42" s="25">
        <f t="shared" si="8"/>
        <v>295.23046875</v>
      </c>
    </row>
    <row r="43" spans="1:13" x14ac:dyDescent="0.2">
      <c r="A43" s="2" t="s">
        <v>100</v>
      </c>
      <c r="B43" s="3">
        <v>1440684</v>
      </c>
      <c r="C43" s="3">
        <v>1448396</v>
      </c>
      <c r="D43" s="3">
        <v>1494912</v>
      </c>
      <c r="E43" s="3">
        <v>1495092</v>
      </c>
      <c r="F43" s="3">
        <v>1449048</v>
      </c>
      <c r="G43" s="3">
        <v>1449148</v>
      </c>
      <c r="H43" s="26">
        <f t="shared" si="3"/>
        <v>7.53125</v>
      </c>
      <c r="I43" s="26">
        <f t="shared" si="4"/>
        <v>52.95703125</v>
      </c>
      <c r="J43" s="26">
        <f t="shared" si="5"/>
        <v>53.1328125</v>
      </c>
      <c r="K43" s="26">
        <f t="shared" si="6"/>
        <v>8.16796875</v>
      </c>
      <c r="L43" s="26">
        <f t="shared" si="7"/>
        <v>8.265625</v>
      </c>
      <c r="M43" s="25">
        <f t="shared" si="8"/>
        <v>44.8671875</v>
      </c>
    </row>
    <row r="44" spans="1:13" x14ac:dyDescent="0.2">
      <c r="A44" s="2" t="s">
        <v>101</v>
      </c>
      <c r="B44" s="3">
        <v>6708</v>
      </c>
      <c r="C44" s="3">
        <v>14652</v>
      </c>
      <c r="D44" s="3">
        <v>65744</v>
      </c>
      <c r="E44" s="3">
        <v>65864</v>
      </c>
      <c r="F44" s="3">
        <v>15340</v>
      </c>
      <c r="G44" s="3">
        <v>15520</v>
      </c>
      <c r="H44" s="26">
        <f t="shared" si="3"/>
        <v>7.7578125</v>
      </c>
      <c r="I44" s="26">
        <f t="shared" si="4"/>
        <v>57.65234375</v>
      </c>
      <c r="J44" s="26">
        <f t="shared" si="5"/>
        <v>57.76953125</v>
      </c>
      <c r="K44" s="26">
        <f t="shared" si="6"/>
        <v>8.4296875</v>
      </c>
      <c r="L44" s="26">
        <f t="shared" si="7"/>
        <v>8.60546875</v>
      </c>
      <c r="M44" s="25">
        <f t="shared" si="8"/>
        <v>49.1640625</v>
      </c>
    </row>
    <row r="45" spans="1:13" x14ac:dyDescent="0.2">
      <c r="A45" s="2" t="s">
        <v>102</v>
      </c>
      <c r="B45" s="3">
        <v>5508</v>
      </c>
      <c r="C45" s="3">
        <v>13740</v>
      </c>
      <c r="D45" s="3">
        <v>65380</v>
      </c>
      <c r="E45" s="3">
        <v>65616</v>
      </c>
      <c r="F45" s="3">
        <v>14548</v>
      </c>
      <c r="G45" s="3">
        <v>14544</v>
      </c>
      <c r="H45" s="26">
        <f t="shared" si="3"/>
        <v>8.0390625</v>
      </c>
      <c r="I45" s="26">
        <f t="shared" si="4"/>
        <v>58.46875</v>
      </c>
      <c r="J45" s="26">
        <f t="shared" si="5"/>
        <v>58.69921875</v>
      </c>
      <c r="K45" s="26">
        <f t="shared" si="6"/>
        <v>8.828125</v>
      </c>
      <c r="L45" s="26">
        <f t="shared" si="7"/>
        <v>8.82421875</v>
      </c>
      <c r="M45" s="25">
        <f t="shared" si="8"/>
        <v>49.875</v>
      </c>
    </row>
    <row r="46" spans="1:13" x14ac:dyDescent="0.2">
      <c r="A46" s="1" t="s">
        <v>66</v>
      </c>
      <c r="H46" s="28">
        <f>GEOMEAN(H34:H45)</f>
        <v>7.7579290223578559</v>
      </c>
      <c r="I46" s="28">
        <f>GEOMEAN(I34:I45)</f>
        <v>65.707549857590024</v>
      </c>
      <c r="J46" s="28">
        <f>GEOMEAN(J34:J45)</f>
        <v>65.867950232364592</v>
      </c>
      <c r="K46" s="28">
        <f>GEOMEAN(K34:K45)</f>
        <v>8.6215148237372947</v>
      </c>
      <c r="L46" s="28">
        <f>GEOMEAN(L34:L45)</f>
        <v>8.6732137773689146</v>
      </c>
    </row>
    <row r="48" spans="1:13" x14ac:dyDescent="0.2">
      <c r="A48" s="2" t="s">
        <v>88</v>
      </c>
      <c r="B48" s="23" t="s">
        <v>86</v>
      </c>
      <c r="C48" s="23" t="s">
        <v>104</v>
      </c>
      <c r="D48" s="2" t="s">
        <v>109</v>
      </c>
      <c r="E48" s="2" t="s">
        <v>124</v>
      </c>
      <c r="F48" s="2" t="s">
        <v>113</v>
      </c>
      <c r="G48" s="2" t="s">
        <v>123</v>
      </c>
    </row>
    <row r="49" spans="1:7" x14ac:dyDescent="0.2">
      <c r="A49" s="2" t="s">
        <v>91</v>
      </c>
      <c r="B49" s="32">
        <f t="shared" ref="B49:G60" si="9">B34/$B34</f>
        <v>1</v>
      </c>
      <c r="C49" s="32">
        <f t="shared" si="9"/>
        <v>2.4522388059701492</v>
      </c>
      <c r="D49" s="32">
        <f t="shared" si="9"/>
        <v>11.72089552238806</v>
      </c>
      <c r="E49" s="32">
        <f t="shared" si="9"/>
        <v>11.767164179104478</v>
      </c>
      <c r="F49" s="32">
        <f t="shared" si="9"/>
        <v>2.5940298507462685</v>
      </c>
      <c r="G49" s="32">
        <f t="shared" si="9"/>
        <v>2.5962686567164179</v>
      </c>
    </row>
    <row r="50" spans="1:7" x14ac:dyDescent="0.2">
      <c r="A50" s="2" t="s">
        <v>92</v>
      </c>
      <c r="B50" s="32">
        <f t="shared" si="9"/>
        <v>1</v>
      </c>
      <c r="C50" s="32">
        <f t="shared" si="9"/>
        <v>1.2050269645608629</v>
      </c>
      <c r="D50" s="32">
        <f t="shared" si="9"/>
        <v>2.6010208012326657</v>
      </c>
      <c r="E50" s="32">
        <f t="shared" si="9"/>
        <v>2.6050654853620956</v>
      </c>
      <c r="F50" s="32">
        <f t="shared" si="9"/>
        <v>1.2327619414483821</v>
      </c>
      <c r="G50" s="32">
        <f t="shared" si="9"/>
        <v>1.2331471494607087</v>
      </c>
    </row>
    <row r="51" spans="1:7" x14ac:dyDescent="0.2">
      <c r="A51" s="2" t="s">
        <v>93</v>
      </c>
      <c r="B51" s="32">
        <f t="shared" si="9"/>
        <v>1</v>
      </c>
      <c r="C51" s="32">
        <f t="shared" si="9"/>
        <v>1.0006037906613288</v>
      </c>
      <c r="D51" s="32">
        <f t="shared" si="9"/>
        <v>1.0043495172534771</v>
      </c>
      <c r="E51" s="32">
        <f t="shared" si="9"/>
        <v>1.004354284021856</v>
      </c>
      <c r="F51" s="32">
        <f t="shared" si="9"/>
        <v>1.000670207634075</v>
      </c>
      <c r="G51" s="32">
        <f t="shared" si="9"/>
        <v>1.0006689364958405</v>
      </c>
    </row>
    <row r="52" spans="1:7" x14ac:dyDescent="0.2">
      <c r="A52" s="2" t="s">
        <v>94</v>
      </c>
      <c r="B52" s="32">
        <f t="shared" si="9"/>
        <v>1</v>
      </c>
      <c r="C52" s="32">
        <f t="shared" si="9"/>
        <v>1.3092657609525262</v>
      </c>
      <c r="D52" s="32">
        <f t="shared" si="9"/>
        <v>3.4536711952373684</v>
      </c>
      <c r="E52" s="32">
        <f t="shared" si="9"/>
        <v>3.4643565867806441</v>
      </c>
      <c r="F52" s="32">
        <f t="shared" si="9"/>
        <v>1.3417798809342085</v>
      </c>
      <c r="G52" s="32">
        <f t="shared" si="9"/>
        <v>1.343459013891009</v>
      </c>
    </row>
    <row r="53" spans="1:7" x14ac:dyDescent="0.2">
      <c r="A53" s="2" t="s">
        <v>95</v>
      </c>
      <c r="B53" s="32">
        <f t="shared" si="9"/>
        <v>1</v>
      </c>
      <c r="C53" s="32">
        <f t="shared" si="9"/>
        <v>1.056970529395957</v>
      </c>
      <c r="D53" s="32">
        <f t="shared" si="9"/>
        <v>1.4169776955002837</v>
      </c>
      <c r="E53" s="32">
        <f t="shared" si="9"/>
        <v>1.4194858320145711</v>
      </c>
      <c r="F53" s="32">
        <f t="shared" si="9"/>
        <v>1.062255531336777</v>
      </c>
      <c r="G53" s="32">
        <f t="shared" si="9"/>
        <v>1.0626735540891583</v>
      </c>
    </row>
    <row r="54" spans="1:7" x14ac:dyDescent="0.2">
      <c r="A54" s="2" t="s">
        <v>96</v>
      </c>
      <c r="B54" s="32">
        <f t="shared" si="9"/>
        <v>1</v>
      </c>
      <c r="C54" s="32">
        <f t="shared" si="9"/>
        <v>1.0572242206235012</v>
      </c>
      <c r="D54" s="32">
        <f t="shared" si="9"/>
        <v>1.41939448441247</v>
      </c>
      <c r="E54" s="32">
        <f t="shared" si="9"/>
        <v>1.4185551558752998</v>
      </c>
      <c r="F54" s="32">
        <f t="shared" si="9"/>
        <v>1.0627098321342925</v>
      </c>
      <c r="G54" s="32">
        <f t="shared" si="9"/>
        <v>1.0637290167865707</v>
      </c>
    </row>
    <row r="55" spans="1:7" x14ac:dyDescent="0.2">
      <c r="A55" s="2" t="s">
        <v>97</v>
      </c>
      <c r="B55" s="32">
        <f t="shared" si="9"/>
        <v>1</v>
      </c>
      <c r="C55" s="32">
        <f t="shared" si="9"/>
        <v>1.0022778516123487</v>
      </c>
      <c r="D55" s="32">
        <f t="shared" si="9"/>
        <v>1.0163857646947325</v>
      </c>
      <c r="E55" s="32">
        <f t="shared" si="9"/>
        <v>1.0163824586691705</v>
      </c>
      <c r="F55" s="32">
        <f t="shared" si="9"/>
        <v>1.0025665778447799</v>
      </c>
      <c r="G55" s="32">
        <f t="shared" si="9"/>
        <v>1.0025709858788627</v>
      </c>
    </row>
    <row r="56" spans="1:7" x14ac:dyDescent="0.2">
      <c r="A56" s="2" t="s">
        <v>98</v>
      </c>
      <c r="B56" s="32">
        <f t="shared" si="9"/>
        <v>1</v>
      </c>
      <c r="C56" s="32">
        <f t="shared" si="9"/>
        <v>1.0019351679637831</v>
      </c>
      <c r="D56" s="32">
        <f t="shared" si="9"/>
        <v>1.0141101110571393</v>
      </c>
      <c r="E56" s="32">
        <f t="shared" si="9"/>
        <v>1.014132590280961</v>
      </c>
      <c r="F56" s="32">
        <f t="shared" si="9"/>
        <v>1.0022107827949884</v>
      </c>
      <c r="G56" s="32">
        <f t="shared" si="9"/>
        <v>1.0022186016554482</v>
      </c>
    </row>
    <row r="57" spans="1:7" x14ac:dyDescent="0.2">
      <c r="A57" s="2" t="s">
        <v>99</v>
      </c>
      <c r="B57" s="32">
        <f t="shared" si="9"/>
        <v>1</v>
      </c>
      <c r="C57" s="32">
        <f t="shared" si="9"/>
        <v>1.0366908838669635</v>
      </c>
      <c r="D57" s="32">
        <f t="shared" si="9"/>
        <v>2.4192618013216021</v>
      </c>
      <c r="E57" s="32">
        <f t="shared" si="9"/>
        <v>2.4225658062867366</v>
      </c>
      <c r="F57" s="32">
        <f t="shared" si="9"/>
        <v>1.0426965061516555</v>
      </c>
      <c r="G57" s="32">
        <f t="shared" si="9"/>
        <v>1.0429338103756709</v>
      </c>
    </row>
    <row r="58" spans="1:7" x14ac:dyDescent="0.2">
      <c r="A58" s="2" t="s">
        <v>100</v>
      </c>
      <c r="B58" s="32">
        <f t="shared" si="9"/>
        <v>1</v>
      </c>
      <c r="C58" s="32">
        <f t="shared" si="9"/>
        <v>1.0053530128744401</v>
      </c>
      <c r="D58" s="32">
        <f t="shared" si="9"/>
        <v>1.0376404541176274</v>
      </c>
      <c r="E58" s="32">
        <f t="shared" si="9"/>
        <v>1.0377653947708172</v>
      </c>
      <c r="F58" s="32">
        <f t="shared" si="9"/>
        <v>1.0058055756848829</v>
      </c>
      <c r="G58" s="32">
        <f t="shared" si="9"/>
        <v>1.0058749871588772</v>
      </c>
    </row>
    <row r="59" spans="1:7" x14ac:dyDescent="0.2">
      <c r="A59" s="2" t="s">
        <v>101</v>
      </c>
      <c r="B59" s="32">
        <f t="shared" si="9"/>
        <v>1</v>
      </c>
      <c r="C59" s="32">
        <f t="shared" si="9"/>
        <v>2.184257602862254</v>
      </c>
      <c r="D59" s="32">
        <f t="shared" si="9"/>
        <v>9.8008348240906376</v>
      </c>
      <c r="E59" s="32">
        <f t="shared" si="9"/>
        <v>9.818723911747167</v>
      </c>
      <c r="F59" s="32">
        <f t="shared" si="9"/>
        <v>2.2868217054263567</v>
      </c>
      <c r="G59" s="32">
        <f t="shared" si="9"/>
        <v>2.3136553369111508</v>
      </c>
    </row>
    <row r="60" spans="1:7" x14ac:dyDescent="0.2">
      <c r="A60" s="2" t="s">
        <v>102</v>
      </c>
      <c r="B60" s="32">
        <f t="shared" si="9"/>
        <v>1</v>
      </c>
      <c r="C60" s="32">
        <f t="shared" si="9"/>
        <v>2.494553376906318</v>
      </c>
      <c r="D60" s="32">
        <f t="shared" si="9"/>
        <v>11.870007262164124</v>
      </c>
      <c r="E60" s="32">
        <f t="shared" si="9"/>
        <v>11.912854030501089</v>
      </c>
      <c r="F60" s="32">
        <f t="shared" si="9"/>
        <v>2.6412490922294842</v>
      </c>
      <c r="G60" s="32">
        <f t="shared" si="9"/>
        <v>2.6405228758169934</v>
      </c>
    </row>
    <row r="61" spans="1:7" x14ac:dyDescent="0.2">
      <c r="A61" s="2" t="s">
        <v>85</v>
      </c>
      <c r="B61" s="32">
        <f t="shared" ref="B61:G61" si="10">GEOMEAN(B49:B60)</f>
        <v>1</v>
      </c>
      <c r="C61" s="32">
        <f t="shared" si="10"/>
        <v>1.3062139315258672</v>
      </c>
      <c r="D61" s="32">
        <f t="shared" si="10"/>
        <v>2.5149364170687911</v>
      </c>
      <c r="E61" s="32">
        <f t="shared" si="10"/>
        <v>2.5184378277716348</v>
      </c>
      <c r="F61" s="32">
        <f t="shared" si="10"/>
        <v>1.3307751141660851</v>
      </c>
      <c r="G61" s="32">
        <f t="shared" si="10"/>
        <v>1.3324924789728769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72B7-3141-764F-8839-FE1737BC8DEB}">
  <dimension ref="A1:G29"/>
  <sheetViews>
    <sheetView workbookViewId="0">
      <selection activeCell="G39" sqref="G39"/>
    </sheetView>
  </sheetViews>
  <sheetFormatPr baseColWidth="10" defaultColWidth="11.1640625" defaultRowHeight="16" x14ac:dyDescent="0.2"/>
  <cols>
    <col min="1" max="1" width="24.33203125" bestFit="1" customWidth="1"/>
    <col min="2" max="2" width="8.33203125" bestFit="1" customWidth="1"/>
    <col min="3" max="3" width="12.1640625" bestFit="1" customWidth="1"/>
    <col min="4" max="4" width="20.6640625" bestFit="1" customWidth="1"/>
    <col min="5" max="5" width="31.5" bestFit="1" customWidth="1"/>
    <col min="6" max="6" width="25.6640625" bestFit="1" customWidth="1"/>
    <col min="7" max="7" width="36.5" bestFit="1" customWidth="1"/>
  </cols>
  <sheetData>
    <row r="1" spans="1:7" ht="18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7" ht="18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</row>
    <row r="3" spans="1:7" ht="18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</row>
    <row r="4" spans="1:7" ht="18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</row>
    <row r="5" spans="1:7" ht="18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</row>
    <row r="6" spans="1:7" ht="18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</row>
    <row r="7" spans="1:7" ht="18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</row>
    <row r="8" spans="1:7" ht="18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</row>
    <row r="9" spans="1:7" ht="18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</row>
    <row r="10" spans="1:7" ht="18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</row>
    <row r="11" spans="1:7" ht="18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</row>
    <row r="12" spans="1:7" ht="18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</row>
    <row r="13" spans="1:7" ht="18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</row>
    <row r="14" spans="1:7" ht="18" x14ac:dyDescent="0.2">
      <c r="A14" s="1"/>
      <c r="B14" s="1"/>
      <c r="C14" s="1"/>
      <c r="D14" s="1"/>
      <c r="E14" s="1"/>
      <c r="F14" s="1"/>
      <c r="G14" s="1"/>
    </row>
    <row r="15" spans="1:7" ht="18" x14ac:dyDescent="0.2">
      <c r="A15" s="1"/>
      <c r="B15" s="1"/>
      <c r="C15" s="1"/>
      <c r="D15" s="1"/>
      <c r="E15" s="1"/>
      <c r="F15" s="1"/>
      <c r="G15" s="1"/>
    </row>
    <row r="16" spans="1:7" ht="18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7" ht="18" x14ac:dyDescent="0.2">
      <c r="A17" s="2" t="s">
        <v>91</v>
      </c>
      <c r="B17" s="20">
        <f t="shared" ref="B17:G17" si="0">B2/$B2</f>
        <v>1</v>
      </c>
      <c r="C17" s="20">
        <f t="shared" si="0"/>
        <v>1.1153846153846154</v>
      </c>
      <c r="D17" s="20">
        <f t="shared" si="0"/>
        <v>14.76923076923077</v>
      </c>
      <c r="E17" s="20">
        <f t="shared" si="0"/>
        <v>14.23076923076923</v>
      </c>
      <c r="F17" s="20">
        <f t="shared" si="0"/>
        <v>20.846153846153847</v>
      </c>
      <c r="G17" s="20">
        <f t="shared" si="0"/>
        <v>17.73076923076923</v>
      </c>
    </row>
    <row r="18" spans="1:7" ht="18" x14ac:dyDescent="0.2">
      <c r="A18" s="2" t="s">
        <v>92</v>
      </c>
      <c r="B18" s="20">
        <f t="shared" ref="B18:E28" si="1">B3/$B3</f>
        <v>1</v>
      </c>
      <c r="C18" s="20">
        <f t="shared" si="1"/>
        <v>1.4090909090909092</v>
      </c>
      <c r="D18" s="20">
        <f t="shared" si="1"/>
        <v>3.3636363636363638</v>
      </c>
      <c r="E18" s="20">
        <f t="shared" si="1"/>
        <v>3.0909090909090908</v>
      </c>
      <c r="F18" s="20">
        <f t="shared" ref="F18:G28" si="2">F3/$B3</f>
        <v>4.5</v>
      </c>
      <c r="G18" s="20">
        <f t="shared" si="2"/>
        <v>3.9545454545454546</v>
      </c>
    </row>
    <row r="19" spans="1:7" ht="18" x14ac:dyDescent="0.2">
      <c r="A19" s="2" t="s">
        <v>93</v>
      </c>
      <c r="B19" s="20">
        <f t="shared" si="1"/>
        <v>1</v>
      </c>
      <c r="C19" s="20">
        <f t="shared" si="1"/>
        <v>1.5463379521324456</v>
      </c>
      <c r="D19" s="20">
        <f t="shared" si="1"/>
        <v>7.2513946373942773</v>
      </c>
      <c r="E19" s="20">
        <f t="shared" si="1"/>
        <v>6.1943494691380243</v>
      </c>
      <c r="F19" s="20">
        <f t="shared" si="2"/>
        <v>10.853158178873493</v>
      </c>
      <c r="G19" s="20">
        <f t="shared" si="2"/>
        <v>9.534640993341732</v>
      </c>
    </row>
    <row r="20" spans="1:7" ht="18" x14ac:dyDescent="0.2">
      <c r="A20" s="2" t="s">
        <v>94</v>
      </c>
      <c r="B20" s="20">
        <f t="shared" si="1"/>
        <v>1</v>
      </c>
      <c r="C20" s="20">
        <f t="shared" si="1"/>
        <v>1.2727272727272727</v>
      </c>
      <c r="D20" s="20">
        <f t="shared" si="1"/>
        <v>2.3409090909090908</v>
      </c>
      <c r="E20" s="20">
        <f t="shared" si="1"/>
        <v>2.1363636363636362</v>
      </c>
      <c r="F20" s="20">
        <f t="shared" si="2"/>
        <v>3.1363636363636362</v>
      </c>
      <c r="G20" s="20">
        <f t="shared" si="2"/>
        <v>2.7954545454545454</v>
      </c>
    </row>
    <row r="21" spans="1:7" ht="18" x14ac:dyDescent="0.2">
      <c r="A21" s="2" t="s">
        <v>95</v>
      </c>
      <c r="B21" s="20">
        <f t="shared" si="1"/>
        <v>1</v>
      </c>
      <c r="C21" s="20">
        <f t="shared" si="1"/>
        <v>1.0331428571428571</v>
      </c>
      <c r="D21" s="20">
        <f t="shared" si="1"/>
        <v>6.5039999999999996</v>
      </c>
      <c r="E21" s="20">
        <f t="shared" si="1"/>
        <v>5.7344761904761903</v>
      </c>
      <c r="F21" s="20">
        <f t="shared" si="2"/>
        <v>9.0712380952380958</v>
      </c>
      <c r="G21" s="20">
        <f t="shared" si="2"/>
        <v>6.8994285714285715</v>
      </c>
    </row>
    <row r="22" spans="1:7" ht="18" x14ac:dyDescent="0.2">
      <c r="A22" s="2" t="s">
        <v>96</v>
      </c>
      <c r="B22" s="20">
        <f t="shared" si="1"/>
        <v>1</v>
      </c>
      <c r="C22" s="20">
        <f t="shared" si="1"/>
        <v>1.0388098318240622</v>
      </c>
      <c r="D22" s="20">
        <f t="shared" si="1"/>
        <v>5.0623544631306601</v>
      </c>
      <c r="E22" s="20">
        <f t="shared" si="1"/>
        <v>4.5068564036222512</v>
      </c>
      <c r="F22" s="20">
        <f t="shared" si="2"/>
        <v>6.6631306597671411</v>
      </c>
      <c r="G22" s="20">
        <f t="shared" si="2"/>
        <v>5.0401034928848638</v>
      </c>
    </row>
    <row r="23" spans="1:7" ht="18" x14ac:dyDescent="0.2">
      <c r="A23" s="2" t="s">
        <v>97</v>
      </c>
      <c r="B23" s="20">
        <f t="shared" si="1"/>
        <v>1</v>
      </c>
      <c r="C23" s="20">
        <f t="shared" si="1"/>
        <v>1.0334821428571428</v>
      </c>
      <c r="D23" s="20">
        <f t="shared" si="1"/>
        <v>1.0758928571428572</v>
      </c>
      <c r="E23" s="20">
        <f t="shared" si="1"/>
        <v>1.0714285714285714</v>
      </c>
      <c r="F23" s="20">
        <f t="shared" si="2"/>
        <v>1.1551339285714286</v>
      </c>
      <c r="G23" s="20">
        <f t="shared" si="2"/>
        <v>1.1238839285714286</v>
      </c>
    </row>
    <row r="24" spans="1:7" ht="18" x14ac:dyDescent="0.2">
      <c r="A24" s="2" t="s">
        <v>98</v>
      </c>
      <c r="B24" s="20">
        <f t="shared" si="1"/>
        <v>1</v>
      </c>
      <c r="C24" s="20">
        <f t="shared" si="1"/>
        <v>1.0154091392136027</v>
      </c>
      <c r="D24" s="20">
        <f t="shared" si="1"/>
        <v>1.0162061636556854</v>
      </c>
      <c r="E24" s="20">
        <f t="shared" si="1"/>
        <v>1.0185972369819341</v>
      </c>
      <c r="F24" s="20">
        <f t="shared" si="2"/>
        <v>1.0209883103081827</v>
      </c>
      <c r="G24" s="20">
        <f t="shared" si="2"/>
        <v>0.99123273113708821</v>
      </c>
    </row>
    <row r="25" spans="1:7" ht="18" x14ac:dyDescent="0.2">
      <c r="A25" s="2" t="s">
        <v>99</v>
      </c>
      <c r="B25" s="20">
        <f t="shared" si="1"/>
        <v>1</v>
      </c>
      <c r="C25" s="20">
        <f t="shared" si="1"/>
        <v>1.3225806451612903</v>
      </c>
      <c r="D25" s="20">
        <f t="shared" si="1"/>
        <v>14</v>
      </c>
      <c r="E25" s="20">
        <f t="shared" si="1"/>
        <v>12.096774193548388</v>
      </c>
      <c r="F25" s="20">
        <f t="shared" si="2"/>
        <v>21.516129032258064</v>
      </c>
      <c r="G25" s="20">
        <f t="shared" si="2"/>
        <v>16.903225806451612</v>
      </c>
    </row>
    <row r="26" spans="1:7" ht="18" x14ac:dyDescent="0.2">
      <c r="A26" s="2" t="s">
        <v>100</v>
      </c>
      <c r="B26" s="20">
        <f t="shared" si="1"/>
        <v>1</v>
      </c>
      <c r="C26" s="20">
        <f t="shared" si="1"/>
        <v>1.0147523709167545</v>
      </c>
      <c r="D26" s="20">
        <f t="shared" si="1"/>
        <v>4.7692307692307692</v>
      </c>
      <c r="E26" s="20">
        <f t="shared" si="1"/>
        <v>4.3076923076923075</v>
      </c>
      <c r="F26" s="20">
        <f t="shared" si="2"/>
        <v>6.3308746048472075</v>
      </c>
      <c r="G26" s="20">
        <f t="shared" si="2"/>
        <v>5.8177028451001052</v>
      </c>
    </row>
    <row r="27" spans="1:7" ht="18" x14ac:dyDescent="0.2">
      <c r="A27" s="2" t="s">
        <v>101</v>
      </c>
      <c r="B27" s="20">
        <f t="shared" si="1"/>
        <v>1</v>
      </c>
      <c r="C27" s="20">
        <f t="shared" si="1"/>
        <v>1.097457627118644</v>
      </c>
      <c r="D27" s="20">
        <f t="shared" si="1"/>
        <v>4.6207627118644066</v>
      </c>
      <c r="E27" s="20">
        <f t="shared" si="1"/>
        <v>4.1716101694915251</v>
      </c>
      <c r="F27" s="20">
        <f t="shared" si="2"/>
        <v>6.1652542372881358</v>
      </c>
      <c r="G27" s="20">
        <f t="shared" si="2"/>
        <v>4.9110169491525424</v>
      </c>
    </row>
    <row r="28" spans="1:7" ht="18" x14ac:dyDescent="0.2">
      <c r="A28" s="2" t="s">
        <v>102</v>
      </c>
      <c r="B28" s="20">
        <f t="shared" si="1"/>
        <v>1</v>
      </c>
      <c r="C28" s="20">
        <f t="shared" si="1"/>
        <v>1.4259259259259258</v>
      </c>
      <c r="D28" s="20">
        <f t="shared" si="1"/>
        <v>6.4814814814814818</v>
      </c>
      <c r="E28" s="20">
        <f t="shared" si="1"/>
        <v>5.7777777777777777</v>
      </c>
      <c r="F28" s="20">
        <f t="shared" si="2"/>
        <v>9.3148148148148149</v>
      </c>
      <c r="G28" s="20">
        <f t="shared" si="2"/>
        <v>7.5185185185185182</v>
      </c>
    </row>
    <row r="29" spans="1:7" ht="18" x14ac:dyDescent="0.2">
      <c r="A29" s="2" t="s">
        <v>85</v>
      </c>
      <c r="B29" s="20">
        <f t="shared" ref="B29:G29" si="3">GEOMEAN(B17:B28)</f>
        <v>1</v>
      </c>
      <c r="C29" s="20">
        <f t="shared" si="3"/>
        <v>1.1803910434964764</v>
      </c>
      <c r="D29" s="20">
        <f t="shared" si="3"/>
        <v>4.4524778925966091</v>
      </c>
      <c r="E29" s="20">
        <f t="shared" si="3"/>
        <v>4.0693476148817931</v>
      </c>
      <c r="F29" s="20">
        <f t="shared" si="3"/>
        <v>5.9003939039676796</v>
      </c>
      <c r="G29" s="20">
        <f t="shared" si="3"/>
        <v>5.0309069677068088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4C2A-913D-8646-8556-196DD650FBFC}">
  <dimension ref="A1:M61"/>
  <sheetViews>
    <sheetView zoomScale="70" zoomScaleNormal="70" workbookViewId="0">
      <selection activeCell="E71" sqref="E71"/>
    </sheetView>
  </sheetViews>
  <sheetFormatPr baseColWidth="10" defaultRowHeight="18" x14ac:dyDescent="0.2"/>
  <cols>
    <col min="1" max="1" width="27.83203125" style="1" customWidth="1"/>
    <col min="2" max="3" width="15.33203125" style="1" bestFit="1" customWidth="1"/>
    <col min="4" max="4" width="25.6640625" style="1" bestFit="1" customWidth="1"/>
    <col min="5" max="5" width="35.1640625" style="1" bestFit="1" customWidth="1"/>
    <col min="6" max="6" width="20.6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35.1640625" style="1" bestFit="1" customWidth="1"/>
    <col min="11" max="11" width="20.6640625" style="1" bestFit="1" customWidth="1"/>
    <col min="12" max="12" width="32.83203125" style="1" bestFit="1" customWidth="1"/>
    <col min="13" max="16384" width="10.83203125" style="1"/>
  </cols>
  <sheetData>
    <row r="1" spans="1:13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13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  <c r="I2" s="3">
        <v>12286</v>
      </c>
      <c r="J2" s="3">
        <v>2340</v>
      </c>
      <c r="K2" s="3"/>
      <c r="L2" s="3"/>
      <c r="M2" s="3"/>
    </row>
    <row r="3" spans="1:13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  <c r="I3" s="3">
        <v>776</v>
      </c>
      <c r="J3" s="3">
        <v>2054</v>
      </c>
      <c r="K3" s="3"/>
      <c r="L3" s="3"/>
    </row>
    <row r="4" spans="1:13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  <c r="I4" s="3">
        <v>1018815</v>
      </c>
      <c r="J4" s="3">
        <v>616100</v>
      </c>
      <c r="K4" s="3"/>
      <c r="L4" s="3"/>
    </row>
    <row r="5" spans="1:13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  <c r="I5" s="3">
        <v>1588</v>
      </c>
      <c r="J5" s="3">
        <v>6215</v>
      </c>
      <c r="K5" s="3"/>
      <c r="L5" s="3"/>
    </row>
    <row r="6" spans="1:13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  <c r="I6" s="3">
        <v>555971</v>
      </c>
      <c r="J6" s="3">
        <v>258108</v>
      </c>
      <c r="K6" s="3"/>
      <c r="L6" s="3"/>
    </row>
    <row r="7" spans="1:13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  <c r="I7" s="3">
        <v>559271</v>
      </c>
      <c r="J7" s="3">
        <v>258602</v>
      </c>
      <c r="K7" s="3"/>
      <c r="L7" s="3"/>
    </row>
    <row r="8" spans="1:13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  <c r="I8" s="3">
        <v>6335</v>
      </c>
      <c r="J8" s="3">
        <v>143173</v>
      </c>
      <c r="K8" s="3"/>
      <c r="L8" s="3"/>
    </row>
    <row r="9" spans="1:13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  <c r="I9" s="3">
        <v>34</v>
      </c>
      <c r="J9" s="3">
        <v>246210</v>
      </c>
      <c r="K9" s="3"/>
      <c r="L9" s="3"/>
    </row>
    <row r="10" spans="1:13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  <c r="I10" s="3">
        <v>16838</v>
      </c>
      <c r="J10" s="3">
        <v>3634</v>
      </c>
      <c r="K10" s="3"/>
      <c r="L10" s="3"/>
    </row>
    <row r="11" spans="1:13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  <c r="I11" s="3">
        <v>143159</v>
      </c>
      <c r="J11" s="3">
        <v>57661</v>
      </c>
      <c r="K11" s="3"/>
      <c r="L11" s="3"/>
    </row>
    <row r="12" spans="1:13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  <c r="I12" s="3"/>
      <c r="J12" s="3">
        <v>56153</v>
      </c>
      <c r="K12" s="3"/>
      <c r="L12" s="3"/>
    </row>
    <row r="13" spans="1:13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  <c r="I13" s="3"/>
      <c r="J13" s="3">
        <v>6908</v>
      </c>
      <c r="K13" s="3"/>
      <c r="L13" s="3"/>
    </row>
    <row r="16" spans="1:13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13" x14ac:dyDescent="0.2">
      <c r="A17" s="2" t="s">
        <v>91</v>
      </c>
      <c r="B17" s="20">
        <f t="shared" ref="B17:G17" si="0">B2/$B2</f>
        <v>1</v>
      </c>
      <c r="C17" s="20">
        <f t="shared" si="0"/>
        <v>1.1153846153846154</v>
      </c>
      <c r="D17" s="20">
        <f t="shared" si="0"/>
        <v>14.76923076923077</v>
      </c>
      <c r="E17" s="20">
        <f t="shared" si="0"/>
        <v>14.23076923076923</v>
      </c>
      <c r="F17" s="20">
        <f t="shared" si="0"/>
        <v>20.846153846153847</v>
      </c>
      <c r="G17" s="20">
        <f t="shared" si="0"/>
        <v>17.73076923076923</v>
      </c>
      <c r="I17" s="21"/>
      <c r="J17" s="21">
        <v>110745362652</v>
      </c>
      <c r="K17" s="21"/>
      <c r="L17" s="21"/>
      <c r="M17" s="21"/>
    </row>
    <row r="18" spans="1:13" x14ac:dyDescent="0.2">
      <c r="A18" s="2" t="s">
        <v>92</v>
      </c>
      <c r="B18" s="20">
        <f t="shared" ref="B18:E28" si="1">B3/$B3</f>
        <v>1</v>
      </c>
      <c r="C18" s="20">
        <f t="shared" si="1"/>
        <v>1.4090909090909092</v>
      </c>
      <c r="D18" s="20">
        <f t="shared" si="1"/>
        <v>3.3636363636363638</v>
      </c>
      <c r="E18" s="20">
        <f t="shared" si="1"/>
        <v>3.0909090909090908</v>
      </c>
      <c r="F18" s="20">
        <f t="shared" ref="F18:G28" si="2">F3/$B3</f>
        <v>4.5</v>
      </c>
      <c r="G18" s="20">
        <f t="shared" si="2"/>
        <v>3.9545454545454546</v>
      </c>
      <c r="I18" s="21"/>
      <c r="J18" s="21">
        <v>166250210566</v>
      </c>
      <c r="K18" s="21"/>
      <c r="L18" s="21"/>
      <c r="M18" s="21"/>
    </row>
    <row r="19" spans="1:13" x14ac:dyDescent="0.2">
      <c r="A19" s="2" t="s">
        <v>93</v>
      </c>
      <c r="B19" s="20">
        <f t="shared" si="1"/>
        <v>1</v>
      </c>
      <c r="C19" s="20">
        <f t="shared" si="1"/>
        <v>1.5463379521324456</v>
      </c>
      <c r="D19" s="20">
        <f t="shared" si="1"/>
        <v>7.2513946373942773</v>
      </c>
      <c r="E19" s="20">
        <f t="shared" si="1"/>
        <v>6.1943494691380243</v>
      </c>
      <c r="F19" s="20">
        <f t="shared" si="2"/>
        <v>10.853158178873493</v>
      </c>
      <c r="G19" s="20">
        <f t="shared" si="2"/>
        <v>9.534640993341732</v>
      </c>
      <c r="I19" s="21"/>
      <c r="J19" s="21"/>
      <c r="K19" s="21"/>
      <c r="L19" s="21"/>
      <c r="M19" s="21"/>
    </row>
    <row r="20" spans="1:13" x14ac:dyDescent="0.2">
      <c r="A20" s="2" t="s">
        <v>94</v>
      </c>
      <c r="B20" s="20">
        <f t="shared" si="1"/>
        <v>1</v>
      </c>
      <c r="C20" s="20">
        <f t="shared" si="1"/>
        <v>1.2727272727272727</v>
      </c>
      <c r="D20" s="20">
        <f t="shared" si="1"/>
        <v>2.3409090909090908</v>
      </c>
      <c r="E20" s="20">
        <f t="shared" si="1"/>
        <v>2.1363636363636362</v>
      </c>
      <c r="F20" s="20">
        <f t="shared" si="2"/>
        <v>3.1363636363636362</v>
      </c>
      <c r="G20" s="20">
        <f t="shared" si="2"/>
        <v>2.7954545454545454</v>
      </c>
      <c r="I20" s="21"/>
      <c r="J20" s="21"/>
      <c r="K20" s="21"/>
      <c r="L20" s="21"/>
      <c r="M20" s="21"/>
    </row>
    <row r="21" spans="1:13" x14ac:dyDescent="0.2">
      <c r="A21" s="2" t="s">
        <v>95</v>
      </c>
      <c r="B21" s="20">
        <f t="shared" si="1"/>
        <v>1</v>
      </c>
      <c r="C21" s="20">
        <f t="shared" si="1"/>
        <v>1.0331428571428571</v>
      </c>
      <c r="D21" s="20">
        <f t="shared" si="1"/>
        <v>6.5039999999999996</v>
      </c>
      <c r="E21" s="20">
        <f t="shared" si="1"/>
        <v>5.7344761904761903</v>
      </c>
      <c r="F21" s="20">
        <f t="shared" si="2"/>
        <v>9.0712380952380958</v>
      </c>
      <c r="G21" s="20">
        <f t="shared" si="2"/>
        <v>6.8994285714285715</v>
      </c>
      <c r="I21" s="21"/>
      <c r="J21" s="21"/>
      <c r="K21" s="21"/>
      <c r="L21" s="21"/>
      <c r="M21" s="21"/>
    </row>
    <row r="22" spans="1:13" x14ac:dyDescent="0.2">
      <c r="A22" s="2" t="s">
        <v>96</v>
      </c>
      <c r="B22" s="20">
        <f t="shared" si="1"/>
        <v>1</v>
      </c>
      <c r="C22" s="20">
        <f t="shared" si="1"/>
        <v>1.0388098318240622</v>
      </c>
      <c r="D22" s="20">
        <f t="shared" si="1"/>
        <v>5.0623544631306601</v>
      </c>
      <c r="E22" s="20">
        <f t="shared" si="1"/>
        <v>4.5068564036222512</v>
      </c>
      <c r="F22" s="20">
        <f t="shared" si="2"/>
        <v>6.6631306597671411</v>
      </c>
      <c r="G22" s="20">
        <f t="shared" si="2"/>
        <v>5.0401034928848638</v>
      </c>
      <c r="I22" s="21"/>
      <c r="J22" s="21"/>
      <c r="K22" s="21"/>
      <c r="L22" s="21"/>
      <c r="M22" s="21"/>
    </row>
    <row r="23" spans="1:13" x14ac:dyDescent="0.2">
      <c r="A23" s="2" t="s">
        <v>97</v>
      </c>
      <c r="B23" s="20">
        <f t="shared" si="1"/>
        <v>1</v>
      </c>
      <c r="C23" s="20">
        <f t="shared" si="1"/>
        <v>1.0334821428571428</v>
      </c>
      <c r="D23" s="20">
        <f t="shared" si="1"/>
        <v>1.0758928571428572</v>
      </c>
      <c r="E23" s="20">
        <f t="shared" si="1"/>
        <v>1.0714285714285714</v>
      </c>
      <c r="F23" s="20">
        <f t="shared" si="2"/>
        <v>1.1551339285714286</v>
      </c>
      <c r="G23" s="20">
        <f t="shared" si="2"/>
        <v>1.1238839285714286</v>
      </c>
      <c r="I23" s="21"/>
      <c r="J23" s="21"/>
      <c r="K23" s="21"/>
      <c r="L23" s="21"/>
      <c r="M23" s="21"/>
    </row>
    <row r="24" spans="1:13" x14ac:dyDescent="0.2">
      <c r="A24" s="2" t="s">
        <v>98</v>
      </c>
      <c r="B24" s="20">
        <f t="shared" si="1"/>
        <v>1</v>
      </c>
      <c r="C24" s="20">
        <f t="shared" si="1"/>
        <v>1.0154091392136027</v>
      </c>
      <c r="D24" s="20">
        <f t="shared" si="1"/>
        <v>1.0162061636556854</v>
      </c>
      <c r="E24" s="20">
        <f t="shared" si="1"/>
        <v>1.0185972369819341</v>
      </c>
      <c r="F24" s="20">
        <f t="shared" si="2"/>
        <v>1.0209883103081827</v>
      </c>
      <c r="G24" s="20">
        <f t="shared" si="2"/>
        <v>0.99123273113708821</v>
      </c>
      <c r="I24" s="21"/>
      <c r="J24" s="21"/>
      <c r="K24" s="21"/>
      <c r="L24" s="21"/>
      <c r="M24" s="21"/>
    </row>
    <row r="25" spans="1:13" x14ac:dyDescent="0.2">
      <c r="A25" s="2" t="s">
        <v>99</v>
      </c>
      <c r="B25" s="20">
        <f t="shared" si="1"/>
        <v>1</v>
      </c>
      <c r="C25" s="20">
        <f t="shared" si="1"/>
        <v>1.3225806451612903</v>
      </c>
      <c r="D25" s="20">
        <f t="shared" si="1"/>
        <v>14</v>
      </c>
      <c r="E25" s="20">
        <f t="shared" si="1"/>
        <v>12.096774193548388</v>
      </c>
      <c r="F25" s="20">
        <f t="shared" si="2"/>
        <v>21.516129032258064</v>
      </c>
      <c r="G25" s="20">
        <f t="shared" si="2"/>
        <v>16.903225806451612</v>
      </c>
      <c r="I25" s="21"/>
      <c r="J25" s="21"/>
      <c r="K25" s="21"/>
      <c r="L25" s="21"/>
      <c r="M25" s="21"/>
    </row>
    <row r="26" spans="1:13" x14ac:dyDescent="0.2">
      <c r="A26" s="2" t="s">
        <v>100</v>
      </c>
      <c r="B26" s="20">
        <f t="shared" si="1"/>
        <v>1</v>
      </c>
      <c r="C26" s="20">
        <f t="shared" si="1"/>
        <v>1.0147523709167545</v>
      </c>
      <c r="D26" s="20">
        <f t="shared" si="1"/>
        <v>4.7692307692307692</v>
      </c>
      <c r="E26" s="20">
        <f t="shared" si="1"/>
        <v>4.3076923076923075</v>
      </c>
      <c r="F26" s="20">
        <f t="shared" si="2"/>
        <v>6.3308746048472075</v>
      </c>
      <c r="G26" s="20">
        <f t="shared" si="2"/>
        <v>5.8177028451001052</v>
      </c>
      <c r="I26" s="21"/>
      <c r="J26" s="21"/>
      <c r="K26" s="21"/>
      <c r="L26" s="21"/>
      <c r="M26" s="21"/>
    </row>
    <row r="27" spans="1:13" x14ac:dyDescent="0.2">
      <c r="A27" s="2" t="s">
        <v>101</v>
      </c>
      <c r="B27" s="20">
        <f t="shared" si="1"/>
        <v>1</v>
      </c>
      <c r="C27" s="20">
        <f t="shared" si="1"/>
        <v>1.097457627118644</v>
      </c>
      <c r="D27" s="20">
        <f t="shared" si="1"/>
        <v>4.6207627118644066</v>
      </c>
      <c r="E27" s="20">
        <f t="shared" si="1"/>
        <v>4.1716101694915251</v>
      </c>
      <c r="F27" s="20">
        <f t="shared" si="2"/>
        <v>6.1652542372881358</v>
      </c>
      <c r="G27" s="20">
        <f t="shared" si="2"/>
        <v>4.9110169491525424</v>
      </c>
      <c r="I27" s="21"/>
      <c r="J27" s="21"/>
      <c r="K27" s="21"/>
      <c r="L27" s="21"/>
      <c r="M27" s="21"/>
    </row>
    <row r="28" spans="1:13" x14ac:dyDescent="0.2">
      <c r="A28" s="2" t="s">
        <v>102</v>
      </c>
      <c r="B28" s="20">
        <f t="shared" si="1"/>
        <v>1</v>
      </c>
      <c r="C28" s="20">
        <f t="shared" si="1"/>
        <v>1.4259259259259258</v>
      </c>
      <c r="D28" s="20">
        <f t="shared" si="1"/>
        <v>6.4814814814814818</v>
      </c>
      <c r="E28" s="20">
        <f t="shared" si="1"/>
        <v>5.7777777777777777</v>
      </c>
      <c r="F28" s="20">
        <f t="shared" si="2"/>
        <v>9.3148148148148149</v>
      </c>
      <c r="G28" s="20">
        <f t="shared" si="2"/>
        <v>7.5185185185185182</v>
      </c>
      <c r="I28" s="21"/>
      <c r="J28" s="21"/>
      <c r="K28" s="21"/>
      <c r="L28" s="21"/>
      <c r="M28" s="21"/>
    </row>
    <row r="29" spans="1:13" x14ac:dyDescent="0.2">
      <c r="A29" s="2" t="s">
        <v>85</v>
      </c>
      <c r="B29" s="20">
        <f t="shared" ref="B29:G29" si="3">GEOMEAN(B17:B28)</f>
        <v>1</v>
      </c>
      <c r="C29" s="20">
        <f t="shared" si="3"/>
        <v>1.1803910434964764</v>
      </c>
      <c r="D29" s="20">
        <f t="shared" si="3"/>
        <v>4.4524778925966091</v>
      </c>
      <c r="E29" s="20">
        <f t="shared" si="3"/>
        <v>4.0693476148817931</v>
      </c>
      <c r="F29" s="20">
        <f t="shared" si="3"/>
        <v>5.9003939039676796</v>
      </c>
      <c r="G29" s="20">
        <f t="shared" si="3"/>
        <v>5.0309069677068088</v>
      </c>
      <c r="H29" s="1">
        <f>E29/G29</f>
        <v>0.80886958176781509</v>
      </c>
    </row>
    <row r="33" spans="1:13" x14ac:dyDescent="0.2">
      <c r="A33" s="2" t="s">
        <v>88</v>
      </c>
      <c r="B33" s="23" t="s">
        <v>86</v>
      </c>
      <c r="C33" s="23" t="s">
        <v>104</v>
      </c>
      <c r="D33" s="2" t="s">
        <v>109</v>
      </c>
      <c r="E33" s="2" t="s">
        <v>124</v>
      </c>
      <c r="F33" s="2" t="s">
        <v>113</v>
      </c>
      <c r="G33" s="2" t="s">
        <v>123</v>
      </c>
      <c r="H33" s="2" t="s">
        <v>104</v>
      </c>
      <c r="I33" s="2" t="s">
        <v>109</v>
      </c>
      <c r="J33" s="2" t="s">
        <v>124</v>
      </c>
      <c r="K33" s="2" t="s">
        <v>113</v>
      </c>
      <c r="L33" s="2" t="s">
        <v>123</v>
      </c>
    </row>
    <row r="34" spans="1:13" x14ac:dyDescent="0.2">
      <c r="A34" s="2" t="s">
        <v>91</v>
      </c>
      <c r="B34" s="3">
        <v>5360</v>
      </c>
      <c r="C34" s="3">
        <v>13144</v>
      </c>
      <c r="D34" s="3">
        <v>62824</v>
      </c>
      <c r="E34" s="3">
        <v>63072</v>
      </c>
      <c r="F34" s="3">
        <v>13904</v>
      </c>
      <c r="G34" s="3">
        <v>13916</v>
      </c>
      <c r="H34" s="26">
        <f>(C34-$B34)/1024</f>
        <v>7.6015625</v>
      </c>
      <c r="I34" s="26">
        <f>(D34-$B34)/1024</f>
        <v>56.1171875</v>
      </c>
      <c r="J34" s="26">
        <f>(E34-$B34)/1024</f>
        <v>56.359375</v>
      </c>
      <c r="K34" s="26">
        <f>(F34-$B34)/1024</f>
        <v>8.34375</v>
      </c>
      <c r="L34" s="26">
        <f>(G34-$B34)/1024</f>
        <v>8.35546875</v>
      </c>
      <c r="M34" s="25">
        <f>J34-L34</f>
        <v>48.00390625</v>
      </c>
    </row>
    <row r="35" spans="1:13" x14ac:dyDescent="0.2">
      <c r="A35" s="2" t="s">
        <v>92</v>
      </c>
      <c r="B35" s="3">
        <v>41536</v>
      </c>
      <c r="C35" s="3">
        <v>50052</v>
      </c>
      <c r="D35" s="3">
        <v>108036</v>
      </c>
      <c r="E35" s="3">
        <v>108204</v>
      </c>
      <c r="F35" s="3">
        <v>51204</v>
      </c>
      <c r="G35" s="3">
        <v>51220</v>
      </c>
      <c r="H35" s="26">
        <f t="shared" ref="H35:L45" si="4">(C35-$B35)/1024</f>
        <v>8.31640625</v>
      </c>
      <c r="I35" s="26">
        <f t="shared" si="4"/>
        <v>64.94140625</v>
      </c>
      <c r="J35" s="26">
        <f t="shared" si="4"/>
        <v>65.10546875</v>
      </c>
      <c r="K35" s="26">
        <f t="shared" si="4"/>
        <v>9.44140625</v>
      </c>
      <c r="L35" s="26">
        <f t="shared" si="4"/>
        <v>9.45703125</v>
      </c>
      <c r="M35" s="25">
        <f t="shared" ref="M35:M45" si="5">J35-L35</f>
        <v>55.6484375</v>
      </c>
    </row>
    <row r="36" spans="1:13" x14ac:dyDescent="0.2">
      <c r="A36" s="2" t="s">
        <v>93</v>
      </c>
      <c r="B36" s="3">
        <v>12587144</v>
      </c>
      <c r="C36" s="3">
        <v>12594744</v>
      </c>
      <c r="D36" s="3">
        <v>12641892</v>
      </c>
      <c r="E36" s="3">
        <v>12641952</v>
      </c>
      <c r="F36" s="3">
        <v>12595580</v>
      </c>
      <c r="G36" s="3">
        <v>12595564</v>
      </c>
      <c r="H36" s="26">
        <f t="shared" si="4"/>
        <v>7.421875</v>
      </c>
      <c r="I36" s="26">
        <f t="shared" si="4"/>
        <v>53.46484375</v>
      </c>
      <c r="J36" s="26">
        <f t="shared" si="4"/>
        <v>53.5234375</v>
      </c>
      <c r="K36" s="26">
        <f t="shared" si="4"/>
        <v>8.23828125</v>
      </c>
      <c r="L36" s="26">
        <f t="shared" si="4"/>
        <v>8.22265625</v>
      </c>
      <c r="M36" s="25">
        <f t="shared" si="5"/>
        <v>45.30078125</v>
      </c>
    </row>
    <row r="37" spans="1:13" x14ac:dyDescent="0.2">
      <c r="A37" s="2" t="s">
        <v>94</v>
      </c>
      <c r="B37" s="3">
        <v>26204</v>
      </c>
      <c r="C37" s="3">
        <v>34308</v>
      </c>
      <c r="D37" s="3">
        <v>90500</v>
      </c>
      <c r="E37" s="3">
        <v>90780</v>
      </c>
      <c r="F37" s="3">
        <v>35160</v>
      </c>
      <c r="G37" s="3">
        <v>35204</v>
      </c>
      <c r="H37" s="26">
        <f t="shared" si="4"/>
        <v>7.9140625</v>
      </c>
      <c r="I37" s="26">
        <f t="shared" si="4"/>
        <v>62.7890625</v>
      </c>
      <c r="J37" s="26">
        <f t="shared" si="4"/>
        <v>63.0625</v>
      </c>
      <c r="K37" s="26">
        <f t="shared" si="4"/>
        <v>8.74609375</v>
      </c>
      <c r="L37" s="26">
        <f t="shared" si="4"/>
        <v>8.7890625</v>
      </c>
      <c r="M37" s="25">
        <f t="shared" si="5"/>
        <v>54.2734375</v>
      </c>
    </row>
    <row r="38" spans="1:13" x14ac:dyDescent="0.2">
      <c r="A38" s="2" t="s">
        <v>95</v>
      </c>
      <c r="B38" s="3">
        <v>133964</v>
      </c>
      <c r="C38" s="3">
        <v>141596</v>
      </c>
      <c r="D38" s="3">
        <v>189824</v>
      </c>
      <c r="E38" s="3">
        <v>190160</v>
      </c>
      <c r="F38" s="3">
        <v>142304</v>
      </c>
      <c r="G38" s="3">
        <v>142360</v>
      </c>
      <c r="H38" s="26">
        <f t="shared" si="4"/>
        <v>7.453125</v>
      </c>
      <c r="I38" s="26">
        <f t="shared" si="4"/>
        <v>54.55078125</v>
      </c>
      <c r="J38" s="26">
        <f t="shared" si="4"/>
        <v>54.87890625</v>
      </c>
      <c r="K38" s="26">
        <f t="shared" si="4"/>
        <v>8.14453125</v>
      </c>
      <c r="L38" s="26">
        <f t="shared" si="4"/>
        <v>8.19921875</v>
      </c>
      <c r="M38" s="25">
        <f t="shared" si="5"/>
        <v>46.6796875</v>
      </c>
    </row>
    <row r="39" spans="1:13" x14ac:dyDescent="0.2">
      <c r="A39" s="2" t="s">
        <v>96</v>
      </c>
      <c r="B39" s="3">
        <v>133440</v>
      </c>
      <c r="C39" s="3">
        <v>141076</v>
      </c>
      <c r="D39" s="3">
        <v>189404</v>
      </c>
      <c r="E39" s="3">
        <v>189292</v>
      </c>
      <c r="F39" s="3">
        <v>141808</v>
      </c>
      <c r="G39" s="3">
        <v>141944</v>
      </c>
      <c r="H39" s="26">
        <f t="shared" si="4"/>
        <v>7.45703125</v>
      </c>
      <c r="I39" s="26">
        <f t="shared" si="4"/>
        <v>54.65234375</v>
      </c>
      <c r="J39" s="26">
        <f t="shared" si="4"/>
        <v>54.54296875</v>
      </c>
      <c r="K39" s="26">
        <f t="shared" si="4"/>
        <v>8.171875</v>
      </c>
      <c r="L39" s="26">
        <f t="shared" si="4"/>
        <v>8.3046875</v>
      </c>
      <c r="M39" s="25">
        <f t="shared" si="5"/>
        <v>46.23828125</v>
      </c>
    </row>
    <row r="40" spans="1:13" x14ac:dyDescent="0.2">
      <c r="A40" s="2" t="s">
        <v>97</v>
      </c>
      <c r="B40" s="3">
        <v>3629736</v>
      </c>
      <c r="C40" s="3">
        <v>3638004</v>
      </c>
      <c r="D40" s="3">
        <v>3689212</v>
      </c>
      <c r="E40" s="3">
        <v>3689200</v>
      </c>
      <c r="F40" s="3">
        <v>3639052</v>
      </c>
      <c r="G40" s="3">
        <v>3639068</v>
      </c>
      <c r="H40" s="26">
        <f t="shared" si="4"/>
        <v>8.07421875</v>
      </c>
      <c r="I40" s="26">
        <f t="shared" si="4"/>
        <v>58.08203125</v>
      </c>
      <c r="J40" s="26">
        <f t="shared" si="4"/>
        <v>58.0703125</v>
      </c>
      <c r="K40" s="26">
        <f t="shared" si="4"/>
        <v>9.09765625</v>
      </c>
      <c r="L40" s="26">
        <f t="shared" si="4"/>
        <v>9.11328125</v>
      </c>
      <c r="M40" s="25">
        <f t="shared" si="5"/>
        <v>48.95703125</v>
      </c>
    </row>
    <row r="41" spans="1:13" x14ac:dyDescent="0.2">
      <c r="A41" s="2" t="s">
        <v>98</v>
      </c>
      <c r="B41" s="3">
        <v>4092668</v>
      </c>
      <c r="C41" s="3">
        <v>4100588</v>
      </c>
      <c r="D41" s="3">
        <v>4150416</v>
      </c>
      <c r="E41" s="3">
        <v>4150508</v>
      </c>
      <c r="F41" s="3">
        <v>4101716</v>
      </c>
      <c r="G41" s="3">
        <v>4101748</v>
      </c>
      <c r="H41" s="26">
        <f t="shared" si="4"/>
        <v>7.734375</v>
      </c>
      <c r="I41" s="26">
        <f t="shared" si="4"/>
        <v>56.39453125</v>
      </c>
      <c r="J41" s="26">
        <f t="shared" si="4"/>
        <v>56.484375</v>
      </c>
      <c r="K41" s="26">
        <f t="shared" si="4"/>
        <v>8.8359375</v>
      </c>
      <c r="L41" s="26">
        <f t="shared" si="4"/>
        <v>8.8671875</v>
      </c>
      <c r="M41" s="25">
        <f t="shared" si="5"/>
        <v>47.6171875</v>
      </c>
    </row>
    <row r="42" spans="1:13" x14ac:dyDescent="0.2">
      <c r="A42" s="2" t="s">
        <v>99</v>
      </c>
      <c r="B42" s="3">
        <v>219128</v>
      </c>
      <c r="C42" s="3">
        <v>227168</v>
      </c>
      <c r="D42" s="3">
        <v>530128</v>
      </c>
      <c r="E42" s="3">
        <v>530852</v>
      </c>
      <c r="F42" s="3">
        <v>228484</v>
      </c>
      <c r="G42" s="3">
        <v>228536</v>
      </c>
      <c r="H42" s="26">
        <f t="shared" si="4"/>
        <v>7.8515625</v>
      </c>
      <c r="I42" s="26">
        <f t="shared" si="4"/>
        <v>303.7109375</v>
      </c>
      <c r="J42" s="26">
        <f t="shared" si="4"/>
        <v>304.41796875</v>
      </c>
      <c r="K42" s="26">
        <f t="shared" si="4"/>
        <v>9.13671875</v>
      </c>
      <c r="L42" s="26">
        <f t="shared" si="4"/>
        <v>9.1875</v>
      </c>
      <c r="M42" s="25">
        <f t="shared" si="5"/>
        <v>295.23046875</v>
      </c>
    </row>
    <row r="43" spans="1:13" x14ac:dyDescent="0.2">
      <c r="A43" s="2" t="s">
        <v>100</v>
      </c>
      <c r="B43" s="3">
        <v>1440684</v>
      </c>
      <c r="C43" s="3">
        <v>1448396</v>
      </c>
      <c r="D43" s="3">
        <v>1494912</v>
      </c>
      <c r="E43" s="3">
        <v>1495092</v>
      </c>
      <c r="F43" s="3">
        <v>1449048</v>
      </c>
      <c r="G43" s="3">
        <v>1449148</v>
      </c>
      <c r="H43" s="26">
        <f t="shared" si="4"/>
        <v>7.53125</v>
      </c>
      <c r="I43" s="26">
        <f t="shared" si="4"/>
        <v>52.95703125</v>
      </c>
      <c r="J43" s="26">
        <f t="shared" si="4"/>
        <v>53.1328125</v>
      </c>
      <c r="K43" s="26">
        <f t="shared" si="4"/>
        <v>8.16796875</v>
      </c>
      <c r="L43" s="26">
        <f t="shared" si="4"/>
        <v>8.265625</v>
      </c>
      <c r="M43" s="25">
        <f t="shared" si="5"/>
        <v>44.8671875</v>
      </c>
    </row>
    <row r="44" spans="1:13" x14ac:dyDescent="0.2">
      <c r="A44" s="2" t="s">
        <v>101</v>
      </c>
      <c r="B44" s="3">
        <v>6708</v>
      </c>
      <c r="C44" s="3">
        <v>14652</v>
      </c>
      <c r="D44" s="3">
        <v>65744</v>
      </c>
      <c r="E44" s="3">
        <v>65864</v>
      </c>
      <c r="F44" s="3">
        <v>15340</v>
      </c>
      <c r="G44" s="3">
        <v>15520</v>
      </c>
      <c r="H44" s="26">
        <f t="shared" si="4"/>
        <v>7.7578125</v>
      </c>
      <c r="I44" s="26">
        <f t="shared" si="4"/>
        <v>57.65234375</v>
      </c>
      <c r="J44" s="26">
        <f t="shared" si="4"/>
        <v>57.76953125</v>
      </c>
      <c r="K44" s="26">
        <f t="shared" si="4"/>
        <v>8.4296875</v>
      </c>
      <c r="L44" s="26">
        <f t="shared" si="4"/>
        <v>8.60546875</v>
      </c>
      <c r="M44" s="25">
        <f t="shared" si="5"/>
        <v>49.1640625</v>
      </c>
    </row>
    <row r="45" spans="1:13" x14ac:dyDescent="0.2">
      <c r="A45" s="2" t="s">
        <v>102</v>
      </c>
      <c r="B45" s="3">
        <v>5508</v>
      </c>
      <c r="C45" s="3">
        <v>13740</v>
      </c>
      <c r="D45" s="3">
        <v>65380</v>
      </c>
      <c r="E45" s="3">
        <v>65616</v>
      </c>
      <c r="F45" s="3">
        <v>14548</v>
      </c>
      <c r="G45" s="3">
        <v>14544</v>
      </c>
      <c r="H45" s="26">
        <f t="shared" si="4"/>
        <v>8.0390625</v>
      </c>
      <c r="I45" s="26">
        <f t="shared" si="4"/>
        <v>58.46875</v>
      </c>
      <c r="J45" s="26">
        <f t="shared" si="4"/>
        <v>58.69921875</v>
      </c>
      <c r="K45" s="26">
        <f t="shared" si="4"/>
        <v>8.828125</v>
      </c>
      <c r="L45" s="26">
        <f t="shared" si="4"/>
        <v>8.82421875</v>
      </c>
      <c r="M45" s="25">
        <f t="shared" si="5"/>
        <v>49.875</v>
      </c>
    </row>
    <row r="46" spans="1:13" x14ac:dyDescent="0.2">
      <c r="A46" s="1" t="s">
        <v>66</v>
      </c>
      <c r="H46" s="28">
        <f>GEOMEAN(H34:H45)</f>
        <v>7.7579290223578559</v>
      </c>
      <c r="I46" s="28">
        <f>GEOMEAN(I34:I45)</f>
        <v>65.707549857590024</v>
      </c>
      <c r="J46" s="28">
        <f>GEOMEAN(J34:J45)</f>
        <v>65.867950232364592</v>
      </c>
      <c r="K46" s="28">
        <f>GEOMEAN(K34:K45)</f>
        <v>8.6215148237372947</v>
      </c>
      <c r="L46" s="28">
        <f>GEOMEAN(L34:L45)</f>
        <v>8.6732137773689146</v>
      </c>
    </row>
    <row r="48" spans="1:13" x14ac:dyDescent="0.2">
      <c r="A48" s="2" t="s">
        <v>88</v>
      </c>
      <c r="B48" s="23" t="s">
        <v>86</v>
      </c>
      <c r="C48" s="23" t="s">
        <v>104</v>
      </c>
      <c r="D48" s="2" t="s">
        <v>109</v>
      </c>
      <c r="E48" s="2" t="s">
        <v>124</v>
      </c>
      <c r="F48" s="2" t="s">
        <v>113</v>
      </c>
      <c r="G48" s="2" t="s">
        <v>123</v>
      </c>
    </row>
    <row r="49" spans="1:7" x14ac:dyDescent="0.2">
      <c r="A49" s="2" t="s">
        <v>91</v>
      </c>
      <c r="B49" s="32">
        <f t="shared" ref="B49:G60" si="6">B34/$B34</f>
        <v>1</v>
      </c>
      <c r="C49" s="32">
        <f t="shared" si="6"/>
        <v>2.4522388059701492</v>
      </c>
      <c r="D49" s="32">
        <f t="shared" si="6"/>
        <v>11.72089552238806</v>
      </c>
      <c r="E49" s="32">
        <f t="shared" si="6"/>
        <v>11.767164179104478</v>
      </c>
      <c r="F49" s="32">
        <f t="shared" si="6"/>
        <v>2.5940298507462685</v>
      </c>
      <c r="G49" s="32">
        <f t="shared" si="6"/>
        <v>2.5962686567164179</v>
      </c>
    </row>
    <row r="50" spans="1:7" x14ac:dyDescent="0.2">
      <c r="A50" s="2" t="s">
        <v>92</v>
      </c>
      <c r="B50" s="32">
        <f t="shared" si="6"/>
        <v>1</v>
      </c>
      <c r="C50" s="32">
        <f t="shared" si="6"/>
        <v>1.2050269645608629</v>
      </c>
      <c r="D50" s="32">
        <f t="shared" si="6"/>
        <v>2.6010208012326657</v>
      </c>
      <c r="E50" s="32">
        <f t="shared" si="6"/>
        <v>2.6050654853620956</v>
      </c>
      <c r="F50" s="32">
        <f t="shared" si="6"/>
        <v>1.2327619414483821</v>
      </c>
      <c r="G50" s="32">
        <f t="shared" si="6"/>
        <v>1.2331471494607087</v>
      </c>
    </row>
    <row r="51" spans="1:7" x14ac:dyDescent="0.2">
      <c r="A51" s="2" t="s">
        <v>93</v>
      </c>
      <c r="B51" s="32">
        <f t="shared" si="6"/>
        <v>1</v>
      </c>
      <c r="C51" s="32">
        <f t="shared" si="6"/>
        <v>1.0006037906613288</v>
      </c>
      <c r="D51" s="32">
        <f t="shared" si="6"/>
        <v>1.0043495172534771</v>
      </c>
      <c r="E51" s="32">
        <f t="shared" si="6"/>
        <v>1.004354284021856</v>
      </c>
      <c r="F51" s="32">
        <f t="shared" si="6"/>
        <v>1.000670207634075</v>
      </c>
      <c r="G51" s="32">
        <f t="shared" si="6"/>
        <v>1.0006689364958405</v>
      </c>
    </row>
    <row r="52" spans="1:7" x14ac:dyDescent="0.2">
      <c r="A52" s="2" t="s">
        <v>94</v>
      </c>
      <c r="B52" s="32">
        <f t="shared" si="6"/>
        <v>1</v>
      </c>
      <c r="C52" s="32">
        <f t="shared" si="6"/>
        <v>1.3092657609525262</v>
      </c>
      <c r="D52" s="32">
        <f t="shared" si="6"/>
        <v>3.4536711952373684</v>
      </c>
      <c r="E52" s="32">
        <f t="shared" si="6"/>
        <v>3.4643565867806441</v>
      </c>
      <c r="F52" s="32">
        <f t="shared" si="6"/>
        <v>1.3417798809342085</v>
      </c>
      <c r="G52" s="32">
        <f t="shared" si="6"/>
        <v>1.343459013891009</v>
      </c>
    </row>
    <row r="53" spans="1:7" x14ac:dyDescent="0.2">
      <c r="A53" s="2" t="s">
        <v>95</v>
      </c>
      <c r="B53" s="32">
        <f t="shared" si="6"/>
        <v>1</v>
      </c>
      <c r="C53" s="32">
        <f t="shared" si="6"/>
        <v>1.056970529395957</v>
      </c>
      <c r="D53" s="32">
        <f t="shared" si="6"/>
        <v>1.4169776955002837</v>
      </c>
      <c r="E53" s="32">
        <f t="shared" si="6"/>
        <v>1.4194858320145711</v>
      </c>
      <c r="F53" s="32">
        <f t="shared" si="6"/>
        <v>1.062255531336777</v>
      </c>
      <c r="G53" s="32">
        <f t="shared" si="6"/>
        <v>1.0626735540891583</v>
      </c>
    </row>
    <row r="54" spans="1:7" x14ac:dyDescent="0.2">
      <c r="A54" s="2" t="s">
        <v>96</v>
      </c>
      <c r="B54" s="32">
        <f t="shared" si="6"/>
        <v>1</v>
      </c>
      <c r="C54" s="32">
        <f t="shared" si="6"/>
        <v>1.0572242206235012</v>
      </c>
      <c r="D54" s="32">
        <f t="shared" si="6"/>
        <v>1.41939448441247</v>
      </c>
      <c r="E54" s="32">
        <f t="shared" si="6"/>
        <v>1.4185551558752998</v>
      </c>
      <c r="F54" s="32">
        <f t="shared" si="6"/>
        <v>1.0627098321342925</v>
      </c>
      <c r="G54" s="32">
        <f t="shared" si="6"/>
        <v>1.0637290167865707</v>
      </c>
    </row>
    <row r="55" spans="1:7" x14ac:dyDescent="0.2">
      <c r="A55" s="2" t="s">
        <v>97</v>
      </c>
      <c r="B55" s="32">
        <f t="shared" si="6"/>
        <v>1</v>
      </c>
      <c r="C55" s="32">
        <f t="shared" si="6"/>
        <v>1.0022778516123487</v>
      </c>
      <c r="D55" s="32">
        <f t="shared" si="6"/>
        <v>1.0163857646947325</v>
      </c>
      <c r="E55" s="32">
        <f t="shared" si="6"/>
        <v>1.0163824586691705</v>
      </c>
      <c r="F55" s="32">
        <f t="shared" si="6"/>
        <v>1.0025665778447799</v>
      </c>
      <c r="G55" s="32">
        <f t="shared" si="6"/>
        <v>1.0025709858788627</v>
      </c>
    </row>
    <row r="56" spans="1:7" x14ac:dyDescent="0.2">
      <c r="A56" s="2" t="s">
        <v>98</v>
      </c>
      <c r="B56" s="32">
        <f t="shared" si="6"/>
        <v>1</v>
      </c>
      <c r="C56" s="32">
        <f t="shared" si="6"/>
        <v>1.0019351679637831</v>
      </c>
      <c r="D56" s="32">
        <f t="shared" si="6"/>
        <v>1.0141101110571393</v>
      </c>
      <c r="E56" s="32">
        <f t="shared" si="6"/>
        <v>1.014132590280961</v>
      </c>
      <c r="F56" s="32">
        <f t="shared" si="6"/>
        <v>1.0022107827949884</v>
      </c>
      <c r="G56" s="32">
        <f t="shared" si="6"/>
        <v>1.0022186016554482</v>
      </c>
    </row>
    <row r="57" spans="1:7" x14ac:dyDescent="0.2">
      <c r="A57" s="2" t="s">
        <v>99</v>
      </c>
      <c r="B57" s="32">
        <f t="shared" si="6"/>
        <v>1</v>
      </c>
      <c r="C57" s="32">
        <f t="shared" si="6"/>
        <v>1.0366908838669635</v>
      </c>
      <c r="D57" s="32">
        <f t="shared" si="6"/>
        <v>2.4192618013216021</v>
      </c>
      <c r="E57" s="32">
        <f t="shared" si="6"/>
        <v>2.4225658062867366</v>
      </c>
      <c r="F57" s="32">
        <f t="shared" si="6"/>
        <v>1.0426965061516555</v>
      </c>
      <c r="G57" s="32">
        <f t="shared" si="6"/>
        <v>1.0429338103756709</v>
      </c>
    </row>
    <row r="58" spans="1:7" x14ac:dyDescent="0.2">
      <c r="A58" s="2" t="s">
        <v>100</v>
      </c>
      <c r="B58" s="32">
        <f t="shared" si="6"/>
        <v>1</v>
      </c>
      <c r="C58" s="32">
        <f t="shared" si="6"/>
        <v>1.0053530128744401</v>
      </c>
      <c r="D58" s="32">
        <f t="shared" si="6"/>
        <v>1.0376404541176274</v>
      </c>
      <c r="E58" s="32">
        <f t="shared" si="6"/>
        <v>1.0377653947708172</v>
      </c>
      <c r="F58" s="32">
        <f t="shared" si="6"/>
        <v>1.0058055756848829</v>
      </c>
      <c r="G58" s="32">
        <f t="shared" si="6"/>
        <v>1.0058749871588772</v>
      </c>
    </row>
    <row r="59" spans="1:7" x14ac:dyDescent="0.2">
      <c r="A59" s="2" t="s">
        <v>101</v>
      </c>
      <c r="B59" s="32">
        <f t="shared" si="6"/>
        <v>1</v>
      </c>
      <c r="C59" s="32">
        <f t="shared" si="6"/>
        <v>2.184257602862254</v>
      </c>
      <c r="D59" s="32">
        <f t="shared" si="6"/>
        <v>9.8008348240906376</v>
      </c>
      <c r="E59" s="32">
        <f t="shared" si="6"/>
        <v>9.818723911747167</v>
      </c>
      <c r="F59" s="32">
        <f t="shared" si="6"/>
        <v>2.2868217054263567</v>
      </c>
      <c r="G59" s="32">
        <f t="shared" si="6"/>
        <v>2.3136553369111508</v>
      </c>
    </row>
    <row r="60" spans="1:7" x14ac:dyDescent="0.2">
      <c r="A60" s="2" t="s">
        <v>102</v>
      </c>
      <c r="B60" s="32">
        <f t="shared" si="6"/>
        <v>1</v>
      </c>
      <c r="C60" s="32">
        <f t="shared" si="6"/>
        <v>2.494553376906318</v>
      </c>
      <c r="D60" s="32">
        <f t="shared" si="6"/>
        <v>11.870007262164124</v>
      </c>
      <c r="E60" s="32">
        <f t="shared" si="6"/>
        <v>11.912854030501089</v>
      </c>
      <c r="F60" s="32">
        <f t="shared" si="6"/>
        <v>2.6412490922294842</v>
      </c>
      <c r="G60" s="32">
        <f t="shared" si="6"/>
        <v>2.6405228758169934</v>
      </c>
    </row>
    <row r="61" spans="1:7" x14ac:dyDescent="0.2">
      <c r="A61" s="2" t="s">
        <v>85</v>
      </c>
      <c r="B61" s="32">
        <f t="shared" ref="B61:G61" si="7">GEOMEAN(B49:B60)</f>
        <v>1</v>
      </c>
      <c r="C61" s="32">
        <f t="shared" si="7"/>
        <v>1.3062139315258672</v>
      </c>
      <c r="D61" s="32">
        <f t="shared" si="7"/>
        <v>2.5149364170687911</v>
      </c>
      <c r="E61" s="32">
        <f t="shared" si="7"/>
        <v>2.5184378277716348</v>
      </c>
      <c r="F61" s="32">
        <f t="shared" si="7"/>
        <v>1.3307751141660851</v>
      </c>
      <c r="G61" s="32">
        <f t="shared" si="7"/>
        <v>1.3324924789728769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6DC6-DA32-8C43-88B0-AC0B6B69FBC5}">
  <dimension ref="A1:F99"/>
  <sheetViews>
    <sheetView topLeftCell="A52" zoomScale="120" zoomScaleNormal="120" workbookViewId="0">
      <selection activeCell="C106" sqref="C106"/>
    </sheetView>
  </sheetViews>
  <sheetFormatPr baseColWidth="10" defaultRowHeight="16" x14ac:dyDescent="0.2"/>
  <cols>
    <col min="1" max="1" width="19.33203125" customWidth="1"/>
    <col min="2" max="3" width="37.1640625" bestFit="1" customWidth="1"/>
    <col min="4" max="4" width="35.33203125" bestFit="1" customWidth="1"/>
    <col min="5" max="5" width="24" customWidth="1"/>
    <col min="6" max="6" width="24.5" bestFit="1" customWidth="1"/>
  </cols>
  <sheetData>
    <row r="1" spans="1:6" x14ac:dyDescent="0.2">
      <c r="A1" t="s">
        <v>142</v>
      </c>
    </row>
    <row r="2" spans="1:6" x14ac:dyDescent="0.2">
      <c r="A2" s="8"/>
      <c r="B2" s="8" t="s">
        <v>140</v>
      </c>
      <c r="C2" s="8" t="s">
        <v>141</v>
      </c>
      <c r="D2" s="8" t="s">
        <v>149</v>
      </c>
      <c r="E2" s="8" t="s">
        <v>137</v>
      </c>
      <c r="F2" s="8" t="s">
        <v>138</v>
      </c>
    </row>
    <row r="3" spans="1:6" x14ac:dyDescent="0.2">
      <c r="A3" s="8" t="s">
        <v>69</v>
      </c>
      <c r="B3" s="35">
        <v>24200</v>
      </c>
      <c r="C3" s="35">
        <v>12372</v>
      </c>
      <c r="D3" s="36">
        <f>C3/B3</f>
        <v>0.51123966942148757</v>
      </c>
      <c r="E3" s="35">
        <v>32341351</v>
      </c>
      <c r="F3" s="8">
        <v>3</v>
      </c>
    </row>
    <row r="4" spans="1:6" x14ac:dyDescent="0.2">
      <c r="A4" s="8" t="s">
        <v>70</v>
      </c>
      <c r="B4" s="35">
        <v>23436</v>
      </c>
      <c r="C4" s="35">
        <v>797</v>
      </c>
      <c r="D4" s="36">
        <f t="shared" ref="D4:D14" si="0">C4/B4</f>
        <v>3.4007509813961424E-2</v>
      </c>
      <c r="E4" s="35">
        <v>2036469</v>
      </c>
      <c r="F4" s="8">
        <v>7</v>
      </c>
    </row>
    <row r="5" spans="1:6" x14ac:dyDescent="0.2">
      <c r="A5" s="8" t="s">
        <v>71</v>
      </c>
      <c r="B5" s="35">
        <v>5894398</v>
      </c>
      <c r="C5" s="35">
        <v>1024192</v>
      </c>
      <c r="D5" s="36">
        <f t="shared" si="0"/>
        <v>0.17375684505864722</v>
      </c>
      <c r="E5" s="35">
        <v>2684481413</v>
      </c>
      <c r="F5" s="8">
        <v>2</v>
      </c>
    </row>
    <row r="6" spans="1:6" x14ac:dyDescent="0.2">
      <c r="A6" s="37" t="s">
        <v>72</v>
      </c>
      <c r="B6" s="38">
        <v>60663</v>
      </c>
      <c r="C6" s="38">
        <v>1685</v>
      </c>
      <c r="D6" s="39">
        <f t="shared" si="0"/>
        <v>2.7776404068377759E-2</v>
      </c>
      <c r="E6" s="38">
        <v>4142440</v>
      </c>
      <c r="F6" s="37">
        <v>29</v>
      </c>
    </row>
    <row r="7" spans="1:6" x14ac:dyDescent="0.2">
      <c r="A7" s="8" t="s">
        <v>73</v>
      </c>
      <c r="B7" s="35">
        <v>2590648</v>
      </c>
      <c r="C7" s="35">
        <v>569742</v>
      </c>
      <c r="D7" s="36">
        <f t="shared" si="0"/>
        <v>0.21992258307574011</v>
      </c>
      <c r="E7" s="35">
        <v>1503084782</v>
      </c>
      <c r="F7" s="8">
        <v>18</v>
      </c>
    </row>
    <row r="8" spans="1:6" x14ac:dyDescent="0.2">
      <c r="A8" s="8" t="s">
        <v>74</v>
      </c>
      <c r="B8" s="35">
        <v>2583431</v>
      </c>
      <c r="C8" s="35">
        <v>565469</v>
      </c>
      <c r="D8" s="36">
        <f t="shared" si="0"/>
        <v>0.21888295061877017</v>
      </c>
      <c r="E8" s="35">
        <v>1502953689</v>
      </c>
      <c r="F8" s="8">
        <v>5</v>
      </c>
    </row>
    <row r="9" spans="1:6" x14ac:dyDescent="0.2">
      <c r="A9" s="40" t="s">
        <v>75</v>
      </c>
      <c r="B9" s="41">
        <v>1470245</v>
      </c>
      <c r="C9" s="41">
        <v>6825</v>
      </c>
      <c r="D9" s="42">
        <f t="shared" si="0"/>
        <v>4.6420834622800961E-3</v>
      </c>
      <c r="E9" s="41">
        <v>16827280</v>
      </c>
      <c r="F9" s="40">
        <v>11</v>
      </c>
    </row>
    <row r="10" spans="1:6" x14ac:dyDescent="0.2">
      <c r="A10" s="40" t="s">
        <v>76</v>
      </c>
      <c r="B10" s="41">
        <v>2775259</v>
      </c>
      <c r="C10" s="41">
        <v>24</v>
      </c>
      <c r="D10" s="53">
        <f t="shared" si="0"/>
        <v>8.6478415167737501E-6</v>
      </c>
      <c r="E10" s="41">
        <v>56492</v>
      </c>
      <c r="F10" s="40">
        <v>13</v>
      </c>
    </row>
    <row r="11" spans="1:6" x14ac:dyDescent="0.2">
      <c r="A11" s="8" t="s">
        <v>77</v>
      </c>
      <c r="B11" s="35">
        <v>35996</v>
      </c>
      <c r="C11" s="35">
        <v>16939</v>
      </c>
      <c r="D11" s="36">
        <f t="shared" si="0"/>
        <v>0.47058006445160572</v>
      </c>
      <c r="E11" s="35">
        <v>43927705</v>
      </c>
      <c r="F11" s="8">
        <v>17</v>
      </c>
    </row>
    <row r="12" spans="1:6" x14ac:dyDescent="0.2">
      <c r="A12" s="8" t="s">
        <v>78</v>
      </c>
      <c r="B12" s="35">
        <v>555364</v>
      </c>
      <c r="C12" s="35">
        <v>142950</v>
      </c>
      <c r="D12" s="36">
        <f t="shared" si="0"/>
        <v>0.2573987510893756</v>
      </c>
      <c r="E12" s="35">
        <v>368206619</v>
      </c>
      <c r="F12" s="8">
        <v>24</v>
      </c>
    </row>
    <row r="13" spans="1:6" x14ac:dyDescent="0.2">
      <c r="A13" s="8" t="s">
        <v>143</v>
      </c>
      <c r="B13" s="35">
        <v>615755</v>
      </c>
      <c r="C13" s="35">
        <v>63471</v>
      </c>
      <c r="D13" s="36">
        <f t="shared" si="0"/>
        <v>0.10307833472728602</v>
      </c>
      <c r="E13" s="35">
        <v>161904693</v>
      </c>
      <c r="F13" s="8">
        <v>17</v>
      </c>
    </row>
    <row r="14" spans="1:6" x14ac:dyDescent="0.2">
      <c r="A14" s="8" t="s">
        <v>144</v>
      </c>
      <c r="B14" s="35">
        <v>69773</v>
      </c>
      <c r="C14" s="35">
        <v>10669</v>
      </c>
      <c r="D14" s="36">
        <f t="shared" si="0"/>
        <v>0.15291015149126452</v>
      </c>
      <c r="E14" s="35">
        <v>27427550</v>
      </c>
      <c r="F14" s="8">
        <v>16</v>
      </c>
    </row>
    <row r="18" spans="1:3" x14ac:dyDescent="0.2">
      <c r="A18" t="s">
        <v>139</v>
      </c>
    </row>
    <row r="19" spans="1:3" x14ac:dyDescent="0.2">
      <c r="A19" s="34"/>
      <c r="B19" s="43" t="s">
        <v>141</v>
      </c>
      <c r="C19" s="43" t="s">
        <v>137</v>
      </c>
    </row>
    <row r="20" spans="1:3" x14ac:dyDescent="0.2">
      <c r="A20" s="40" t="s">
        <v>76</v>
      </c>
      <c r="B20" s="41">
        <v>24</v>
      </c>
      <c r="C20" s="41">
        <v>56492</v>
      </c>
    </row>
    <row r="21" spans="1:3" x14ac:dyDescent="0.2">
      <c r="A21" s="8" t="s">
        <v>70</v>
      </c>
      <c r="B21" s="35">
        <v>797</v>
      </c>
      <c r="C21" s="35">
        <v>2036469</v>
      </c>
    </row>
    <row r="22" spans="1:3" x14ac:dyDescent="0.2">
      <c r="A22" s="37" t="s">
        <v>72</v>
      </c>
      <c r="B22" s="38">
        <v>1685</v>
      </c>
      <c r="C22" s="38">
        <v>4142440</v>
      </c>
    </row>
    <row r="23" spans="1:3" x14ac:dyDescent="0.2">
      <c r="A23" s="40" t="s">
        <v>75</v>
      </c>
      <c r="B23" s="41">
        <v>6825</v>
      </c>
      <c r="C23" s="41">
        <v>16827280</v>
      </c>
    </row>
    <row r="24" spans="1:3" x14ac:dyDescent="0.2">
      <c r="A24" s="8" t="s">
        <v>144</v>
      </c>
      <c r="B24" s="35">
        <v>10669</v>
      </c>
      <c r="C24" s="35">
        <v>27427550</v>
      </c>
    </row>
    <row r="25" spans="1:3" x14ac:dyDescent="0.2">
      <c r="A25" s="8" t="s">
        <v>69</v>
      </c>
      <c r="B25" s="35">
        <v>12372</v>
      </c>
      <c r="C25" s="35">
        <v>32341351</v>
      </c>
    </row>
    <row r="26" spans="1:3" x14ac:dyDescent="0.2">
      <c r="A26" s="8" t="s">
        <v>77</v>
      </c>
      <c r="B26" s="35">
        <v>16939</v>
      </c>
      <c r="C26" s="35">
        <v>43927705</v>
      </c>
    </row>
    <row r="27" spans="1:3" x14ac:dyDescent="0.2">
      <c r="A27" s="8" t="s">
        <v>143</v>
      </c>
      <c r="B27" s="35">
        <v>63471</v>
      </c>
      <c r="C27" s="35">
        <v>161904693</v>
      </c>
    </row>
    <row r="28" spans="1:3" x14ac:dyDescent="0.2">
      <c r="A28" s="8" t="s">
        <v>78</v>
      </c>
      <c r="B28" s="35">
        <v>142950</v>
      </c>
      <c r="C28" s="35">
        <v>368206619</v>
      </c>
    </row>
    <row r="29" spans="1:3" x14ac:dyDescent="0.2">
      <c r="A29" s="8" t="s">
        <v>74</v>
      </c>
      <c r="B29" s="35">
        <v>565469</v>
      </c>
      <c r="C29" s="35">
        <v>1502953689</v>
      </c>
    </row>
    <row r="30" spans="1:3" x14ac:dyDescent="0.2">
      <c r="A30" s="8" t="s">
        <v>73</v>
      </c>
      <c r="B30" s="35">
        <v>569742</v>
      </c>
      <c r="C30" s="35">
        <v>1503084782</v>
      </c>
    </row>
    <row r="31" spans="1:3" x14ac:dyDescent="0.2">
      <c r="A31" s="8" t="s">
        <v>71</v>
      </c>
      <c r="B31" s="35">
        <v>1024192</v>
      </c>
      <c r="C31" s="35">
        <v>2684481413</v>
      </c>
    </row>
    <row r="35" spans="1:6" x14ac:dyDescent="0.2">
      <c r="B35" s="8" t="s">
        <v>140</v>
      </c>
      <c r="C35" s="8" t="s">
        <v>141</v>
      </c>
      <c r="D35" s="8" t="s">
        <v>136</v>
      </c>
      <c r="E35" s="8" t="s">
        <v>137</v>
      </c>
      <c r="F35" s="8" t="s">
        <v>138</v>
      </c>
    </row>
    <row r="36" spans="1:6" ht="18" x14ac:dyDescent="0.2">
      <c r="A36" s="12" t="s">
        <v>28</v>
      </c>
    </row>
    <row r="37" spans="1:6" ht="18" x14ac:dyDescent="0.2">
      <c r="A37" s="12" t="s">
        <v>6</v>
      </c>
    </row>
    <row r="38" spans="1:6" ht="18" x14ac:dyDescent="0.2">
      <c r="A38" s="12" t="s">
        <v>7</v>
      </c>
    </row>
    <row r="39" spans="1:6" ht="18" x14ac:dyDescent="0.2">
      <c r="A39" s="12" t="s">
        <v>31</v>
      </c>
    </row>
    <row r="40" spans="1:6" ht="18" x14ac:dyDescent="0.2">
      <c r="A40" s="12" t="s">
        <v>30</v>
      </c>
    </row>
    <row r="41" spans="1:6" ht="18" x14ac:dyDescent="0.2">
      <c r="A41" s="12" t="s">
        <v>32</v>
      </c>
    </row>
    <row r="42" spans="1:6" ht="18" x14ac:dyDescent="0.2">
      <c r="A42" s="12" t="s">
        <v>34</v>
      </c>
    </row>
    <row r="43" spans="1:6" ht="18" x14ac:dyDescent="0.2">
      <c r="A43" s="12" t="s">
        <v>36</v>
      </c>
    </row>
    <row r="44" spans="1:6" ht="18" x14ac:dyDescent="0.2">
      <c r="A44" s="12" t="s">
        <v>11</v>
      </c>
    </row>
    <row r="45" spans="1:6" ht="18" x14ac:dyDescent="0.2">
      <c r="A45" s="12" t="s">
        <v>13</v>
      </c>
    </row>
    <row r="46" spans="1:6" ht="18" x14ac:dyDescent="0.2">
      <c r="A46" s="12" t="s">
        <v>15</v>
      </c>
    </row>
    <row r="47" spans="1:6" ht="18" x14ac:dyDescent="0.2">
      <c r="A47" s="12" t="s">
        <v>16</v>
      </c>
    </row>
    <row r="48" spans="1:6" ht="18" x14ac:dyDescent="0.2">
      <c r="A48" s="12" t="s">
        <v>19</v>
      </c>
    </row>
    <row r="49" spans="1:6" ht="18" x14ac:dyDescent="0.2">
      <c r="A49" s="12" t="s">
        <v>21</v>
      </c>
    </row>
    <row r="53" spans="1:6" ht="38" x14ac:dyDescent="0.2">
      <c r="B53" s="30" t="s">
        <v>127</v>
      </c>
      <c r="C53" s="30" t="s">
        <v>133</v>
      </c>
      <c r="D53" s="30" t="s">
        <v>145</v>
      </c>
      <c r="E53" s="30" t="s">
        <v>146</v>
      </c>
      <c r="F53" s="30"/>
    </row>
    <row r="54" spans="1:6" ht="18" x14ac:dyDescent="0.2">
      <c r="A54" s="12" t="s">
        <v>115</v>
      </c>
      <c r="B54" s="26">
        <v>2.6</v>
      </c>
      <c r="C54" s="3">
        <v>5</v>
      </c>
      <c r="D54" s="3">
        <v>388900</v>
      </c>
      <c r="E54" s="44">
        <f>C54/D54</f>
        <v>1.2856775520699408E-5</v>
      </c>
      <c r="F54" s="33"/>
    </row>
    <row r="55" spans="1:6" ht="18" x14ac:dyDescent="0.2">
      <c r="A55" s="12" t="s">
        <v>116</v>
      </c>
      <c r="B55" s="26">
        <v>36</v>
      </c>
      <c r="C55" s="3">
        <v>32</v>
      </c>
      <c r="D55" s="3">
        <v>52843</v>
      </c>
      <c r="E55" s="44">
        <f t="shared" ref="E55:E79" si="1">C55/D55</f>
        <v>6.0556743561115001E-4</v>
      </c>
      <c r="F55" s="33"/>
    </row>
    <row r="56" spans="1:6" ht="18" x14ac:dyDescent="0.2">
      <c r="A56" s="12" t="s">
        <v>117</v>
      </c>
      <c r="B56" s="26">
        <v>179</v>
      </c>
      <c r="C56" s="3">
        <v>127</v>
      </c>
      <c r="D56" s="3">
        <v>157595</v>
      </c>
      <c r="E56" s="44">
        <f t="shared" si="1"/>
        <v>8.0586313017544972E-4</v>
      </c>
      <c r="F56" s="33"/>
    </row>
    <row r="57" spans="1:6" ht="18" x14ac:dyDescent="0.2">
      <c r="A57" s="12" t="s">
        <v>118</v>
      </c>
      <c r="B57" s="26">
        <v>1.1000000000000001</v>
      </c>
      <c r="C57" s="3">
        <v>9</v>
      </c>
      <c r="D57" s="3">
        <v>41701</v>
      </c>
      <c r="E57" s="44">
        <f t="shared" si="1"/>
        <v>2.1582216253806862E-4</v>
      </c>
      <c r="F57" s="33"/>
    </row>
    <row r="58" spans="1:6" ht="18" x14ac:dyDescent="0.2">
      <c r="A58" s="12" t="s">
        <v>119</v>
      </c>
      <c r="B58" s="26">
        <v>70</v>
      </c>
      <c r="C58" s="3">
        <v>76</v>
      </c>
      <c r="D58" s="3">
        <v>176264</v>
      </c>
      <c r="E58" s="44">
        <f t="shared" si="1"/>
        <v>4.3117142468116008E-4</v>
      </c>
      <c r="F58" s="33"/>
    </row>
    <row r="59" spans="1:6" ht="18" x14ac:dyDescent="0.2">
      <c r="A59" s="12" t="s">
        <v>120</v>
      </c>
      <c r="B59" s="26">
        <v>310</v>
      </c>
      <c r="C59" s="3">
        <v>107</v>
      </c>
      <c r="D59" s="3">
        <v>73311</v>
      </c>
      <c r="E59" s="44">
        <f t="shared" si="1"/>
        <v>1.4595354039639344E-3</v>
      </c>
      <c r="F59" s="33"/>
    </row>
    <row r="60" spans="1:6" ht="18" x14ac:dyDescent="0.2">
      <c r="A60" s="12" t="s">
        <v>121</v>
      </c>
      <c r="B60" s="26">
        <v>11</v>
      </c>
      <c r="C60" s="3">
        <v>14</v>
      </c>
      <c r="D60" s="3">
        <v>196404</v>
      </c>
      <c r="E60" s="44">
        <f t="shared" si="1"/>
        <v>7.1281643958371515E-5</v>
      </c>
      <c r="F60" s="33"/>
    </row>
    <row r="61" spans="1:6" ht="18" x14ac:dyDescent="0.2">
      <c r="A61" s="12" t="s">
        <v>122</v>
      </c>
      <c r="B61" s="26">
        <v>31</v>
      </c>
      <c r="C61" s="3">
        <v>28</v>
      </c>
      <c r="D61" s="3">
        <v>25916</v>
      </c>
      <c r="E61" s="44">
        <f t="shared" si="1"/>
        <v>1.0804136440808766E-3</v>
      </c>
      <c r="F61" s="33"/>
    </row>
    <row r="62" spans="1:6" ht="18" x14ac:dyDescent="0.2">
      <c r="A62" s="12" t="s">
        <v>0</v>
      </c>
      <c r="B62" s="26">
        <v>2.6</v>
      </c>
      <c r="C62" s="3">
        <v>7</v>
      </c>
      <c r="D62" s="3">
        <v>754600</v>
      </c>
      <c r="E62" s="44">
        <f t="shared" si="1"/>
        <v>9.2764378478664186E-6</v>
      </c>
      <c r="F62" s="33"/>
    </row>
    <row r="63" spans="1:6" ht="18" x14ac:dyDescent="0.2">
      <c r="A63" s="45" t="s">
        <v>1</v>
      </c>
      <c r="B63" s="46">
        <v>1.2</v>
      </c>
      <c r="C63" s="7">
        <v>7</v>
      </c>
      <c r="D63" s="7">
        <v>118523</v>
      </c>
      <c r="E63" s="47">
        <f t="shared" si="1"/>
        <v>5.906026678366224E-5</v>
      </c>
      <c r="F63" s="33"/>
    </row>
    <row r="64" spans="1:6" ht="18" x14ac:dyDescent="0.2">
      <c r="A64" s="12" t="s">
        <v>2</v>
      </c>
      <c r="B64" s="26">
        <v>70</v>
      </c>
      <c r="C64" s="3">
        <v>61</v>
      </c>
      <c r="D64" s="3">
        <v>174995</v>
      </c>
      <c r="E64" s="44">
        <f t="shared" si="1"/>
        <v>3.4858138803965828E-4</v>
      </c>
      <c r="F64" s="33"/>
    </row>
    <row r="65" spans="1:6" ht="18" x14ac:dyDescent="0.2">
      <c r="A65" s="12" t="s">
        <v>3</v>
      </c>
      <c r="B65" s="26">
        <v>310</v>
      </c>
      <c r="C65" s="3">
        <v>100</v>
      </c>
      <c r="D65" s="3">
        <v>73369</v>
      </c>
      <c r="E65" s="44">
        <f t="shared" si="1"/>
        <v>1.3629734629066771E-3</v>
      </c>
      <c r="F65" s="33"/>
    </row>
    <row r="66" spans="1:6" ht="18" x14ac:dyDescent="0.2">
      <c r="A66" s="12" t="s">
        <v>4</v>
      </c>
      <c r="B66" s="26">
        <v>11</v>
      </c>
      <c r="C66" s="3">
        <v>16</v>
      </c>
      <c r="D66" s="3">
        <v>197495</v>
      </c>
      <c r="E66" s="44">
        <f t="shared" si="1"/>
        <v>8.1014709233145148E-5</v>
      </c>
      <c r="F66" s="33"/>
    </row>
    <row r="67" spans="1:6" ht="18" x14ac:dyDescent="0.2">
      <c r="A67" s="12" t="s">
        <v>5</v>
      </c>
      <c r="B67" s="26">
        <v>31</v>
      </c>
      <c r="C67" s="3">
        <v>23</v>
      </c>
      <c r="D67" s="3">
        <v>80178</v>
      </c>
      <c r="E67" s="44">
        <f t="shared" si="1"/>
        <v>2.8686173264486515E-4</v>
      </c>
      <c r="F67" s="33"/>
    </row>
    <row r="68" spans="1:6" ht="18" x14ac:dyDescent="0.2">
      <c r="A68" s="2" t="s">
        <v>91</v>
      </c>
      <c r="B68" s="26">
        <v>5.4</v>
      </c>
      <c r="C68" s="3">
        <v>3</v>
      </c>
      <c r="D68" s="3">
        <v>461</v>
      </c>
      <c r="E68" s="44">
        <f t="shared" si="1"/>
        <v>6.5075921908893707E-3</v>
      </c>
      <c r="F68" s="33"/>
    </row>
    <row r="69" spans="1:6" ht="18" x14ac:dyDescent="0.2">
      <c r="A69" s="49" t="s">
        <v>92</v>
      </c>
      <c r="B69" s="50">
        <v>11</v>
      </c>
      <c r="C69" s="51">
        <v>16</v>
      </c>
      <c r="D69" s="51">
        <v>87</v>
      </c>
      <c r="E69" s="52">
        <f t="shared" si="1"/>
        <v>0.18390804597701149</v>
      </c>
      <c r="F69" s="33"/>
    </row>
    <row r="70" spans="1:6" ht="18" x14ac:dyDescent="0.2">
      <c r="A70" s="2" t="s">
        <v>93</v>
      </c>
      <c r="B70" s="26">
        <v>4.2</v>
      </c>
      <c r="C70" s="3">
        <v>23</v>
      </c>
      <c r="D70" s="3">
        <v>52984</v>
      </c>
      <c r="E70" s="44">
        <f t="shared" si="1"/>
        <v>4.3409331118828324E-4</v>
      </c>
      <c r="F70" s="33"/>
    </row>
    <row r="71" spans="1:6" ht="18" x14ac:dyDescent="0.2">
      <c r="A71" s="2" t="s">
        <v>94</v>
      </c>
      <c r="B71" s="26">
        <v>12</v>
      </c>
      <c r="C71" s="3">
        <v>9</v>
      </c>
      <c r="D71" s="3">
        <v>123</v>
      </c>
      <c r="E71" s="44">
        <f t="shared" si="1"/>
        <v>7.3170731707317069E-2</v>
      </c>
      <c r="F71" s="33"/>
    </row>
    <row r="72" spans="1:6" ht="18" x14ac:dyDescent="0.2">
      <c r="A72" s="2" t="s">
        <v>95</v>
      </c>
      <c r="B72" s="26">
        <v>3.7</v>
      </c>
      <c r="C72" s="3">
        <v>6</v>
      </c>
      <c r="D72" s="3">
        <v>18111</v>
      </c>
      <c r="E72" s="44">
        <f t="shared" si="1"/>
        <v>3.3129037601457677E-4</v>
      </c>
      <c r="F72" s="33"/>
    </row>
    <row r="73" spans="1:6" ht="18" x14ac:dyDescent="0.2">
      <c r="A73" s="2" t="s">
        <v>96</v>
      </c>
      <c r="B73" s="26">
        <v>3.4</v>
      </c>
      <c r="C73" s="3">
        <v>11</v>
      </c>
      <c r="D73" s="3">
        <v>19480</v>
      </c>
      <c r="E73" s="44">
        <f t="shared" si="1"/>
        <v>5.6468172484599587E-4</v>
      </c>
      <c r="F73" s="33"/>
    </row>
    <row r="74" spans="1:6" ht="18" x14ac:dyDescent="0.2">
      <c r="A74" s="23" t="s">
        <v>97</v>
      </c>
      <c r="B74" s="46">
        <v>8.1</v>
      </c>
      <c r="C74" s="7">
        <v>10</v>
      </c>
      <c r="D74" s="7">
        <v>2014</v>
      </c>
      <c r="E74" s="47">
        <f t="shared" si="1"/>
        <v>4.9652432969215492E-3</v>
      </c>
      <c r="F74" s="33"/>
    </row>
    <row r="75" spans="1:6" ht="18" x14ac:dyDescent="0.2">
      <c r="A75" s="23" t="s">
        <v>98</v>
      </c>
      <c r="B75" s="46">
        <v>6.5</v>
      </c>
      <c r="C75" s="7">
        <v>22</v>
      </c>
      <c r="D75" s="7">
        <v>3731</v>
      </c>
      <c r="E75" s="47">
        <f t="shared" si="1"/>
        <v>5.8965424819083356E-3</v>
      </c>
      <c r="F75" s="33"/>
    </row>
    <row r="76" spans="1:6" ht="18" x14ac:dyDescent="0.2">
      <c r="A76" s="49" t="s">
        <v>99</v>
      </c>
      <c r="B76" s="50">
        <v>13</v>
      </c>
      <c r="C76" s="51">
        <v>14</v>
      </c>
      <c r="D76" s="51">
        <v>524</v>
      </c>
      <c r="E76" s="52">
        <f t="shared" si="1"/>
        <v>2.6717557251908396E-2</v>
      </c>
      <c r="F76" s="33"/>
    </row>
    <row r="77" spans="1:6" ht="18" x14ac:dyDescent="0.2">
      <c r="A77" s="2" t="s">
        <v>100</v>
      </c>
      <c r="B77" s="26">
        <v>3.7</v>
      </c>
      <c r="C77" s="3">
        <v>3</v>
      </c>
      <c r="D77" s="3">
        <v>5521</v>
      </c>
      <c r="E77" s="44">
        <f t="shared" si="1"/>
        <v>5.4337982249592464E-4</v>
      </c>
      <c r="F77" s="33"/>
    </row>
    <row r="78" spans="1:6" ht="18" x14ac:dyDescent="0.2">
      <c r="A78" s="2" t="s">
        <v>101</v>
      </c>
      <c r="B78" s="26">
        <v>4.8</v>
      </c>
      <c r="C78" s="3">
        <v>3</v>
      </c>
      <c r="D78" s="3">
        <v>2318</v>
      </c>
      <c r="E78" s="44">
        <f t="shared" si="1"/>
        <v>1.2942191544434857E-3</v>
      </c>
      <c r="F78" s="33"/>
    </row>
    <row r="79" spans="1:6" ht="18" x14ac:dyDescent="0.2">
      <c r="A79" s="49" t="s">
        <v>102</v>
      </c>
      <c r="B79" s="50">
        <v>5.0999999999999996</v>
      </c>
      <c r="C79" s="51">
        <v>30</v>
      </c>
      <c r="D79" s="51">
        <v>406</v>
      </c>
      <c r="E79" s="52">
        <f t="shared" si="1"/>
        <v>7.3891625615763554E-2</v>
      </c>
      <c r="F79" s="33"/>
    </row>
    <row r="87" spans="1:3" x14ac:dyDescent="0.2">
      <c r="A87" s="18"/>
      <c r="B87" s="18" t="s">
        <v>147</v>
      </c>
      <c r="C87" s="18" t="s">
        <v>148</v>
      </c>
    </row>
    <row r="88" spans="1:3" x14ac:dyDescent="0.2">
      <c r="A88" s="18" t="s">
        <v>91</v>
      </c>
      <c r="B88" s="18">
        <v>32340810</v>
      </c>
      <c r="C88" s="18">
        <v>541</v>
      </c>
    </row>
    <row r="89" spans="1:3" x14ac:dyDescent="0.2">
      <c r="A89" s="18" t="s">
        <v>92</v>
      </c>
      <c r="B89" s="18">
        <v>2034828</v>
      </c>
      <c r="C89" s="18">
        <v>1641</v>
      </c>
    </row>
    <row r="90" spans="1:3" x14ac:dyDescent="0.2">
      <c r="A90" s="18" t="s">
        <v>93</v>
      </c>
      <c r="B90" s="18">
        <v>2684480738</v>
      </c>
      <c r="C90" s="18">
        <v>675</v>
      </c>
    </row>
    <row r="91" spans="1:3" x14ac:dyDescent="0.2">
      <c r="A91" s="18" t="s">
        <v>94</v>
      </c>
      <c r="B91" s="18">
        <v>3934863</v>
      </c>
      <c r="C91" s="18">
        <v>207577</v>
      </c>
    </row>
    <row r="92" spans="1:3" x14ac:dyDescent="0.2">
      <c r="A92" s="18" t="s">
        <v>95</v>
      </c>
      <c r="B92" s="18">
        <v>1503079099</v>
      </c>
      <c r="C92" s="18">
        <v>5683</v>
      </c>
    </row>
    <row r="93" spans="1:3" x14ac:dyDescent="0.2">
      <c r="A93" s="18" t="s">
        <v>96</v>
      </c>
      <c r="B93" s="18">
        <v>1502948006</v>
      </c>
      <c r="C93" s="18">
        <v>5683</v>
      </c>
    </row>
    <row r="94" spans="1:3" x14ac:dyDescent="0.2">
      <c r="A94" s="48" t="s">
        <v>97</v>
      </c>
      <c r="B94" s="18">
        <v>16820055</v>
      </c>
      <c r="C94" s="18">
        <v>7225</v>
      </c>
    </row>
    <row r="95" spans="1:3" x14ac:dyDescent="0.2">
      <c r="A95" s="48" t="s">
        <v>98</v>
      </c>
      <c r="B95" s="18">
        <v>49447</v>
      </c>
      <c r="C95" s="18">
        <v>7045</v>
      </c>
    </row>
    <row r="96" spans="1:3" x14ac:dyDescent="0.2">
      <c r="A96" s="18" t="s">
        <v>99</v>
      </c>
      <c r="B96" s="18">
        <v>43845604</v>
      </c>
      <c r="C96" s="18">
        <v>82101</v>
      </c>
    </row>
    <row r="97" spans="1:3" x14ac:dyDescent="0.2">
      <c r="A97" s="18" t="s">
        <v>100</v>
      </c>
      <c r="B97" s="18">
        <v>368205959</v>
      </c>
      <c r="C97" s="18">
        <v>660</v>
      </c>
    </row>
    <row r="98" spans="1:3" x14ac:dyDescent="0.2">
      <c r="A98" s="18" t="s">
        <v>101</v>
      </c>
      <c r="B98" s="18">
        <v>161798447</v>
      </c>
      <c r="C98" s="18">
        <v>106246</v>
      </c>
    </row>
    <row r="99" spans="1:3" x14ac:dyDescent="0.2">
      <c r="A99" s="18" t="s">
        <v>102</v>
      </c>
      <c r="B99" s="18">
        <v>27321287</v>
      </c>
      <c r="C99" s="18">
        <v>106263</v>
      </c>
    </row>
  </sheetData>
  <sortState xmlns:xlrd2="http://schemas.microsoft.com/office/spreadsheetml/2017/richdata2" ref="A20:C31">
    <sortCondition ref="C20:C3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7E61-5499-7241-8D93-4870A5537F5A}">
  <dimension ref="A2:W347"/>
  <sheetViews>
    <sheetView topLeftCell="A278" workbookViewId="0">
      <selection activeCell="D3" sqref="D3:E15"/>
    </sheetView>
  </sheetViews>
  <sheetFormatPr baseColWidth="10" defaultRowHeight="16" x14ac:dyDescent="0.2"/>
  <cols>
    <col min="1" max="1" width="34.83203125" bestFit="1" customWidth="1"/>
    <col min="2" max="2" width="24" bestFit="1" customWidth="1"/>
    <col min="3" max="3" width="27" bestFit="1" customWidth="1"/>
    <col min="4" max="4" width="26" bestFit="1" customWidth="1"/>
    <col min="5" max="5" width="24.83203125" bestFit="1" customWidth="1"/>
    <col min="6" max="6" width="19.33203125" bestFit="1" customWidth="1"/>
    <col min="7" max="7" width="17.5" bestFit="1" customWidth="1"/>
    <col min="8" max="8" width="24.33203125" bestFit="1" customWidth="1"/>
    <col min="9" max="13" width="9.83203125" customWidth="1"/>
    <col min="14" max="17" width="9.6640625" customWidth="1"/>
    <col min="19" max="24" width="25" customWidth="1"/>
  </cols>
  <sheetData>
    <row r="2" spans="1:17" ht="18" x14ac:dyDescent="0.2">
      <c r="A2" s="2" t="s">
        <v>103</v>
      </c>
      <c r="B2" s="2" t="s">
        <v>86</v>
      </c>
      <c r="C2" s="2" t="s">
        <v>104</v>
      </c>
      <c r="D2" s="68" t="s">
        <v>162</v>
      </c>
      <c r="E2" s="2" t="s">
        <v>161</v>
      </c>
      <c r="F2" s="68"/>
      <c r="G2" s="1"/>
      <c r="N2" s="1"/>
      <c r="O2" s="1"/>
      <c r="P2" s="1"/>
      <c r="Q2" s="1"/>
    </row>
    <row r="3" spans="1:17" ht="18" x14ac:dyDescent="0.2">
      <c r="A3" s="12" t="s">
        <v>69</v>
      </c>
      <c r="B3" s="3">
        <v>20</v>
      </c>
      <c r="C3" s="3">
        <v>28</v>
      </c>
      <c r="D3" s="3">
        <v>393</v>
      </c>
      <c r="E3" s="3">
        <v>251</v>
      </c>
      <c r="F3" s="20"/>
      <c r="G3" s="21"/>
      <c r="N3" s="21"/>
      <c r="O3" s="21"/>
      <c r="P3" s="21"/>
      <c r="Q3" s="21"/>
    </row>
    <row r="4" spans="1:17" ht="18" x14ac:dyDescent="0.2">
      <c r="A4" s="12" t="s">
        <v>70</v>
      </c>
      <c r="B4" s="3">
        <v>22</v>
      </c>
      <c r="C4" s="3">
        <v>30</v>
      </c>
      <c r="D4" s="3">
        <v>88</v>
      </c>
      <c r="E4" s="3">
        <v>63</v>
      </c>
      <c r="F4" s="20"/>
      <c r="G4" s="21"/>
      <c r="N4" s="21"/>
      <c r="O4" s="21"/>
      <c r="P4" s="21"/>
      <c r="Q4" s="21"/>
    </row>
    <row r="5" spans="1:17" ht="18" x14ac:dyDescent="0.2">
      <c r="A5" s="12" t="s">
        <v>71</v>
      </c>
      <c r="B5" s="3">
        <v>5677</v>
      </c>
      <c r="C5" s="3">
        <v>8682</v>
      </c>
      <c r="D5" s="3">
        <v>53168</v>
      </c>
      <c r="E5" s="3">
        <v>32726</v>
      </c>
      <c r="F5" s="20"/>
      <c r="G5" s="21"/>
      <c r="N5" s="21"/>
      <c r="O5" s="21"/>
      <c r="P5" s="21"/>
      <c r="Q5" s="21"/>
    </row>
    <row r="6" spans="1:17" ht="18" x14ac:dyDescent="0.2">
      <c r="A6" s="12" t="s">
        <v>72</v>
      </c>
      <c r="B6" s="3">
        <v>41</v>
      </c>
      <c r="C6" s="3">
        <v>50</v>
      </c>
      <c r="D6" s="3">
        <v>122</v>
      </c>
      <c r="E6" s="3">
        <v>89</v>
      </c>
      <c r="F6" s="20"/>
      <c r="G6" s="21"/>
      <c r="N6" s="21"/>
      <c r="O6" s="21"/>
      <c r="P6" s="21"/>
      <c r="Q6" s="21"/>
    </row>
    <row r="7" spans="1:17" ht="18" x14ac:dyDescent="0.2">
      <c r="A7" s="12" t="s">
        <v>73</v>
      </c>
      <c r="B7" s="3">
        <v>2995</v>
      </c>
      <c r="C7" s="3">
        <v>3108</v>
      </c>
      <c r="D7" s="3">
        <v>18403</v>
      </c>
      <c r="E7" s="3">
        <v>14762</v>
      </c>
      <c r="F7" s="20"/>
      <c r="G7" s="21"/>
      <c r="N7" s="21"/>
      <c r="O7" s="21"/>
      <c r="P7" s="21"/>
      <c r="Q7" s="21"/>
    </row>
    <row r="8" spans="1:17" ht="18" x14ac:dyDescent="0.2">
      <c r="A8" s="12" t="s">
        <v>74</v>
      </c>
      <c r="B8" s="3">
        <v>3993</v>
      </c>
      <c r="C8" s="3">
        <v>4181</v>
      </c>
      <c r="D8" s="3">
        <v>19442</v>
      </c>
      <c r="E8" s="3">
        <v>16482</v>
      </c>
      <c r="F8" s="20"/>
      <c r="G8" s="21"/>
      <c r="N8" s="21"/>
      <c r="O8" s="21"/>
      <c r="P8" s="21"/>
      <c r="Q8" s="21"/>
    </row>
    <row r="9" spans="1:17" ht="18" x14ac:dyDescent="0.2">
      <c r="A9" s="12" t="s">
        <v>75</v>
      </c>
      <c r="B9" s="3">
        <v>3417</v>
      </c>
      <c r="C9" s="3">
        <v>3719</v>
      </c>
      <c r="D9" s="3">
        <v>4367</v>
      </c>
      <c r="E9" s="3">
        <v>4186</v>
      </c>
      <c r="F9" s="20"/>
      <c r="G9" s="21"/>
      <c r="N9" s="21"/>
      <c r="O9" s="21"/>
      <c r="P9" s="21"/>
      <c r="Q9" s="21"/>
    </row>
    <row r="10" spans="1:17" ht="18" x14ac:dyDescent="0.2">
      <c r="A10" s="12" t="s">
        <v>76</v>
      </c>
      <c r="B10" s="3">
        <v>5769</v>
      </c>
      <c r="C10" s="3">
        <v>5494</v>
      </c>
      <c r="D10" s="3">
        <v>6098</v>
      </c>
      <c r="E10" s="3">
        <v>5510</v>
      </c>
      <c r="F10" s="20"/>
      <c r="G10" s="21"/>
      <c r="N10" s="21"/>
      <c r="O10" s="21"/>
      <c r="P10" s="21"/>
      <c r="Q10" s="21"/>
    </row>
    <row r="11" spans="1:17" ht="18" x14ac:dyDescent="0.2">
      <c r="A11" s="12" t="s">
        <v>77</v>
      </c>
      <c r="B11" s="3">
        <v>29</v>
      </c>
      <c r="C11" s="3">
        <v>40</v>
      </c>
      <c r="D11" s="3">
        <v>534</v>
      </c>
      <c r="E11" s="3">
        <v>354</v>
      </c>
      <c r="F11" s="20"/>
      <c r="G11" s="21"/>
      <c r="N11" s="21"/>
      <c r="O11" s="21"/>
      <c r="P11" s="21"/>
      <c r="Q11" s="21"/>
    </row>
    <row r="12" spans="1:17" ht="18" x14ac:dyDescent="0.2">
      <c r="A12" s="12" t="s">
        <v>78</v>
      </c>
      <c r="B12" s="3">
        <v>1005</v>
      </c>
      <c r="C12" s="3">
        <v>1076</v>
      </c>
      <c r="D12" s="3">
        <v>5584</v>
      </c>
      <c r="E12" s="3">
        <v>3949</v>
      </c>
      <c r="F12" s="20"/>
      <c r="G12" s="21"/>
      <c r="N12" s="21"/>
      <c r="O12" s="21"/>
      <c r="P12" s="21"/>
      <c r="Q12" s="21"/>
    </row>
    <row r="13" spans="1:17" ht="18" x14ac:dyDescent="0.2">
      <c r="A13" s="12" t="s">
        <v>154</v>
      </c>
      <c r="B13" s="3">
        <v>5877</v>
      </c>
      <c r="C13" s="3">
        <v>7179</v>
      </c>
      <c r="D13" s="3">
        <v>84300</v>
      </c>
      <c r="E13" s="3">
        <v>59469</v>
      </c>
      <c r="F13" s="20"/>
      <c r="G13" s="21"/>
      <c r="N13" s="21"/>
      <c r="O13" s="21"/>
      <c r="P13" s="21"/>
      <c r="Q13" s="21"/>
    </row>
    <row r="14" spans="1:17" ht="18" x14ac:dyDescent="0.2">
      <c r="A14" s="12" t="s">
        <v>79</v>
      </c>
      <c r="B14" s="3">
        <v>464</v>
      </c>
      <c r="C14" s="3">
        <v>511</v>
      </c>
      <c r="D14" s="3">
        <v>2325</v>
      </c>
      <c r="E14" s="3">
        <v>2006</v>
      </c>
      <c r="F14" s="20"/>
      <c r="G14" s="21"/>
      <c r="N14" s="21"/>
      <c r="O14" s="21"/>
      <c r="P14" s="21"/>
      <c r="Q14" s="21"/>
    </row>
    <row r="15" spans="1:17" ht="18" x14ac:dyDescent="0.2">
      <c r="A15" s="12" t="s">
        <v>80</v>
      </c>
      <c r="B15" s="3">
        <v>52</v>
      </c>
      <c r="C15" s="3">
        <v>76</v>
      </c>
      <c r="D15" s="3">
        <v>408</v>
      </c>
      <c r="E15" s="3">
        <v>314</v>
      </c>
      <c r="F15" s="20"/>
      <c r="G15" s="21"/>
      <c r="N15" s="21"/>
      <c r="O15" s="21"/>
      <c r="P15" s="21"/>
      <c r="Q15" s="21"/>
    </row>
    <row r="17" spans="1:23" ht="18" x14ac:dyDescent="0.2">
      <c r="I17" s="21"/>
      <c r="J17" s="21"/>
      <c r="K17" s="21"/>
      <c r="L17" s="21"/>
      <c r="M17" s="71"/>
      <c r="S17" s="1"/>
      <c r="T17" s="22"/>
      <c r="U17" s="22"/>
      <c r="V17" s="22"/>
      <c r="W17" s="22"/>
    </row>
    <row r="18" spans="1:23" ht="18" x14ac:dyDescent="0.2">
      <c r="A18" s="2" t="s">
        <v>87</v>
      </c>
      <c r="B18" s="2" t="s">
        <v>86</v>
      </c>
      <c r="C18" s="2" t="s">
        <v>104</v>
      </c>
      <c r="D18" s="2" t="s">
        <v>162</v>
      </c>
      <c r="E18" s="2" t="s">
        <v>161</v>
      </c>
      <c r="F18" s="2" t="s">
        <v>163</v>
      </c>
      <c r="I18" s="21"/>
      <c r="J18" s="21"/>
      <c r="K18" s="21"/>
      <c r="L18" s="21"/>
      <c r="M18" s="71"/>
      <c r="S18" s="1"/>
      <c r="T18" s="22"/>
      <c r="U18" s="22"/>
      <c r="V18" s="22"/>
      <c r="W18" s="22"/>
    </row>
    <row r="19" spans="1:23" ht="18" x14ac:dyDescent="0.2">
      <c r="A19" s="12" t="s">
        <v>69</v>
      </c>
      <c r="B19" s="20">
        <f t="shared" ref="B19:C31" si="0">B3/$B3</f>
        <v>1</v>
      </c>
      <c r="C19" s="20">
        <f t="shared" si="0"/>
        <v>1.4</v>
      </c>
      <c r="D19" s="20">
        <f t="shared" ref="D19:E31" si="1">D3/$B3</f>
        <v>19.649999999999999</v>
      </c>
      <c r="E19" s="20">
        <f t="shared" si="1"/>
        <v>12.55</v>
      </c>
      <c r="F19" s="69">
        <f t="shared" ref="F19:F32" si="2">D19/E19</f>
        <v>1.5657370517928284</v>
      </c>
      <c r="I19" s="21"/>
      <c r="J19" s="21"/>
      <c r="K19" s="21"/>
      <c r="L19" s="21"/>
      <c r="M19" s="71"/>
      <c r="S19" s="1"/>
      <c r="T19" s="22"/>
      <c r="U19" s="22"/>
      <c r="V19" s="22"/>
      <c r="W19" s="22"/>
    </row>
    <row r="20" spans="1:23" ht="18" x14ac:dyDescent="0.2">
      <c r="A20" s="12" t="s">
        <v>70</v>
      </c>
      <c r="B20" s="20">
        <f t="shared" si="0"/>
        <v>1</v>
      </c>
      <c r="C20" s="20">
        <f t="shared" si="0"/>
        <v>1.3636363636363635</v>
      </c>
      <c r="D20" s="20">
        <f t="shared" si="1"/>
        <v>4</v>
      </c>
      <c r="E20" s="20">
        <f t="shared" si="1"/>
        <v>2.8636363636363638</v>
      </c>
      <c r="F20" s="69">
        <f t="shared" si="2"/>
        <v>1.3968253968253967</v>
      </c>
      <c r="I20" s="21"/>
      <c r="J20" s="21"/>
      <c r="K20" s="21"/>
      <c r="L20" s="21"/>
      <c r="M20" s="71"/>
      <c r="S20" s="1"/>
      <c r="T20" s="22"/>
      <c r="U20" s="22"/>
      <c r="V20" s="22"/>
      <c r="W20" s="22"/>
    </row>
    <row r="21" spans="1:23" ht="18" x14ac:dyDescent="0.2">
      <c r="A21" s="12" t="s">
        <v>71</v>
      </c>
      <c r="B21" s="20">
        <f t="shared" si="0"/>
        <v>1</v>
      </c>
      <c r="C21" s="20">
        <f t="shared" si="0"/>
        <v>1.5293288708825084</v>
      </c>
      <c r="D21" s="20">
        <f t="shared" si="1"/>
        <v>9.3655099524396697</v>
      </c>
      <c r="E21" s="20">
        <f t="shared" si="1"/>
        <v>5.7646644354412544</v>
      </c>
      <c r="F21" s="69">
        <f t="shared" si="2"/>
        <v>1.6246409582594878</v>
      </c>
      <c r="I21" s="21"/>
      <c r="J21" s="21"/>
      <c r="K21" s="21"/>
      <c r="L21" s="21"/>
      <c r="M21" s="71"/>
      <c r="S21" s="1"/>
      <c r="T21" s="22"/>
      <c r="U21" s="22"/>
      <c r="V21" s="22"/>
      <c r="W21" s="22"/>
    </row>
    <row r="22" spans="1:23" ht="18" x14ac:dyDescent="0.2">
      <c r="A22" s="12" t="s">
        <v>72</v>
      </c>
      <c r="B22" s="20">
        <f t="shared" si="0"/>
        <v>1</v>
      </c>
      <c r="C22" s="20">
        <f t="shared" si="0"/>
        <v>1.2195121951219512</v>
      </c>
      <c r="D22" s="20">
        <f t="shared" si="1"/>
        <v>2.975609756097561</v>
      </c>
      <c r="E22" s="20">
        <f t="shared" si="1"/>
        <v>2.1707317073170733</v>
      </c>
      <c r="F22" s="69">
        <f t="shared" si="2"/>
        <v>1.3707865168539324</v>
      </c>
      <c r="I22" s="21"/>
      <c r="J22" s="21"/>
      <c r="K22" s="21"/>
      <c r="L22" s="21"/>
      <c r="M22" s="71"/>
      <c r="S22" s="1"/>
      <c r="T22" s="22"/>
      <c r="U22" s="22"/>
      <c r="V22" s="22"/>
      <c r="W22" s="22"/>
    </row>
    <row r="23" spans="1:23" ht="18" x14ac:dyDescent="0.2">
      <c r="A23" s="12" t="s">
        <v>73</v>
      </c>
      <c r="B23" s="20">
        <f t="shared" si="0"/>
        <v>1</v>
      </c>
      <c r="C23" s="20">
        <f t="shared" si="0"/>
        <v>1.0377295492487479</v>
      </c>
      <c r="D23" s="20">
        <f t="shared" si="1"/>
        <v>6.1445742904841403</v>
      </c>
      <c r="E23" s="20">
        <f t="shared" si="1"/>
        <v>4.9288814691151916</v>
      </c>
      <c r="F23" s="69">
        <f t="shared" si="2"/>
        <v>1.2466467958271239</v>
      </c>
      <c r="I23" s="21"/>
      <c r="J23" s="21"/>
      <c r="K23" s="21"/>
      <c r="L23" s="21"/>
      <c r="M23" s="71"/>
      <c r="S23" s="1"/>
      <c r="T23" s="22"/>
      <c r="U23" s="22"/>
      <c r="V23" s="22"/>
      <c r="W23" s="22"/>
    </row>
    <row r="24" spans="1:23" ht="18" x14ac:dyDescent="0.2">
      <c r="A24" s="12" t="s">
        <v>74</v>
      </c>
      <c r="B24" s="20">
        <f t="shared" si="0"/>
        <v>1</v>
      </c>
      <c r="C24" s="20">
        <f t="shared" si="0"/>
        <v>1.0470823941898322</v>
      </c>
      <c r="D24" s="20">
        <f t="shared" si="1"/>
        <v>4.8690207863761579</v>
      </c>
      <c r="E24" s="20">
        <f t="shared" si="1"/>
        <v>4.1277235161532682</v>
      </c>
      <c r="F24" s="69">
        <f t="shared" si="2"/>
        <v>1.1795898556000484</v>
      </c>
      <c r="I24" s="21"/>
      <c r="J24" s="21"/>
      <c r="K24" s="21"/>
      <c r="L24" s="21"/>
      <c r="M24" s="71"/>
      <c r="S24" s="1"/>
      <c r="T24" s="22"/>
      <c r="U24" s="22"/>
      <c r="V24" s="22"/>
      <c r="W24" s="22"/>
    </row>
    <row r="25" spans="1:23" ht="18" x14ac:dyDescent="0.2">
      <c r="A25" s="12" t="s">
        <v>75</v>
      </c>
      <c r="B25" s="20">
        <f t="shared" si="0"/>
        <v>1</v>
      </c>
      <c r="C25" s="20">
        <f t="shared" si="0"/>
        <v>1.0883816213052384</v>
      </c>
      <c r="D25" s="20">
        <f t="shared" si="1"/>
        <v>1.2780216564237636</v>
      </c>
      <c r="E25" s="20">
        <f t="shared" si="1"/>
        <v>1.2250512145156569</v>
      </c>
      <c r="F25" s="69">
        <f t="shared" si="2"/>
        <v>1.043239369326326</v>
      </c>
      <c r="I25" s="21"/>
      <c r="J25" s="21"/>
      <c r="K25" s="21"/>
      <c r="L25" s="21"/>
      <c r="M25" s="71"/>
      <c r="S25" s="1"/>
      <c r="T25" s="22"/>
      <c r="U25" s="22"/>
      <c r="V25" s="22"/>
      <c r="W25" s="22"/>
    </row>
    <row r="26" spans="1:23" ht="18" x14ac:dyDescent="0.2">
      <c r="A26" s="12" t="s">
        <v>76</v>
      </c>
      <c r="B26" s="20">
        <f t="shared" si="0"/>
        <v>1</v>
      </c>
      <c r="C26" s="20">
        <f t="shared" si="0"/>
        <v>0.95233142659039693</v>
      </c>
      <c r="D26" s="20">
        <f t="shared" si="1"/>
        <v>1.0570289478245796</v>
      </c>
      <c r="E26" s="20">
        <f t="shared" si="1"/>
        <v>0.95510487086150109</v>
      </c>
      <c r="F26" s="69">
        <f t="shared" si="2"/>
        <v>1.1067150635208711</v>
      </c>
      <c r="I26" s="21"/>
      <c r="J26" s="21"/>
      <c r="K26" s="21"/>
      <c r="L26" s="21"/>
      <c r="M26" s="71"/>
      <c r="S26" s="1"/>
      <c r="T26" s="22"/>
      <c r="U26" s="22"/>
      <c r="V26" s="22"/>
      <c r="W26" s="22"/>
    </row>
    <row r="27" spans="1:23" ht="18" x14ac:dyDescent="0.2">
      <c r="A27" s="12" t="s">
        <v>77</v>
      </c>
      <c r="B27" s="20">
        <f t="shared" si="0"/>
        <v>1</v>
      </c>
      <c r="C27" s="20">
        <f t="shared" si="0"/>
        <v>1.3793103448275863</v>
      </c>
      <c r="D27" s="20">
        <f t="shared" si="1"/>
        <v>18.413793103448278</v>
      </c>
      <c r="E27" s="20">
        <f t="shared" si="1"/>
        <v>12.206896551724139</v>
      </c>
      <c r="F27" s="69">
        <f t="shared" si="2"/>
        <v>1.5084745762711864</v>
      </c>
      <c r="I27" s="21"/>
      <c r="J27" s="21"/>
      <c r="K27" s="21"/>
      <c r="L27" s="21"/>
      <c r="M27" s="71"/>
      <c r="S27" s="1"/>
      <c r="T27" s="22"/>
      <c r="U27" s="22"/>
      <c r="V27" s="22"/>
      <c r="W27" s="22"/>
    </row>
    <row r="28" spans="1:23" ht="18" x14ac:dyDescent="0.2">
      <c r="A28" s="12" t="s">
        <v>78</v>
      </c>
      <c r="B28" s="20">
        <f t="shared" si="0"/>
        <v>1</v>
      </c>
      <c r="C28" s="20">
        <f t="shared" si="0"/>
        <v>1.0706467661691543</v>
      </c>
      <c r="D28" s="20">
        <f t="shared" si="1"/>
        <v>5.5562189054726367</v>
      </c>
      <c r="E28" s="20">
        <f t="shared" si="1"/>
        <v>3.9293532338308457</v>
      </c>
      <c r="F28" s="69">
        <f t="shared" si="2"/>
        <v>1.4140288680678652</v>
      </c>
      <c r="I28" s="21"/>
      <c r="J28" s="21"/>
      <c r="K28" s="21"/>
      <c r="L28" s="21"/>
      <c r="M28" s="71"/>
      <c r="S28" s="1"/>
      <c r="T28" s="22"/>
      <c r="U28" s="22"/>
      <c r="V28" s="22"/>
      <c r="W28" s="22"/>
    </row>
    <row r="29" spans="1:23" ht="18" x14ac:dyDescent="0.2">
      <c r="A29" s="12" t="s">
        <v>154</v>
      </c>
      <c r="B29" s="20">
        <f t="shared" si="0"/>
        <v>1</v>
      </c>
      <c r="C29" s="20">
        <f t="shared" si="0"/>
        <v>1.2215416028586012</v>
      </c>
      <c r="D29" s="20">
        <f t="shared" si="1"/>
        <v>14.344053088310362</v>
      </c>
      <c r="E29" s="20">
        <f t="shared" si="1"/>
        <v>10.118938233792752</v>
      </c>
      <c r="F29" s="69">
        <f t="shared" si="2"/>
        <v>1.417545275689855</v>
      </c>
      <c r="I29" s="21"/>
      <c r="J29" s="21"/>
      <c r="K29" s="21"/>
      <c r="L29" s="21"/>
      <c r="M29" s="71"/>
      <c r="S29" s="1"/>
      <c r="T29" s="22"/>
      <c r="U29" s="22"/>
      <c r="V29" s="22"/>
      <c r="W29" s="22"/>
    </row>
    <row r="30" spans="1:23" ht="18" x14ac:dyDescent="0.2">
      <c r="A30" s="12" t="s">
        <v>79</v>
      </c>
      <c r="B30" s="20">
        <f t="shared" si="0"/>
        <v>1</v>
      </c>
      <c r="C30" s="20">
        <f t="shared" si="0"/>
        <v>1.1012931034482758</v>
      </c>
      <c r="D30" s="20">
        <f t="shared" si="1"/>
        <v>5.0107758620689653</v>
      </c>
      <c r="E30" s="20">
        <f t="shared" si="1"/>
        <v>4.3232758620689653</v>
      </c>
      <c r="F30" s="69">
        <f t="shared" si="2"/>
        <v>1.1590229312063809</v>
      </c>
      <c r="I30" s="21"/>
      <c r="J30" s="21"/>
      <c r="K30" s="21"/>
      <c r="L30" s="21"/>
      <c r="M30" s="71"/>
      <c r="S30" s="1"/>
      <c r="T30" s="22"/>
      <c r="U30" s="22"/>
      <c r="V30" s="22"/>
      <c r="W30" s="22"/>
    </row>
    <row r="31" spans="1:23" ht="18" x14ac:dyDescent="0.2">
      <c r="A31" s="12" t="s">
        <v>80</v>
      </c>
      <c r="B31" s="20">
        <f t="shared" si="0"/>
        <v>1</v>
      </c>
      <c r="C31" s="20">
        <f t="shared" si="0"/>
        <v>1.4615384615384615</v>
      </c>
      <c r="D31" s="20">
        <f t="shared" si="1"/>
        <v>7.8461538461538458</v>
      </c>
      <c r="E31" s="20">
        <f t="shared" si="1"/>
        <v>6.0384615384615383</v>
      </c>
      <c r="F31" s="69">
        <f t="shared" si="2"/>
        <v>1.2993630573248407</v>
      </c>
      <c r="I31" s="21"/>
      <c r="J31" s="21"/>
      <c r="K31" s="21"/>
      <c r="L31" s="21"/>
      <c r="M31" s="71"/>
      <c r="S31" s="1"/>
      <c r="T31" s="22"/>
      <c r="U31" s="22"/>
      <c r="V31" s="22"/>
      <c r="W31" s="22"/>
    </row>
    <row r="32" spans="1:23" ht="18" x14ac:dyDescent="0.2">
      <c r="A32" s="2" t="s">
        <v>85</v>
      </c>
      <c r="B32" s="20">
        <f>GEOMEAN(B19:B31)</f>
        <v>1</v>
      </c>
      <c r="C32" s="20">
        <f>GEOMEAN(C19:C31)</f>
        <v>1.207830443650467</v>
      </c>
      <c r="D32" s="20">
        <f>GEOMEAN(D19:D31)</f>
        <v>5.5819772016716263</v>
      </c>
      <c r="E32" s="20">
        <f>GEOMEAN(E19:E31)</f>
        <v>4.2225007715773319</v>
      </c>
      <c r="F32" s="69">
        <f t="shared" si="2"/>
        <v>1.3219600193433372</v>
      </c>
      <c r="I32" s="21"/>
      <c r="J32" s="21"/>
      <c r="K32" s="21"/>
      <c r="L32" s="21"/>
      <c r="M32" s="71"/>
      <c r="S32" s="1"/>
      <c r="T32" s="22"/>
      <c r="U32" s="22"/>
      <c r="V32" s="22"/>
      <c r="W32" s="22"/>
    </row>
    <row r="33" spans="1:23" ht="18" x14ac:dyDescent="0.2">
      <c r="H33" s="1"/>
      <c r="I33" s="21"/>
      <c r="J33" s="21"/>
      <c r="K33" s="21"/>
      <c r="L33" s="21"/>
      <c r="M33" s="71"/>
      <c r="S33" s="1"/>
      <c r="T33" s="22"/>
      <c r="U33" s="22"/>
      <c r="V33" s="22"/>
      <c r="W33" s="22"/>
    </row>
    <row r="34" spans="1:23" ht="18" x14ac:dyDescent="0.2">
      <c r="A34" s="2"/>
      <c r="B34" s="2" t="s">
        <v>161</v>
      </c>
      <c r="C34" s="2"/>
      <c r="D34" s="2" t="s">
        <v>162</v>
      </c>
      <c r="E34" s="70"/>
      <c r="H34" s="1"/>
      <c r="I34" s="21"/>
      <c r="J34" s="21"/>
      <c r="K34" s="21"/>
      <c r="L34" s="21"/>
      <c r="M34" s="71"/>
      <c r="S34" s="1"/>
      <c r="T34" s="22"/>
      <c r="U34" s="22"/>
      <c r="V34" s="22"/>
      <c r="W34" s="22"/>
    </row>
    <row r="35" spans="1:23" ht="18" x14ac:dyDescent="0.2">
      <c r="A35" s="2"/>
      <c r="B35" s="2" t="s">
        <v>164</v>
      </c>
      <c r="C35" s="2" t="s">
        <v>165</v>
      </c>
      <c r="D35" s="2" t="s">
        <v>164</v>
      </c>
      <c r="E35" s="2" t="s">
        <v>165</v>
      </c>
      <c r="F35" s="2" t="s">
        <v>166</v>
      </c>
      <c r="H35" s="1"/>
      <c r="I35" s="21"/>
      <c r="J35" s="21"/>
      <c r="K35" s="21"/>
      <c r="L35" s="21"/>
      <c r="M35" s="71"/>
      <c r="S35" s="1"/>
      <c r="T35" s="22"/>
      <c r="U35" s="22"/>
      <c r="V35" s="22"/>
      <c r="W35" s="22"/>
    </row>
    <row r="36" spans="1:23" ht="18" x14ac:dyDescent="0.2">
      <c r="A36" s="2" t="s">
        <v>69</v>
      </c>
      <c r="B36" s="3">
        <v>34</v>
      </c>
      <c r="C36" s="3">
        <v>0</v>
      </c>
      <c r="D36" s="3">
        <v>34</v>
      </c>
      <c r="E36" s="3">
        <v>9</v>
      </c>
      <c r="F36" s="36"/>
      <c r="H36" s="1"/>
      <c r="I36" s="21"/>
      <c r="J36" s="21"/>
      <c r="K36" s="21"/>
      <c r="L36" s="21"/>
      <c r="M36" s="71"/>
      <c r="S36" s="1"/>
      <c r="T36" s="22"/>
      <c r="U36" s="22"/>
      <c r="V36" s="22"/>
      <c r="W36" s="22"/>
    </row>
    <row r="37" spans="1:23" ht="18" x14ac:dyDescent="0.2">
      <c r="A37" s="2" t="s">
        <v>70</v>
      </c>
      <c r="B37" s="3">
        <v>8</v>
      </c>
      <c r="C37" s="3">
        <v>0</v>
      </c>
      <c r="D37" s="3">
        <v>8</v>
      </c>
      <c r="E37" s="3">
        <v>4</v>
      </c>
      <c r="F37" s="36"/>
      <c r="H37" s="1"/>
      <c r="I37" s="21"/>
      <c r="J37" s="21"/>
      <c r="K37" s="21"/>
      <c r="L37" s="21"/>
      <c r="M37" s="71"/>
      <c r="S37" s="1"/>
      <c r="T37" s="22"/>
      <c r="U37" s="22"/>
      <c r="V37" s="22"/>
      <c r="W37" s="22"/>
    </row>
    <row r="38" spans="1:23" ht="18" x14ac:dyDescent="0.2">
      <c r="A38" s="2" t="s">
        <v>71</v>
      </c>
      <c r="B38" s="3">
        <v>14</v>
      </c>
      <c r="C38" s="3">
        <v>0</v>
      </c>
      <c r="D38" s="3">
        <v>14</v>
      </c>
      <c r="E38" s="3">
        <v>5</v>
      </c>
      <c r="F38" s="36"/>
      <c r="H38" s="1"/>
      <c r="I38" s="21"/>
      <c r="J38" s="21"/>
      <c r="K38" s="21"/>
      <c r="L38" s="21"/>
      <c r="M38" s="71"/>
      <c r="S38" s="1"/>
      <c r="T38" s="22"/>
      <c r="U38" s="22"/>
      <c r="V38" s="22"/>
      <c r="W38" s="22"/>
    </row>
    <row r="39" spans="1:23" ht="18" x14ac:dyDescent="0.2">
      <c r="A39" s="2" t="s">
        <v>72</v>
      </c>
      <c r="B39" s="3">
        <v>68</v>
      </c>
      <c r="C39" s="3">
        <v>0</v>
      </c>
      <c r="D39" s="3">
        <v>68</v>
      </c>
      <c r="E39" s="3">
        <v>26</v>
      </c>
      <c r="F39" s="36"/>
      <c r="H39" s="1"/>
      <c r="I39" s="21"/>
      <c r="J39" s="21"/>
      <c r="K39" s="21"/>
      <c r="L39" s="21"/>
      <c r="M39" s="71"/>
      <c r="S39" s="1"/>
      <c r="T39" s="22"/>
      <c r="U39" s="22"/>
      <c r="V39" s="22"/>
      <c r="W39" s="22"/>
    </row>
    <row r="40" spans="1:23" ht="18" x14ac:dyDescent="0.2">
      <c r="A40" s="2" t="s">
        <v>73</v>
      </c>
      <c r="B40" s="3">
        <v>1030</v>
      </c>
      <c r="C40" s="3">
        <v>0</v>
      </c>
      <c r="D40" s="3">
        <v>1030</v>
      </c>
      <c r="E40" s="3">
        <v>524</v>
      </c>
      <c r="F40" s="36"/>
      <c r="H40" s="1"/>
      <c r="I40" s="21"/>
      <c r="J40" s="21"/>
      <c r="K40" s="21"/>
      <c r="L40" s="21"/>
      <c r="M40" s="71"/>
      <c r="S40" s="1"/>
      <c r="T40" s="22"/>
      <c r="U40" s="22"/>
      <c r="V40" s="22"/>
      <c r="W40" s="22"/>
    </row>
    <row r="41" spans="1:23" ht="18" x14ac:dyDescent="0.2">
      <c r="A41" s="2" t="s">
        <v>74</v>
      </c>
      <c r="B41" s="3">
        <v>1030</v>
      </c>
      <c r="C41" s="3">
        <v>1</v>
      </c>
      <c r="D41" s="3">
        <v>1030</v>
      </c>
      <c r="E41" s="3">
        <v>431</v>
      </c>
      <c r="F41" s="36"/>
      <c r="H41" s="1"/>
      <c r="I41" s="21"/>
      <c r="J41" s="21"/>
      <c r="K41" s="21"/>
      <c r="L41" s="21"/>
      <c r="M41" s="71"/>
      <c r="S41" s="1"/>
      <c r="T41" s="22"/>
      <c r="U41" s="22"/>
      <c r="V41" s="22"/>
      <c r="W41" s="22"/>
    </row>
    <row r="42" spans="1:23" ht="18" x14ac:dyDescent="0.2">
      <c r="A42" s="2" t="s">
        <v>75</v>
      </c>
      <c r="B42" s="3">
        <v>1336</v>
      </c>
      <c r="C42" s="3">
        <v>0</v>
      </c>
      <c r="D42" s="3">
        <v>1336</v>
      </c>
      <c r="E42" s="3">
        <v>1047</v>
      </c>
      <c r="F42" s="36"/>
      <c r="H42" s="1"/>
      <c r="I42" s="21"/>
      <c r="J42" s="21"/>
      <c r="K42" s="21"/>
      <c r="L42" s="21"/>
      <c r="M42" s="71"/>
      <c r="S42" s="1"/>
      <c r="T42" s="22"/>
      <c r="U42" s="22"/>
      <c r="V42" s="22"/>
      <c r="W42" s="22"/>
    </row>
    <row r="43" spans="1:23" ht="18" x14ac:dyDescent="0.2">
      <c r="A43" s="2" t="s">
        <v>76</v>
      </c>
      <c r="B43" s="3">
        <v>1300</v>
      </c>
      <c r="C43" s="3">
        <v>0</v>
      </c>
      <c r="D43" s="3">
        <v>1300</v>
      </c>
      <c r="E43" s="3">
        <v>844</v>
      </c>
      <c r="F43" s="36"/>
      <c r="H43" s="1"/>
      <c r="I43" s="21"/>
      <c r="J43" s="21"/>
      <c r="K43" s="21"/>
      <c r="L43" s="21"/>
      <c r="M43" s="71"/>
      <c r="S43" s="1"/>
      <c r="T43" s="22"/>
      <c r="U43" s="22"/>
      <c r="V43" s="22"/>
      <c r="W43" s="22"/>
    </row>
    <row r="44" spans="1:23" ht="18" x14ac:dyDescent="0.2">
      <c r="A44" s="2" t="s">
        <v>77</v>
      </c>
      <c r="B44" s="3">
        <v>20</v>
      </c>
      <c r="C44" s="3">
        <v>0</v>
      </c>
      <c r="D44" s="3">
        <v>20</v>
      </c>
      <c r="E44" s="3">
        <v>12</v>
      </c>
      <c r="F44" s="36"/>
      <c r="H44" s="1"/>
      <c r="I44" s="21"/>
      <c r="J44" s="21"/>
      <c r="K44" s="21"/>
      <c r="L44" s="21"/>
      <c r="M44" s="71"/>
      <c r="S44" s="1"/>
      <c r="T44" s="22"/>
      <c r="U44" s="22"/>
      <c r="V44" s="22"/>
      <c r="W44" s="22"/>
    </row>
    <row r="45" spans="1:23" ht="18" x14ac:dyDescent="0.2">
      <c r="A45" s="2" t="s">
        <v>78</v>
      </c>
      <c r="B45" s="3">
        <v>30</v>
      </c>
      <c r="C45" s="3">
        <v>0</v>
      </c>
      <c r="D45" s="3">
        <v>30</v>
      </c>
      <c r="E45" s="3">
        <v>12</v>
      </c>
      <c r="F45" s="36"/>
      <c r="H45" s="1"/>
      <c r="I45" s="21"/>
      <c r="J45" s="21"/>
      <c r="K45" s="21"/>
      <c r="L45" s="21"/>
      <c r="M45" s="71"/>
      <c r="S45" s="1"/>
      <c r="T45" s="22"/>
      <c r="U45" s="22"/>
      <c r="V45" s="22"/>
      <c r="W45" s="22"/>
    </row>
    <row r="46" spans="1:23" ht="18" x14ac:dyDescent="0.2">
      <c r="A46" s="2" t="s">
        <v>154</v>
      </c>
      <c r="B46" s="3">
        <v>2</v>
      </c>
      <c r="C46" s="3">
        <v>0</v>
      </c>
      <c r="D46" s="3">
        <v>2</v>
      </c>
      <c r="E46" s="3">
        <v>1</v>
      </c>
      <c r="F46" s="36"/>
      <c r="H46" s="1"/>
      <c r="I46" s="21"/>
      <c r="J46" s="21"/>
      <c r="K46" s="21"/>
      <c r="L46" s="21"/>
      <c r="M46" s="71"/>
      <c r="S46" s="1"/>
      <c r="T46" s="22"/>
      <c r="U46" s="22"/>
      <c r="V46" s="22"/>
      <c r="W46" s="22"/>
    </row>
    <row r="47" spans="1:23" ht="18" x14ac:dyDescent="0.2">
      <c r="A47" s="2" t="s">
        <v>79</v>
      </c>
      <c r="B47" s="3">
        <v>50</v>
      </c>
      <c r="C47" s="3">
        <v>0</v>
      </c>
      <c r="D47" s="3">
        <v>50</v>
      </c>
      <c r="E47" s="3">
        <v>17</v>
      </c>
      <c r="F47" s="36"/>
      <c r="H47" s="1"/>
      <c r="I47" s="21"/>
      <c r="J47" s="21"/>
      <c r="K47" s="21"/>
      <c r="L47" s="21"/>
      <c r="M47" s="71"/>
      <c r="S47" s="1"/>
      <c r="T47" s="22"/>
      <c r="U47" s="22"/>
      <c r="V47" s="22"/>
      <c r="W47" s="22"/>
    </row>
    <row r="48" spans="1:23" ht="18" x14ac:dyDescent="0.2">
      <c r="A48" s="2" t="s">
        <v>80</v>
      </c>
      <c r="B48" s="3">
        <v>40</v>
      </c>
      <c r="C48" s="3">
        <v>0</v>
      </c>
      <c r="D48" s="3">
        <v>40</v>
      </c>
      <c r="E48" s="3">
        <v>12</v>
      </c>
      <c r="F48" s="36"/>
    </row>
    <row r="49" spans="1:5" ht="18" x14ac:dyDescent="0.2">
      <c r="A49" s="1"/>
      <c r="B49" s="22"/>
      <c r="C49" s="22"/>
      <c r="D49" s="22"/>
      <c r="E49" s="22"/>
    </row>
    <row r="50" spans="1:5" ht="18" x14ac:dyDescent="0.2">
      <c r="A50" s="1"/>
      <c r="B50" s="22"/>
      <c r="C50" s="22"/>
      <c r="D50" s="22"/>
      <c r="E50" s="22"/>
    </row>
    <row r="51" spans="1:5" ht="18" x14ac:dyDescent="0.2">
      <c r="A51" s="1"/>
      <c r="B51" s="22"/>
      <c r="C51" s="22"/>
      <c r="D51" s="22"/>
      <c r="E51" s="22"/>
    </row>
    <row r="52" spans="1:5" ht="18" x14ac:dyDescent="0.2">
      <c r="A52" s="1"/>
      <c r="B52" s="22"/>
      <c r="C52" s="22"/>
      <c r="D52" s="22"/>
      <c r="E52" s="22"/>
    </row>
    <row r="53" spans="1:5" ht="18" x14ac:dyDescent="0.2">
      <c r="A53" s="1"/>
      <c r="B53" s="22"/>
      <c r="C53" s="22"/>
      <c r="D53" s="22"/>
      <c r="E53" s="22"/>
    </row>
    <row r="54" spans="1:5" ht="18" x14ac:dyDescent="0.2">
      <c r="A54" s="1"/>
      <c r="B54" s="22"/>
      <c r="C54" s="22"/>
      <c r="D54" s="22"/>
      <c r="E54" s="22"/>
    </row>
    <row r="56" spans="1:5" ht="18" x14ac:dyDescent="0.2">
      <c r="A56" s="193" t="s">
        <v>173</v>
      </c>
      <c r="B56" s="193"/>
      <c r="C56" s="193"/>
      <c r="D56" s="193"/>
    </row>
    <row r="58" spans="1:5" ht="18" x14ac:dyDescent="0.2">
      <c r="A58" s="2" t="s">
        <v>103</v>
      </c>
      <c r="B58" s="2" t="s">
        <v>167</v>
      </c>
      <c r="C58" s="2" t="s">
        <v>161</v>
      </c>
      <c r="D58" s="2" t="s">
        <v>168</v>
      </c>
    </row>
    <row r="59" spans="1:5" ht="18" x14ac:dyDescent="0.2">
      <c r="A59" s="12" t="s">
        <v>69</v>
      </c>
      <c r="B59" s="3">
        <v>9151284</v>
      </c>
      <c r="C59" s="3">
        <v>24785460</v>
      </c>
      <c r="D59" s="20">
        <f>(C59/B59)</f>
        <v>2.7084133767458205</v>
      </c>
    </row>
    <row r="60" spans="1:5" ht="18" x14ac:dyDescent="0.2">
      <c r="A60" s="12" t="s">
        <v>70</v>
      </c>
      <c r="B60" s="3">
        <v>1503894</v>
      </c>
      <c r="C60" s="3">
        <v>1608768</v>
      </c>
      <c r="D60" s="20">
        <f t="shared" ref="D60:D72" si="3">(C60/B60)</f>
        <v>1.0697349680230122</v>
      </c>
    </row>
    <row r="61" spans="1:5" ht="18" x14ac:dyDescent="0.2">
      <c r="A61" s="12" t="s">
        <v>71</v>
      </c>
      <c r="B61" s="3">
        <v>536903782</v>
      </c>
      <c r="C61" s="3">
        <v>1610727554</v>
      </c>
      <c r="D61" s="20">
        <f t="shared" si="3"/>
        <v>3.0000301879043199</v>
      </c>
    </row>
    <row r="62" spans="1:5" ht="18" x14ac:dyDescent="0.2">
      <c r="A62" s="12" t="s">
        <v>72</v>
      </c>
      <c r="B62" s="3">
        <v>1921866</v>
      </c>
      <c r="C62" s="3">
        <v>3316631</v>
      </c>
      <c r="D62" s="20">
        <f t="shared" si="3"/>
        <v>1.7257347806766965</v>
      </c>
    </row>
    <row r="63" spans="1:5" ht="18" x14ac:dyDescent="0.2">
      <c r="A63" s="12" t="s">
        <v>73</v>
      </c>
      <c r="B63" s="3">
        <v>12569914</v>
      </c>
      <c r="C63" s="3">
        <v>1469501138</v>
      </c>
      <c r="D63" s="20">
        <f t="shared" si="3"/>
        <v>116.90622051988582</v>
      </c>
    </row>
    <row r="64" spans="1:5" ht="18" x14ac:dyDescent="0.2">
      <c r="A64" s="12" t="s">
        <v>74</v>
      </c>
      <c r="B64" s="3">
        <v>1438610487</v>
      </c>
      <c r="C64" s="3">
        <v>1469370062</v>
      </c>
      <c r="D64" s="20">
        <f t="shared" si="3"/>
        <v>1.0213814477775318</v>
      </c>
    </row>
    <row r="65" spans="1:4" ht="18" x14ac:dyDescent="0.2">
      <c r="A65" s="12" t="s">
        <v>75</v>
      </c>
      <c r="B65" s="3">
        <v>16786581</v>
      </c>
      <c r="C65" s="3">
        <v>16792209</v>
      </c>
      <c r="D65" s="20">
        <f t="shared" si="3"/>
        <v>1.0003352677951514</v>
      </c>
    </row>
    <row r="66" spans="1:4" ht="18" x14ac:dyDescent="0.2">
      <c r="A66" s="12" t="s">
        <v>76</v>
      </c>
      <c r="B66" s="3">
        <v>21394</v>
      </c>
      <c r="C66" s="3">
        <v>22208</v>
      </c>
      <c r="D66" s="20">
        <f t="shared" si="3"/>
        <v>1.03804805085538</v>
      </c>
    </row>
    <row r="67" spans="1:4" ht="18" x14ac:dyDescent="0.2">
      <c r="A67" s="12" t="s">
        <v>77</v>
      </c>
      <c r="B67" s="3">
        <v>22599085</v>
      </c>
      <c r="C67" s="3">
        <v>33546485</v>
      </c>
      <c r="D67" s="20">
        <f t="shared" si="3"/>
        <v>1.4844178425807948</v>
      </c>
    </row>
    <row r="68" spans="1:4" ht="18" x14ac:dyDescent="0.2">
      <c r="A68" s="12" t="s">
        <v>78</v>
      </c>
      <c r="B68" s="3">
        <v>276145915</v>
      </c>
      <c r="C68" s="3">
        <v>368194532</v>
      </c>
      <c r="D68" s="20">
        <f t="shared" si="3"/>
        <v>1.3333332560794897</v>
      </c>
    </row>
    <row r="69" spans="1:4" ht="18" x14ac:dyDescent="0.2">
      <c r="A69" s="12" t="s">
        <v>154</v>
      </c>
      <c r="B69" s="3">
        <v>149675846</v>
      </c>
      <c r="C69" s="3">
        <v>280617280</v>
      </c>
      <c r="D69" s="20">
        <f t="shared" si="3"/>
        <v>1.8748334317081461</v>
      </c>
    </row>
    <row r="70" spans="1:4" ht="18" x14ac:dyDescent="0.2">
      <c r="A70" s="12" t="s">
        <v>79</v>
      </c>
      <c r="B70" s="3">
        <v>115148051</v>
      </c>
      <c r="C70" s="3">
        <v>158703325</v>
      </c>
      <c r="D70" s="20">
        <f t="shared" si="3"/>
        <v>1.3782545481382051</v>
      </c>
    </row>
    <row r="71" spans="1:4" ht="18" x14ac:dyDescent="0.2">
      <c r="A71" s="12" t="s">
        <v>80</v>
      </c>
      <c r="B71" s="3">
        <v>19226156</v>
      </c>
      <c r="C71" s="3">
        <v>23740995</v>
      </c>
      <c r="D71" s="20">
        <f t="shared" si="3"/>
        <v>1.2348279604097667</v>
      </c>
    </row>
    <row r="72" spans="1:4" ht="18" x14ac:dyDescent="0.2">
      <c r="A72" s="12" t="s">
        <v>177</v>
      </c>
      <c r="B72" s="3">
        <v>16011</v>
      </c>
      <c r="C72" s="3">
        <v>20125</v>
      </c>
      <c r="D72" s="20">
        <f t="shared" si="3"/>
        <v>1.2569483480107426</v>
      </c>
    </row>
    <row r="74" spans="1:4" ht="18" x14ac:dyDescent="0.2">
      <c r="A74" s="193" t="s">
        <v>174</v>
      </c>
      <c r="B74" s="193"/>
      <c r="C74" s="193"/>
      <c r="D74" s="193"/>
    </row>
    <row r="75" spans="1:4" ht="18" x14ac:dyDescent="0.2">
      <c r="A75" s="2" t="s">
        <v>103</v>
      </c>
      <c r="B75" s="2" t="s">
        <v>167</v>
      </c>
      <c r="C75" s="2" t="s">
        <v>161</v>
      </c>
      <c r="D75" s="2" t="s">
        <v>168</v>
      </c>
    </row>
    <row r="76" spans="1:4" ht="18" x14ac:dyDescent="0.2">
      <c r="A76" s="12" t="s">
        <v>69</v>
      </c>
      <c r="B76" s="12">
        <v>11820</v>
      </c>
      <c r="C76" s="12">
        <v>11820</v>
      </c>
      <c r="D76" s="20">
        <f>(C76/B76)</f>
        <v>1</v>
      </c>
    </row>
    <row r="77" spans="1:4" ht="18" x14ac:dyDescent="0.2">
      <c r="A77" s="12" t="s">
        <v>70</v>
      </c>
      <c r="B77" s="12">
        <v>42</v>
      </c>
      <c r="C77" s="12">
        <v>42</v>
      </c>
      <c r="D77" s="20">
        <f t="shared" ref="D77:D89" si="4">(C77/B77)</f>
        <v>1</v>
      </c>
    </row>
    <row r="78" spans="1:4" ht="18" x14ac:dyDescent="0.2">
      <c r="A78" s="12" t="s">
        <v>71</v>
      </c>
      <c r="B78" s="12">
        <v>12</v>
      </c>
      <c r="C78" s="12">
        <v>12</v>
      </c>
      <c r="D78" s="20">
        <f t="shared" si="4"/>
        <v>1</v>
      </c>
    </row>
    <row r="79" spans="1:4" ht="18" x14ac:dyDescent="0.2">
      <c r="A79" s="12" t="s">
        <v>72</v>
      </c>
      <c r="B79" s="12">
        <v>23351</v>
      </c>
      <c r="C79" s="12">
        <v>23351</v>
      </c>
      <c r="D79" s="20">
        <f t="shared" si="4"/>
        <v>1</v>
      </c>
    </row>
    <row r="80" spans="1:4" ht="18" x14ac:dyDescent="0.2">
      <c r="A80" s="12" t="s">
        <v>73</v>
      </c>
      <c r="B80" s="12">
        <v>1028</v>
      </c>
      <c r="C80" s="12">
        <v>1028</v>
      </c>
      <c r="D80" s="20">
        <f t="shared" si="4"/>
        <v>1</v>
      </c>
    </row>
    <row r="81" spans="1:4" ht="18" x14ac:dyDescent="0.2">
      <c r="A81" s="12" t="s">
        <v>74</v>
      </c>
      <c r="B81" s="12">
        <v>518</v>
      </c>
      <c r="C81" s="12">
        <v>518</v>
      </c>
      <c r="D81" s="20">
        <f t="shared" si="4"/>
        <v>1</v>
      </c>
    </row>
    <row r="82" spans="1:4" ht="18" x14ac:dyDescent="0.2">
      <c r="A82" s="12" t="s">
        <v>75</v>
      </c>
      <c r="B82" s="12">
        <v>1324</v>
      </c>
      <c r="C82" s="12">
        <v>1324</v>
      </c>
      <c r="D82" s="20">
        <f t="shared" si="4"/>
        <v>1</v>
      </c>
    </row>
    <row r="83" spans="1:4" ht="18" x14ac:dyDescent="0.2">
      <c r="A83" s="12" t="s">
        <v>76</v>
      </c>
      <c r="B83" s="12">
        <v>1293</v>
      </c>
      <c r="C83" s="12">
        <v>1293</v>
      </c>
      <c r="D83" s="20">
        <f t="shared" si="4"/>
        <v>1</v>
      </c>
    </row>
    <row r="84" spans="1:4" ht="18" x14ac:dyDescent="0.2">
      <c r="A84" s="12" t="s">
        <v>77</v>
      </c>
      <c r="B84" s="12">
        <v>8</v>
      </c>
      <c r="C84" s="12">
        <v>8</v>
      </c>
      <c r="D84" s="20">
        <f t="shared" si="4"/>
        <v>1</v>
      </c>
    </row>
    <row r="85" spans="1:4" ht="18" x14ac:dyDescent="0.2">
      <c r="A85" s="12" t="s">
        <v>78</v>
      </c>
      <c r="B85" s="12">
        <v>26</v>
      </c>
      <c r="C85" s="12">
        <v>26</v>
      </c>
      <c r="D85" s="20">
        <f t="shared" si="4"/>
        <v>1</v>
      </c>
    </row>
    <row r="86" spans="1:4" ht="18" x14ac:dyDescent="0.2">
      <c r="A86" s="12" t="s">
        <v>154</v>
      </c>
      <c r="B86" s="12">
        <v>0</v>
      </c>
      <c r="C86" s="12">
        <v>0</v>
      </c>
      <c r="D86" s="20" t="e">
        <f t="shared" si="4"/>
        <v>#DIV/0!</v>
      </c>
    </row>
    <row r="87" spans="1:4" ht="18" x14ac:dyDescent="0.2">
      <c r="A87" s="12" t="s">
        <v>79</v>
      </c>
      <c r="B87" s="12">
        <v>42</v>
      </c>
      <c r="C87" s="12">
        <v>42</v>
      </c>
      <c r="D87" s="20">
        <f t="shared" si="4"/>
        <v>1</v>
      </c>
    </row>
    <row r="88" spans="1:4" ht="18" x14ac:dyDescent="0.2">
      <c r="A88" s="12" t="s">
        <v>80</v>
      </c>
      <c r="B88" s="12">
        <v>38</v>
      </c>
      <c r="C88" s="12">
        <v>38</v>
      </c>
      <c r="D88" s="20">
        <f t="shared" si="4"/>
        <v>1</v>
      </c>
    </row>
    <row r="89" spans="1:4" ht="18" x14ac:dyDescent="0.2">
      <c r="A89" s="12" t="s">
        <v>176</v>
      </c>
      <c r="B89" s="12">
        <v>16000</v>
      </c>
      <c r="C89" s="12">
        <v>16000</v>
      </c>
      <c r="D89" s="20">
        <f t="shared" si="4"/>
        <v>1</v>
      </c>
    </row>
    <row r="92" spans="1:4" ht="18" x14ac:dyDescent="0.2">
      <c r="A92" s="193" t="s">
        <v>175</v>
      </c>
      <c r="B92" s="193"/>
      <c r="C92" s="193"/>
      <c r="D92" s="193"/>
    </row>
    <row r="93" spans="1:4" ht="18" x14ac:dyDescent="0.2">
      <c r="A93" s="2" t="s">
        <v>103</v>
      </c>
      <c r="C93" s="2"/>
      <c r="D93" s="2"/>
    </row>
    <row r="94" spans="1:4" ht="18" x14ac:dyDescent="0.2">
      <c r="A94" s="12" t="s">
        <v>69</v>
      </c>
      <c r="B94" s="2">
        <v>16</v>
      </c>
      <c r="C94" s="12"/>
      <c r="D94" s="20"/>
    </row>
    <row r="95" spans="1:4" ht="18" x14ac:dyDescent="0.2">
      <c r="A95" s="12" t="s">
        <v>70</v>
      </c>
      <c r="B95" s="12">
        <v>9</v>
      </c>
      <c r="C95" s="12"/>
      <c r="D95" s="20"/>
    </row>
    <row r="96" spans="1:4" ht="18" x14ac:dyDescent="0.2">
      <c r="A96" s="12" t="s">
        <v>71</v>
      </c>
      <c r="B96" s="12">
        <v>14</v>
      </c>
      <c r="C96" s="12"/>
      <c r="D96" s="20"/>
    </row>
    <row r="97" spans="1:4" ht="18" x14ac:dyDescent="0.2">
      <c r="A97" s="12" t="s">
        <v>72</v>
      </c>
      <c r="B97" s="12">
        <v>36</v>
      </c>
      <c r="C97" s="12"/>
      <c r="D97" s="20"/>
    </row>
    <row r="98" spans="1:4" ht="18" x14ac:dyDescent="0.2">
      <c r="A98" s="12" t="s">
        <v>73</v>
      </c>
      <c r="B98" s="12">
        <v>14</v>
      </c>
      <c r="C98" s="12"/>
      <c r="D98" s="20"/>
    </row>
    <row r="99" spans="1:4" ht="18" x14ac:dyDescent="0.2">
      <c r="A99" s="12" t="s">
        <v>74</v>
      </c>
      <c r="B99" s="12">
        <v>12</v>
      </c>
      <c r="C99" s="12"/>
      <c r="D99" s="20"/>
    </row>
    <row r="100" spans="1:4" ht="18" x14ac:dyDescent="0.2">
      <c r="A100" s="12" t="s">
        <v>75</v>
      </c>
      <c r="B100" s="12">
        <v>94</v>
      </c>
      <c r="C100" s="12"/>
      <c r="D100" s="20"/>
    </row>
    <row r="101" spans="1:4" ht="18" x14ac:dyDescent="0.2">
      <c r="A101" s="12" t="s">
        <v>76</v>
      </c>
      <c r="B101" s="12">
        <v>100</v>
      </c>
      <c r="C101" s="12"/>
      <c r="D101" s="20"/>
    </row>
    <row r="102" spans="1:4" ht="18" x14ac:dyDescent="0.2">
      <c r="A102" s="12" t="s">
        <v>77</v>
      </c>
      <c r="B102" s="12">
        <v>14</v>
      </c>
      <c r="C102" s="12"/>
      <c r="D102" s="20"/>
    </row>
    <row r="103" spans="1:4" ht="18" x14ac:dyDescent="0.2">
      <c r="A103" s="12" t="s">
        <v>78</v>
      </c>
      <c r="B103" s="12">
        <v>14</v>
      </c>
      <c r="C103" s="12"/>
      <c r="D103" s="20"/>
    </row>
    <row r="104" spans="1:4" ht="18" x14ac:dyDescent="0.2">
      <c r="A104" s="12" t="s">
        <v>154</v>
      </c>
      <c r="B104" s="12">
        <v>2</v>
      </c>
      <c r="C104" s="12"/>
      <c r="D104" s="20"/>
    </row>
    <row r="105" spans="1:4" ht="18" x14ac:dyDescent="0.2">
      <c r="A105" s="12" t="s">
        <v>79</v>
      </c>
      <c r="B105" s="12">
        <v>26</v>
      </c>
      <c r="C105" s="12"/>
      <c r="D105" s="20"/>
    </row>
    <row r="106" spans="1:4" ht="18" x14ac:dyDescent="0.2">
      <c r="A106" s="12" t="s">
        <v>80</v>
      </c>
      <c r="B106" s="12">
        <v>24</v>
      </c>
      <c r="C106" s="12"/>
      <c r="D106" s="20"/>
    </row>
    <row r="107" spans="1:4" ht="18" x14ac:dyDescent="0.2">
      <c r="A107" s="12" t="s">
        <v>176</v>
      </c>
      <c r="B107" s="12">
        <v>4</v>
      </c>
      <c r="C107" s="12"/>
      <c r="D107" s="20"/>
    </row>
    <row r="116" spans="1:6" x14ac:dyDescent="0.2">
      <c r="A116" s="8" t="s">
        <v>218</v>
      </c>
      <c r="B116" s="8" t="s">
        <v>216</v>
      </c>
      <c r="C116" s="8" t="s">
        <v>217</v>
      </c>
    </row>
    <row r="117" spans="1:6" x14ac:dyDescent="0.2">
      <c r="A117" s="72" t="s">
        <v>178</v>
      </c>
      <c r="B117" s="8">
        <v>0</v>
      </c>
      <c r="C117" s="8">
        <v>0</v>
      </c>
    </row>
    <row r="118" spans="1:6" x14ac:dyDescent="0.2">
      <c r="A118" s="8" t="s">
        <v>179</v>
      </c>
      <c r="B118" s="8">
        <v>0</v>
      </c>
      <c r="C118" s="8">
        <v>0</v>
      </c>
    </row>
    <row r="119" spans="1:6" x14ac:dyDescent="0.2">
      <c r="A119" s="8" t="s">
        <v>180</v>
      </c>
      <c r="B119" s="8">
        <v>0</v>
      </c>
      <c r="C119" s="8">
        <v>0</v>
      </c>
      <c r="E119" t="s">
        <v>214</v>
      </c>
      <c r="F119" t="s">
        <v>215</v>
      </c>
    </row>
    <row r="120" spans="1:6" x14ac:dyDescent="0.2">
      <c r="A120" s="8" t="s">
        <v>181</v>
      </c>
      <c r="B120" s="8">
        <v>0</v>
      </c>
      <c r="C120" s="8">
        <v>0</v>
      </c>
      <c r="E120">
        <v>7959</v>
      </c>
      <c r="F120" s="73">
        <v>138072</v>
      </c>
    </row>
    <row r="121" spans="1:6" x14ac:dyDescent="0.2">
      <c r="A121" s="8" t="s">
        <v>182</v>
      </c>
      <c r="B121" s="8">
        <v>0</v>
      </c>
      <c r="C121" s="8">
        <v>0</v>
      </c>
    </row>
    <row r="122" spans="1:6" x14ac:dyDescent="0.2">
      <c r="A122" s="8" t="s">
        <v>183</v>
      </c>
      <c r="B122" s="8">
        <v>0</v>
      </c>
      <c r="C122" s="8">
        <v>0</v>
      </c>
    </row>
    <row r="123" spans="1:6" x14ac:dyDescent="0.2">
      <c r="A123" s="8" t="s">
        <v>184</v>
      </c>
      <c r="B123" s="8">
        <v>0</v>
      </c>
      <c r="C123" s="8">
        <v>1</v>
      </c>
    </row>
    <row r="124" spans="1:6" x14ac:dyDescent="0.2">
      <c r="A124" s="8" t="s">
        <v>185</v>
      </c>
      <c r="B124" s="8">
        <v>0</v>
      </c>
      <c r="C124" s="8">
        <v>1</v>
      </c>
    </row>
    <row r="125" spans="1:6" x14ac:dyDescent="0.2">
      <c r="A125" s="8" t="s">
        <v>186</v>
      </c>
      <c r="B125" s="8">
        <v>0</v>
      </c>
      <c r="C125" s="8">
        <v>1</v>
      </c>
    </row>
    <row r="126" spans="1:6" x14ac:dyDescent="0.2">
      <c r="A126" s="8" t="s">
        <v>187</v>
      </c>
      <c r="B126" s="8">
        <v>1</v>
      </c>
      <c r="C126" s="8">
        <v>1</v>
      </c>
    </row>
    <row r="127" spans="1:6" x14ac:dyDescent="0.2">
      <c r="A127" s="8" t="s">
        <v>188</v>
      </c>
      <c r="B127" s="8">
        <v>3</v>
      </c>
      <c r="C127" s="8">
        <v>1</v>
      </c>
    </row>
    <row r="128" spans="1:6" x14ac:dyDescent="0.2">
      <c r="A128" s="8" t="s">
        <v>189</v>
      </c>
      <c r="B128" s="8">
        <v>8</v>
      </c>
      <c r="C128" s="8">
        <v>1</v>
      </c>
    </row>
    <row r="129" spans="1:3" x14ac:dyDescent="0.2">
      <c r="A129" s="8" t="s">
        <v>190</v>
      </c>
      <c r="B129" s="8">
        <v>0</v>
      </c>
      <c r="C129" s="8">
        <v>5</v>
      </c>
    </row>
    <row r="130" spans="1:3" x14ac:dyDescent="0.2">
      <c r="A130" s="8" t="s">
        <v>191</v>
      </c>
      <c r="B130" s="8">
        <v>1</v>
      </c>
      <c r="C130" s="8">
        <v>5</v>
      </c>
    </row>
    <row r="131" spans="1:3" x14ac:dyDescent="0.2">
      <c r="A131" s="8" t="s">
        <v>192</v>
      </c>
      <c r="B131" s="8">
        <v>1</v>
      </c>
      <c r="C131" s="8">
        <v>5</v>
      </c>
    </row>
    <row r="132" spans="1:3" x14ac:dyDescent="0.2">
      <c r="A132" s="8" t="s">
        <v>193</v>
      </c>
      <c r="B132" s="8">
        <v>3</v>
      </c>
      <c r="C132" s="8">
        <v>5</v>
      </c>
    </row>
    <row r="133" spans="1:3" x14ac:dyDescent="0.2">
      <c r="A133" s="8" t="s">
        <v>194</v>
      </c>
      <c r="B133" s="8">
        <v>8</v>
      </c>
      <c r="C133" s="8">
        <v>5</v>
      </c>
    </row>
    <row r="134" spans="1:3" x14ac:dyDescent="0.2">
      <c r="A134" s="8" t="s">
        <v>195</v>
      </c>
      <c r="B134" s="8">
        <v>17</v>
      </c>
      <c r="C134" s="8">
        <v>5</v>
      </c>
    </row>
    <row r="135" spans="1:3" x14ac:dyDescent="0.2">
      <c r="A135" s="8" t="s">
        <v>196</v>
      </c>
      <c r="B135" s="8">
        <v>0</v>
      </c>
      <c r="C135" s="8">
        <v>19</v>
      </c>
    </row>
    <row r="136" spans="1:3" x14ac:dyDescent="0.2">
      <c r="A136" s="8" t="s">
        <v>197</v>
      </c>
      <c r="B136" s="8">
        <v>2</v>
      </c>
      <c r="C136" s="8">
        <v>20</v>
      </c>
    </row>
    <row r="137" spans="1:3" x14ac:dyDescent="0.2">
      <c r="A137" s="8" t="s">
        <v>198</v>
      </c>
      <c r="B137" s="8">
        <v>3</v>
      </c>
      <c r="C137" s="8">
        <v>20</v>
      </c>
    </row>
    <row r="138" spans="1:3" x14ac:dyDescent="0.2">
      <c r="A138" s="8" t="s">
        <v>199</v>
      </c>
      <c r="B138" s="8">
        <v>7</v>
      </c>
      <c r="C138" s="8">
        <v>19</v>
      </c>
    </row>
    <row r="139" spans="1:3" x14ac:dyDescent="0.2">
      <c r="A139" s="8" t="s">
        <v>200</v>
      </c>
      <c r="B139" s="8">
        <v>19</v>
      </c>
      <c r="C139" s="8">
        <v>19</v>
      </c>
    </row>
    <row r="140" spans="1:3" x14ac:dyDescent="0.2">
      <c r="A140" s="8" t="s">
        <v>201</v>
      </c>
      <c r="B140" s="8">
        <v>33</v>
      </c>
      <c r="C140" s="8">
        <v>20</v>
      </c>
    </row>
    <row r="141" spans="1:3" x14ac:dyDescent="0.2">
      <c r="A141" s="8" t="s">
        <v>202</v>
      </c>
      <c r="B141" s="8">
        <v>0</v>
      </c>
      <c r="C141" s="8">
        <v>85</v>
      </c>
    </row>
    <row r="142" spans="1:3" x14ac:dyDescent="0.2">
      <c r="A142" s="8" t="s">
        <v>203</v>
      </c>
      <c r="B142" s="8">
        <v>3</v>
      </c>
      <c r="C142" s="8">
        <v>85</v>
      </c>
    </row>
    <row r="143" spans="1:3" x14ac:dyDescent="0.2">
      <c r="A143" s="8" t="s">
        <v>204</v>
      </c>
      <c r="B143" s="8">
        <v>8</v>
      </c>
      <c r="C143" s="8">
        <v>85</v>
      </c>
    </row>
    <row r="144" spans="1:3" x14ac:dyDescent="0.2">
      <c r="A144" s="8" t="s">
        <v>205</v>
      </c>
      <c r="B144" s="8">
        <v>16</v>
      </c>
      <c r="C144" s="8">
        <v>85</v>
      </c>
    </row>
    <row r="145" spans="1:3" x14ac:dyDescent="0.2">
      <c r="A145" s="8" t="s">
        <v>206</v>
      </c>
      <c r="B145" s="8">
        <v>34</v>
      </c>
      <c r="C145" s="8">
        <v>85</v>
      </c>
    </row>
    <row r="146" spans="1:3" x14ac:dyDescent="0.2">
      <c r="A146" s="8" t="s">
        <v>207</v>
      </c>
      <c r="B146" s="8">
        <v>67</v>
      </c>
      <c r="C146" s="8">
        <v>85</v>
      </c>
    </row>
    <row r="147" spans="1:3" x14ac:dyDescent="0.2">
      <c r="A147" s="8" t="s">
        <v>208</v>
      </c>
      <c r="B147" s="8">
        <v>0</v>
      </c>
      <c r="C147" s="8">
        <v>350</v>
      </c>
    </row>
    <row r="148" spans="1:3" x14ac:dyDescent="0.2">
      <c r="A148" s="8" t="s">
        <v>209</v>
      </c>
      <c r="B148" s="8">
        <v>8</v>
      </c>
      <c r="C148" s="8">
        <v>350</v>
      </c>
    </row>
    <row r="149" spans="1:3" x14ac:dyDescent="0.2">
      <c r="A149" s="8" t="s">
        <v>210</v>
      </c>
      <c r="B149" s="8">
        <v>20</v>
      </c>
      <c r="C149" s="8">
        <v>348</v>
      </c>
    </row>
    <row r="150" spans="1:3" x14ac:dyDescent="0.2">
      <c r="A150" s="8" t="s">
        <v>211</v>
      </c>
      <c r="B150" s="8">
        <v>42</v>
      </c>
      <c r="C150" s="8">
        <v>350</v>
      </c>
    </row>
    <row r="151" spans="1:3" x14ac:dyDescent="0.2">
      <c r="A151" s="8" t="s">
        <v>212</v>
      </c>
      <c r="B151" s="8">
        <v>87</v>
      </c>
      <c r="C151" s="8">
        <v>355</v>
      </c>
    </row>
    <row r="152" spans="1:3" x14ac:dyDescent="0.2">
      <c r="A152" s="8" t="s">
        <v>213</v>
      </c>
      <c r="B152" s="8">
        <v>130</v>
      </c>
      <c r="C152" s="8">
        <v>350</v>
      </c>
    </row>
    <row r="163" spans="1:6" ht="18" x14ac:dyDescent="0.2">
      <c r="A163" s="2" t="s">
        <v>228</v>
      </c>
      <c r="B163" s="6" t="s">
        <v>86</v>
      </c>
      <c r="C163" s="6" t="s">
        <v>219</v>
      </c>
      <c r="D163" s="6" t="s">
        <v>220</v>
      </c>
      <c r="E163" s="6" t="s">
        <v>171</v>
      </c>
      <c r="F163" s="6" t="s">
        <v>172</v>
      </c>
    </row>
    <row r="164" spans="1:6" ht="18" x14ac:dyDescent="0.2">
      <c r="A164" s="12" t="s">
        <v>69</v>
      </c>
      <c r="B164" s="3">
        <v>21</v>
      </c>
      <c r="C164" s="3">
        <v>23</v>
      </c>
      <c r="D164" s="3">
        <v>27</v>
      </c>
      <c r="E164" s="3">
        <v>26</v>
      </c>
      <c r="F164" s="3">
        <v>31</v>
      </c>
    </row>
    <row r="165" spans="1:6" ht="18" x14ac:dyDescent="0.2">
      <c r="A165" s="12" t="s">
        <v>70</v>
      </c>
      <c r="B165" s="3">
        <v>27</v>
      </c>
      <c r="C165" s="3">
        <v>24</v>
      </c>
      <c r="D165" s="3">
        <v>24</v>
      </c>
      <c r="E165" s="3">
        <v>23</v>
      </c>
      <c r="F165" s="3">
        <v>23</v>
      </c>
    </row>
    <row r="166" spans="1:6" ht="18" x14ac:dyDescent="0.2">
      <c r="A166" s="12" t="s">
        <v>71</v>
      </c>
      <c r="B166" s="3">
        <v>5657</v>
      </c>
      <c r="C166" s="3">
        <v>6074</v>
      </c>
      <c r="D166" s="3">
        <v>6277</v>
      </c>
      <c r="E166" s="3">
        <v>5956</v>
      </c>
      <c r="F166" s="3">
        <v>6304</v>
      </c>
    </row>
    <row r="167" spans="1:6" ht="18" x14ac:dyDescent="0.2">
      <c r="A167" s="12" t="s">
        <v>72</v>
      </c>
      <c r="B167" s="3">
        <v>42</v>
      </c>
      <c r="C167" s="3">
        <v>42</v>
      </c>
      <c r="D167" s="3">
        <v>42</v>
      </c>
      <c r="E167" s="3">
        <v>42</v>
      </c>
      <c r="F167" s="3">
        <v>43</v>
      </c>
    </row>
    <row r="168" spans="1:6" ht="18" x14ac:dyDescent="0.2">
      <c r="A168" s="12" t="s">
        <v>73</v>
      </c>
      <c r="B168" s="3">
        <v>3003</v>
      </c>
      <c r="C168" s="3">
        <v>2970</v>
      </c>
      <c r="D168" s="3">
        <v>3320</v>
      </c>
      <c r="E168" s="3">
        <v>3203</v>
      </c>
      <c r="F168" s="3">
        <v>3497</v>
      </c>
    </row>
    <row r="169" spans="1:6" ht="18" x14ac:dyDescent="0.2">
      <c r="A169" s="12" t="s">
        <v>74</v>
      </c>
      <c r="B169" s="3">
        <v>3998</v>
      </c>
      <c r="C169" s="3">
        <v>4377</v>
      </c>
      <c r="D169" s="3">
        <v>4313</v>
      </c>
      <c r="E169" s="3">
        <v>4766</v>
      </c>
      <c r="F169" s="3">
        <v>4572</v>
      </c>
    </row>
    <row r="170" spans="1:6" ht="18" x14ac:dyDescent="0.2">
      <c r="A170" s="12" t="s">
        <v>75</v>
      </c>
      <c r="B170" s="3">
        <v>3716</v>
      </c>
      <c r="C170" s="3">
        <v>3558</v>
      </c>
      <c r="D170" s="3">
        <v>3288</v>
      </c>
      <c r="E170" s="3">
        <v>3766</v>
      </c>
      <c r="F170" s="3">
        <v>3144</v>
      </c>
    </row>
    <row r="171" spans="1:6" ht="18" x14ac:dyDescent="0.2">
      <c r="A171" s="12" t="s">
        <v>76</v>
      </c>
      <c r="B171" s="3">
        <v>5512</v>
      </c>
      <c r="C171" s="3">
        <v>5589</v>
      </c>
      <c r="D171" s="3">
        <v>5159</v>
      </c>
      <c r="E171" s="3">
        <v>5635</v>
      </c>
      <c r="F171" s="3">
        <v>5637</v>
      </c>
    </row>
    <row r="172" spans="1:6" ht="18" x14ac:dyDescent="0.2">
      <c r="A172" s="12" t="s">
        <v>77</v>
      </c>
      <c r="B172" s="3">
        <v>33</v>
      </c>
      <c r="C172" s="3">
        <v>37</v>
      </c>
      <c r="D172" s="3">
        <v>40</v>
      </c>
      <c r="E172" s="3">
        <v>45</v>
      </c>
      <c r="F172" s="3">
        <v>50</v>
      </c>
    </row>
    <row r="173" spans="1:6" ht="18" x14ac:dyDescent="0.2">
      <c r="A173" s="12" t="s">
        <v>78</v>
      </c>
      <c r="B173" s="3">
        <v>976</v>
      </c>
      <c r="C173" s="3">
        <v>1108</v>
      </c>
      <c r="D173" s="3">
        <v>1067</v>
      </c>
      <c r="E173" s="3">
        <v>1157</v>
      </c>
      <c r="F173" s="3">
        <v>1127</v>
      </c>
    </row>
    <row r="174" spans="1:6" ht="18" x14ac:dyDescent="0.2">
      <c r="A174" s="12" t="s">
        <v>154</v>
      </c>
      <c r="B174" s="3">
        <v>5916</v>
      </c>
      <c r="C174" s="3">
        <v>5991</v>
      </c>
      <c r="D174" s="3">
        <v>6265</v>
      </c>
      <c r="E174" s="3">
        <v>6765</v>
      </c>
      <c r="F174" s="3">
        <v>7560</v>
      </c>
    </row>
    <row r="175" spans="1:6" ht="18" x14ac:dyDescent="0.2">
      <c r="A175" s="12" t="s">
        <v>79</v>
      </c>
      <c r="B175" s="3">
        <v>466</v>
      </c>
      <c r="C175" s="3">
        <v>518</v>
      </c>
      <c r="D175" s="3">
        <v>532</v>
      </c>
      <c r="E175" s="3">
        <v>542</v>
      </c>
      <c r="F175" s="3">
        <v>559</v>
      </c>
    </row>
    <row r="176" spans="1:6" ht="18" x14ac:dyDescent="0.2">
      <c r="A176" s="12" t="s">
        <v>80</v>
      </c>
      <c r="B176" s="3">
        <v>51</v>
      </c>
      <c r="C176" s="3">
        <v>58</v>
      </c>
      <c r="D176" s="3">
        <v>58</v>
      </c>
      <c r="E176" s="3">
        <v>60</v>
      </c>
      <c r="F176" s="3">
        <v>60</v>
      </c>
    </row>
    <row r="177" spans="1:6" ht="18" x14ac:dyDescent="0.2">
      <c r="A177" s="12" t="s">
        <v>176</v>
      </c>
      <c r="B177" s="3">
        <v>701</v>
      </c>
      <c r="C177" s="3">
        <v>1231</v>
      </c>
      <c r="D177" s="3">
        <v>1287</v>
      </c>
      <c r="E177" s="3">
        <v>1207</v>
      </c>
      <c r="F177" s="3">
        <v>1258</v>
      </c>
    </row>
    <row r="180" spans="1:6" ht="18" x14ac:dyDescent="0.2">
      <c r="A180" s="2" t="s">
        <v>228</v>
      </c>
      <c r="B180" s="6" t="s">
        <v>86</v>
      </c>
      <c r="C180" s="6" t="s">
        <v>219</v>
      </c>
      <c r="D180" s="6" t="s">
        <v>220</v>
      </c>
      <c r="E180" s="6" t="s">
        <v>171</v>
      </c>
      <c r="F180" s="6" t="s">
        <v>172</v>
      </c>
    </row>
    <row r="181" spans="1:6" ht="18" x14ac:dyDescent="0.2">
      <c r="A181" s="12" t="s">
        <v>69</v>
      </c>
      <c r="B181" s="20">
        <f>B164/$B164</f>
        <v>1</v>
      </c>
      <c r="C181" s="20">
        <f>C164/$B164</f>
        <v>1.0952380952380953</v>
      </c>
      <c r="D181" s="20">
        <f>D164/$B164</f>
        <v>1.2857142857142858</v>
      </c>
      <c r="E181" s="20">
        <f t="shared" ref="E181:F194" si="5">E164/$B164</f>
        <v>1.2380952380952381</v>
      </c>
      <c r="F181" s="20">
        <f t="shared" si="5"/>
        <v>1.4761904761904763</v>
      </c>
    </row>
    <row r="182" spans="1:6" ht="18" x14ac:dyDescent="0.2">
      <c r="A182" s="12" t="s">
        <v>70</v>
      </c>
      <c r="B182" s="20">
        <f t="shared" ref="B182:D194" si="6">B165/$B165</f>
        <v>1</v>
      </c>
      <c r="C182" s="20">
        <f t="shared" si="6"/>
        <v>0.88888888888888884</v>
      </c>
      <c r="D182" s="20">
        <f t="shared" si="6"/>
        <v>0.88888888888888884</v>
      </c>
      <c r="E182" s="20">
        <f t="shared" si="5"/>
        <v>0.85185185185185186</v>
      </c>
      <c r="F182" s="20">
        <f t="shared" si="5"/>
        <v>0.85185185185185186</v>
      </c>
    </row>
    <row r="183" spans="1:6" ht="18" x14ac:dyDescent="0.2">
      <c r="A183" s="12" t="s">
        <v>71</v>
      </c>
      <c r="B183" s="20">
        <f t="shared" si="6"/>
        <v>1</v>
      </c>
      <c r="C183" s="20">
        <f t="shared" si="6"/>
        <v>1.0737139826763302</v>
      </c>
      <c r="D183" s="20">
        <f t="shared" si="6"/>
        <v>1.1095987272405869</v>
      </c>
      <c r="E183" s="20">
        <f t="shared" si="5"/>
        <v>1.0528548700724765</v>
      </c>
      <c r="F183" s="20">
        <f t="shared" si="5"/>
        <v>1.1143715750397738</v>
      </c>
    </row>
    <row r="184" spans="1:6" ht="18" x14ac:dyDescent="0.2">
      <c r="A184" s="12" t="s">
        <v>72</v>
      </c>
      <c r="B184" s="20">
        <f t="shared" si="6"/>
        <v>1</v>
      </c>
      <c r="C184" s="20">
        <f t="shared" si="6"/>
        <v>1</v>
      </c>
      <c r="D184" s="20">
        <f t="shared" si="6"/>
        <v>1</v>
      </c>
      <c r="E184" s="20">
        <f t="shared" si="5"/>
        <v>1</v>
      </c>
      <c r="F184" s="20">
        <f t="shared" si="5"/>
        <v>1.0238095238095237</v>
      </c>
    </row>
    <row r="185" spans="1:6" ht="18" x14ac:dyDescent="0.2">
      <c r="A185" s="12" t="s">
        <v>73</v>
      </c>
      <c r="B185" s="20">
        <f t="shared" si="6"/>
        <v>1</v>
      </c>
      <c r="C185" s="20">
        <f t="shared" si="6"/>
        <v>0.98901098901098905</v>
      </c>
      <c r="D185" s="20">
        <f t="shared" si="6"/>
        <v>1.1055611055611057</v>
      </c>
      <c r="E185" s="20">
        <f t="shared" si="5"/>
        <v>1.0666000666000666</v>
      </c>
      <c r="F185" s="20">
        <f t="shared" si="5"/>
        <v>1.1645021645021645</v>
      </c>
    </row>
    <row r="186" spans="1:6" ht="18" x14ac:dyDescent="0.2">
      <c r="A186" s="12" t="s">
        <v>74</v>
      </c>
      <c r="B186" s="20">
        <f t="shared" si="6"/>
        <v>1</v>
      </c>
      <c r="C186" s="20">
        <f t="shared" si="6"/>
        <v>1.0947973986993498</v>
      </c>
      <c r="D186" s="20">
        <f t="shared" si="6"/>
        <v>1.0787893946973486</v>
      </c>
      <c r="E186" s="20">
        <f t="shared" si="5"/>
        <v>1.1920960480240119</v>
      </c>
      <c r="F186" s="20">
        <f t="shared" si="5"/>
        <v>1.1435717858929464</v>
      </c>
    </row>
    <row r="187" spans="1:6" ht="18" x14ac:dyDescent="0.2">
      <c r="A187" s="12" t="s">
        <v>75</v>
      </c>
      <c r="B187" s="20">
        <f t="shared" si="6"/>
        <v>1</v>
      </c>
      <c r="C187" s="20">
        <f t="shared" si="6"/>
        <v>0.95748116254036597</v>
      </c>
      <c r="D187" s="20">
        <f t="shared" si="6"/>
        <v>0.88482238966630788</v>
      </c>
      <c r="E187" s="20">
        <f t="shared" si="5"/>
        <v>1.0134553283100107</v>
      </c>
      <c r="F187" s="20">
        <f t="shared" si="5"/>
        <v>0.84607104413347689</v>
      </c>
    </row>
    <row r="188" spans="1:6" ht="18" x14ac:dyDescent="0.2">
      <c r="A188" s="12" t="s">
        <v>76</v>
      </c>
      <c r="B188" s="20">
        <f t="shared" si="6"/>
        <v>1</v>
      </c>
      <c r="C188" s="20">
        <f t="shared" si="6"/>
        <v>1.0139695210449928</v>
      </c>
      <c r="D188" s="20">
        <f t="shared" si="6"/>
        <v>0.93595791001451378</v>
      </c>
      <c r="E188" s="20">
        <f t="shared" si="5"/>
        <v>1.0223149492017416</v>
      </c>
      <c r="F188" s="20">
        <f t="shared" si="5"/>
        <v>1.0226777939042091</v>
      </c>
    </row>
    <row r="189" spans="1:6" ht="18" x14ac:dyDescent="0.2">
      <c r="A189" s="12" t="s">
        <v>77</v>
      </c>
      <c r="B189" s="20">
        <f t="shared" si="6"/>
        <v>1</v>
      </c>
      <c r="C189" s="20">
        <f t="shared" si="6"/>
        <v>1.1212121212121211</v>
      </c>
      <c r="D189" s="20">
        <f t="shared" si="6"/>
        <v>1.2121212121212122</v>
      </c>
      <c r="E189" s="20">
        <f t="shared" si="5"/>
        <v>1.3636363636363635</v>
      </c>
      <c r="F189" s="20">
        <f t="shared" si="5"/>
        <v>1.5151515151515151</v>
      </c>
    </row>
    <row r="190" spans="1:6" ht="18" x14ac:dyDescent="0.2">
      <c r="A190" s="12" t="s">
        <v>78</v>
      </c>
      <c r="B190" s="20">
        <f t="shared" si="6"/>
        <v>1</v>
      </c>
      <c r="C190" s="20">
        <f t="shared" si="6"/>
        <v>1.1352459016393444</v>
      </c>
      <c r="D190" s="20">
        <f t="shared" si="6"/>
        <v>1.0932377049180328</v>
      </c>
      <c r="E190" s="20">
        <f t="shared" si="5"/>
        <v>1.1854508196721312</v>
      </c>
      <c r="F190" s="20">
        <f t="shared" si="5"/>
        <v>1.1547131147540983</v>
      </c>
    </row>
    <row r="191" spans="1:6" ht="18" x14ac:dyDescent="0.2">
      <c r="A191" s="12" t="s">
        <v>154</v>
      </c>
      <c r="B191" s="20">
        <f t="shared" si="6"/>
        <v>1</v>
      </c>
      <c r="C191" s="20">
        <f t="shared" si="6"/>
        <v>1.0126774847870184</v>
      </c>
      <c r="D191" s="20">
        <f t="shared" si="6"/>
        <v>1.0589925625422583</v>
      </c>
      <c r="E191" s="20">
        <f t="shared" si="5"/>
        <v>1.1435091277890466</v>
      </c>
      <c r="F191" s="20">
        <f t="shared" si="5"/>
        <v>1.2778904665314401</v>
      </c>
    </row>
    <row r="192" spans="1:6" ht="18" x14ac:dyDescent="0.2">
      <c r="A192" s="12" t="s">
        <v>79</v>
      </c>
      <c r="B192" s="20">
        <f t="shared" si="6"/>
        <v>1</v>
      </c>
      <c r="C192" s="20">
        <f t="shared" si="6"/>
        <v>1.1115879828326181</v>
      </c>
      <c r="D192" s="20">
        <f t="shared" si="6"/>
        <v>1.1416309012875536</v>
      </c>
      <c r="E192" s="20">
        <f t="shared" si="5"/>
        <v>1.1630901287553648</v>
      </c>
      <c r="F192" s="20">
        <f t="shared" si="5"/>
        <v>1.1995708154506437</v>
      </c>
    </row>
    <row r="193" spans="1:8" ht="18" x14ac:dyDescent="0.2">
      <c r="A193" s="12" t="s">
        <v>80</v>
      </c>
      <c r="B193" s="20">
        <f t="shared" si="6"/>
        <v>1</v>
      </c>
      <c r="C193" s="20">
        <f t="shared" si="6"/>
        <v>1.1372549019607843</v>
      </c>
      <c r="D193" s="20">
        <f t="shared" si="6"/>
        <v>1.1372549019607843</v>
      </c>
      <c r="E193" s="20">
        <f t="shared" si="5"/>
        <v>1.1764705882352942</v>
      </c>
      <c r="F193" s="20">
        <f t="shared" si="5"/>
        <v>1.1764705882352942</v>
      </c>
    </row>
    <row r="194" spans="1:8" ht="18" x14ac:dyDescent="0.2">
      <c r="A194" s="12" t="s">
        <v>176</v>
      </c>
      <c r="B194" s="20">
        <f t="shared" si="6"/>
        <v>1</v>
      </c>
      <c r="C194" s="20">
        <f t="shared" si="6"/>
        <v>1.7560627674750358</v>
      </c>
      <c r="D194" s="20">
        <f t="shared" si="6"/>
        <v>1.8359486447931526</v>
      </c>
      <c r="E194" s="20">
        <f t="shared" si="5"/>
        <v>1.7218259629101285</v>
      </c>
      <c r="F194" s="20">
        <f t="shared" si="5"/>
        <v>1.7945791726105564</v>
      </c>
    </row>
    <row r="199" spans="1:8" ht="18" x14ac:dyDescent="0.2">
      <c r="A199" s="2" t="s">
        <v>103</v>
      </c>
      <c r="B199" s="2" t="s">
        <v>86</v>
      </c>
      <c r="C199" s="2" t="s">
        <v>219</v>
      </c>
      <c r="D199" s="2" t="s">
        <v>220</v>
      </c>
      <c r="E199" s="2" t="s">
        <v>171</v>
      </c>
      <c r="F199" s="2" t="s">
        <v>172</v>
      </c>
      <c r="G199" s="2" t="s">
        <v>229</v>
      </c>
      <c r="H199" s="2" t="s">
        <v>230</v>
      </c>
    </row>
    <row r="200" spans="1:8" ht="18" x14ac:dyDescent="0.2">
      <c r="A200" s="12" t="s">
        <v>116</v>
      </c>
      <c r="B200" s="3">
        <v>25970</v>
      </c>
      <c r="C200" s="3">
        <v>45806</v>
      </c>
      <c r="D200" s="3">
        <v>45544</v>
      </c>
      <c r="E200" s="3">
        <v>47082</v>
      </c>
      <c r="F200" s="3">
        <v>46053</v>
      </c>
      <c r="G200" s="20">
        <f>C200/D200</f>
        <v>1.0057526787282627</v>
      </c>
      <c r="H200" s="20">
        <f t="shared" ref="H200:H208" si="7">E200/F200</f>
        <v>1.02234382124943</v>
      </c>
    </row>
    <row r="201" spans="1:8" ht="18" x14ac:dyDescent="0.2">
      <c r="A201" s="12" t="s">
        <v>117</v>
      </c>
      <c r="B201" s="3">
        <v>39798</v>
      </c>
      <c r="C201" s="3">
        <v>108992</v>
      </c>
      <c r="D201" s="3">
        <v>108491</v>
      </c>
      <c r="E201" s="3">
        <v>110107</v>
      </c>
      <c r="F201" s="3">
        <v>108848</v>
      </c>
      <c r="G201" s="20">
        <f t="shared" ref="G201:G208" si="8">C201/D201</f>
        <v>1.0046178945719</v>
      </c>
      <c r="H201" s="20">
        <f t="shared" si="7"/>
        <v>1.011566588269881</v>
      </c>
    </row>
    <row r="202" spans="1:8" ht="18" x14ac:dyDescent="0.2">
      <c r="A202" s="12" t="s">
        <v>0</v>
      </c>
      <c r="B202" s="3">
        <v>66451</v>
      </c>
      <c r="C202" s="3">
        <v>131286</v>
      </c>
      <c r="D202" s="3">
        <v>130567</v>
      </c>
      <c r="E202" s="3">
        <v>141777</v>
      </c>
      <c r="F202" s="3">
        <v>142786</v>
      </c>
      <c r="G202" s="20">
        <f t="shared" si="8"/>
        <v>1.0055067513230755</v>
      </c>
      <c r="H202" s="20">
        <f t="shared" si="7"/>
        <v>0.99293348087347499</v>
      </c>
    </row>
    <row r="203" spans="1:8" ht="18" x14ac:dyDescent="0.2">
      <c r="A203" s="12" t="s">
        <v>1</v>
      </c>
      <c r="B203" s="3">
        <v>116294</v>
      </c>
      <c r="C203" s="3">
        <v>123510</v>
      </c>
      <c r="D203" s="3">
        <v>123430</v>
      </c>
      <c r="E203" s="3">
        <v>123547</v>
      </c>
      <c r="F203" s="3">
        <v>123239</v>
      </c>
      <c r="G203" s="20">
        <f t="shared" si="8"/>
        <v>1.0006481406465202</v>
      </c>
      <c r="H203" s="20">
        <f t="shared" si="7"/>
        <v>1.0024992088543399</v>
      </c>
    </row>
    <row r="204" spans="1:8" ht="18" x14ac:dyDescent="0.2">
      <c r="A204" s="12" t="s">
        <v>157</v>
      </c>
      <c r="B204" s="5">
        <v>38444</v>
      </c>
      <c r="C204" s="5">
        <v>53666</v>
      </c>
      <c r="D204" s="5">
        <v>51606</v>
      </c>
      <c r="E204" s="5">
        <v>60706</v>
      </c>
      <c r="F204" s="5">
        <v>58778</v>
      </c>
      <c r="G204" s="69">
        <f t="shared" si="8"/>
        <v>1.0399178390109678</v>
      </c>
      <c r="H204" s="69">
        <f t="shared" si="7"/>
        <v>1.0328013882745244</v>
      </c>
    </row>
    <row r="205" spans="1:8" ht="18" x14ac:dyDescent="0.2">
      <c r="A205" s="12" t="s">
        <v>2</v>
      </c>
      <c r="B205" s="3">
        <v>29341</v>
      </c>
      <c r="C205" s="3">
        <v>53457</v>
      </c>
      <c r="D205" s="3">
        <v>52753</v>
      </c>
      <c r="E205" s="3">
        <v>56415</v>
      </c>
      <c r="F205" s="3">
        <v>56045</v>
      </c>
      <c r="G205" s="20">
        <f t="shared" si="8"/>
        <v>1.0133452125945444</v>
      </c>
      <c r="H205" s="20">
        <f t="shared" si="7"/>
        <v>1.0066018378089037</v>
      </c>
    </row>
    <row r="206" spans="1:8" ht="18" x14ac:dyDescent="0.2">
      <c r="A206" s="12" t="s">
        <v>3</v>
      </c>
      <c r="B206" s="3">
        <v>11136</v>
      </c>
      <c r="C206" s="3">
        <v>21412</v>
      </c>
      <c r="D206" s="3">
        <v>21565</v>
      </c>
      <c r="E206" s="3">
        <v>22860</v>
      </c>
      <c r="F206" s="3">
        <v>22741</v>
      </c>
      <c r="G206" s="20">
        <f t="shared" si="8"/>
        <v>0.99290517041502435</v>
      </c>
      <c r="H206" s="20">
        <f t="shared" si="7"/>
        <v>1.0052328393650236</v>
      </c>
    </row>
    <row r="207" spans="1:8" ht="18" x14ac:dyDescent="0.2">
      <c r="A207" s="12" t="s">
        <v>4</v>
      </c>
      <c r="B207" s="3">
        <v>38181</v>
      </c>
      <c r="C207" s="3">
        <v>69070</v>
      </c>
      <c r="D207" s="3">
        <v>70081</v>
      </c>
      <c r="E207" s="3">
        <v>72383</v>
      </c>
      <c r="F207" s="3">
        <v>74405</v>
      </c>
      <c r="G207" s="20">
        <f t="shared" si="8"/>
        <v>0.98557383598978321</v>
      </c>
      <c r="H207" s="20">
        <f t="shared" si="7"/>
        <v>0.97282440696189776</v>
      </c>
    </row>
    <row r="208" spans="1:8" ht="18" x14ac:dyDescent="0.2">
      <c r="A208" s="12" t="s">
        <v>5</v>
      </c>
      <c r="B208" s="3">
        <v>31298</v>
      </c>
      <c r="C208" s="3">
        <v>63174</v>
      </c>
      <c r="D208" s="3">
        <v>63164</v>
      </c>
      <c r="E208" s="3">
        <v>64026</v>
      </c>
      <c r="F208" s="3">
        <v>63789</v>
      </c>
      <c r="G208" s="20">
        <f t="shared" si="8"/>
        <v>1.0001583180292573</v>
      </c>
      <c r="H208" s="20">
        <f t="shared" si="7"/>
        <v>1.0037153741240652</v>
      </c>
    </row>
    <row r="211" spans="1:6" ht="18" x14ac:dyDescent="0.2">
      <c r="A211" s="2" t="s">
        <v>103</v>
      </c>
      <c r="B211" s="2" t="s">
        <v>86</v>
      </c>
      <c r="C211" s="2" t="s">
        <v>219</v>
      </c>
      <c r="D211" s="2" t="s">
        <v>220</v>
      </c>
      <c r="E211" s="2" t="s">
        <v>171</v>
      </c>
      <c r="F211" s="2" t="s">
        <v>172</v>
      </c>
    </row>
    <row r="212" spans="1:6" ht="18" x14ac:dyDescent="0.2">
      <c r="A212" s="12" t="s">
        <v>116</v>
      </c>
      <c r="B212" s="20">
        <f t="shared" ref="B212:F220" si="9">B200/$B200</f>
        <v>1</v>
      </c>
      <c r="C212" s="20">
        <f t="shared" si="9"/>
        <v>1.7638043896804005</v>
      </c>
      <c r="D212" s="20">
        <f t="shared" si="9"/>
        <v>1.7537158259530228</v>
      </c>
      <c r="E212" s="20">
        <f t="shared" si="9"/>
        <v>1.8129380053908355</v>
      </c>
      <c r="F212" s="20">
        <f t="shared" si="9"/>
        <v>1.7733153638814017</v>
      </c>
    </row>
    <row r="213" spans="1:6" ht="18" x14ac:dyDescent="0.2">
      <c r="A213" s="12" t="s">
        <v>117</v>
      </c>
      <c r="B213" s="20">
        <f t="shared" si="9"/>
        <v>1</v>
      </c>
      <c r="C213" s="20">
        <f t="shared" si="9"/>
        <v>2.738630081913664</v>
      </c>
      <c r="D213" s="20">
        <f t="shared" si="9"/>
        <v>2.7260415096235993</v>
      </c>
      <c r="E213" s="20">
        <f t="shared" si="9"/>
        <v>2.7666465651540277</v>
      </c>
      <c r="F213" s="20">
        <f t="shared" si="9"/>
        <v>2.7350118096386753</v>
      </c>
    </row>
    <row r="214" spans="1:6" ht="18" x14ac:dyDescent="0.2">
      <c r="A214" s="12" t="s">
        <v>0</v>
      </c>
      <c r="B214" s="20">
        <f t="shared" si="9"/>
        <v>1</v>
      </c>
      <c r="C214" s="20">
        <f t="shared" si="9"/>
        <v>1.9756813290996373</v>
      </c>
      <c r="D214" s="20">
        <f t="shared" si="9"/>
        <v>1.9648613263908745</v>
      </c>
      <c r="E214" s="20">
        <f t="shared" si="9"/>
        <v>2.1335570570796527</v>
      </c>
      <c r="F214" s="20">
        <f t="shared" si="9"/>
        <v>2.1487411777098915</v>
      </c>
    </row>
    <row r="215" spans="1:6" ht="18" x14ac:dyDescent="0.2">
      <c r="A215" s="12" t="s">
        <v>1</v>
      </c>
      <c r="B215" s="20">
        <f t="shared" si="9"/>
        <v>1</v>
      </c>
      <c r="C215" s="20">
        <f t="shared" si="9"/>
        <v>1.0620496328271449</v>
      </c>
      <c r="D215" s="20">
        <f t="shared" si="9"/>
        <v>1.0613617211550037</v>
      </c>
      <c r="E215" s="20">
        <f t="shared" si="9"/>
        <v>1.0623677919755103</v>
      </c>
      <c r="F215" s="20">
        <f t="shared" si="9"/>
        <v>1.0597193320377662</v>
      </c>
    </row>
    <row r="216" spans="1:6" ht="18" x14ac:dyDescent="0.2">
      <c r="A216" s="12" t="s">
        <v>157</v>
      </c>
      <c r="B216" s="20">
        <f t="shared" si="9"/>
        <v>1</v>
      </c>
      <c r="C216" s="20">
        <f t="shared" si="9"/>
        <v>1.3959525543647904</v>
      </c>
      <c r="D216" s="20">
        <f t="shared" si="9"/>
        <v>1.3423681198626574</v>
      </c>
      <c r="E216" s="20">
        <f t="shared" si="9"/>
        <v>1.5790760586827592</v>
      </c>
      <c r="F216" s="20">
        <f t="shared" si="9"/>
        <v>1.5289251898865883</v>
      </c>
    </row>
    <row r="217" spans="1:6" ht="18" x14ac:dyDescent="0.2">
      <c r="A217" s="12" t="s">
        <v>2</v>
      </c>
      <c r="B217" s="20">
        <f t="shared" si="9"/>
        <v>1</v>
      </c>
      <c r="C217" s="20">
        <f t="shared" si="9"/>
        <v>1.8219215432330187</v>
      </c>
      <c r="D217" s="20">
        <f t="shared" si="9"/>
        <v>1.7979278143212569</v>
      </c>
      <c r="E217" s="20">
        <f t="shared" si="9"/>
        <v>1.922736103063972</v>
      </c>
      <c r="F217" s="20">
        <f t="shared" si="9"/>
        <v>1.910125762584779</v>
      </c>
    </row>
    <row r="218" spans="1:6" ht="18" x14ac:dyDescent="0.2">
      <c r="A218" s="12" t="s">
        <v>3</v>
      </c>
      <c r="B218" s="20">
        <f t="shared" si="9"/>
        <v>1</v>
      </c>
      <c r="C218" s="20">
        <f t="shared" si="9"/>
        <v>1.9227729885057472</v>
      </c>
      <c r="D218" s="20">
        <f t="shared" si="9"/>
        <v>1.9365122126436782</v>
      </c>
      <c r="E218" s="20">
        <f t="shared" si="9"/>
        <v>2.052801724137931</v>
      </c>
      <c r="F218" s="20">
        <f t="shared" si="9"/>
        <v>2.0421156609195403</v>
      </c>
    </row>
    <row r="219" spans="1:6" ht="18" x14ac:dyDescent="0.2">
      <c r="A219" s="12" t="s">
        <v>4</v>
      </c>
      <c r="B219" s="20">
        <f t="shared" si="9"/>
        <v>1</v>
      </c>
      <c r="C219" s="20">
        <f t="shared" si="9"/>
        <v>1.8090149550823709</v>
      </c>
      <c r="D219" s="20">
        <f t="shared" si="9"/>
        <v>1.8354940939210602</v>
      </c>
      <c r="E219" s="20">
        <f t="shared" si="9"/>
        <v>1.8957858620779968</v>
      </c>
      <c r="F219" s="20">
        <f t="shared" si="9"/>
        <v>1.9487441397553757</v>
      </c>
    </row>
    <row r="220" spans="1:6" ht="18" x14ac:dyDescent="0.2">
      <c r="A220" s="12" t="s">
        <v>5</v>
      </c>
      <c r="B220" s="20">
        <f t="shared" si="9"/>
        <v>1</v>
      </c>
      <c r="C220" s="20">
        <f t="shared" si="9"/>
        <v>2.0184676337146144</v>
      </c>
      <c r="D220" s="20">
        <f t="shared" si="9"/>
        <v>2.0181481244807973</v>
      </c>
      <c r="E220" s="20">
        <f t="shared" si="9"/>
        <v>2.0456898204358107</v>
      </c>
      <c r="F220" s="20">
        <f t="shared" si="9"/>
        <v>2.038117451594351</v>
      </c>
    </row>
    <row r="221" spans="1:6" ht="18" x14ac:dyDescent="0.2">
      <c r="A221" s="8" t="s">
        <v>221</v>
      </c>
      <c r="B221" s="69">
        <f>GEOMEAN(B212:B220)</f>
        <v>1</v>
      </c>
      <c r="C221" s="69">
        <f>GEOMEAN(C212:C220)</f>
        <v>1.7817576962365587</v>
      </c>
      <c r="D221" s="69">
        <f>GEOMEAN(D212:D220)</f>
        <v>1.7724006753992942</v>
      </c>
      <c r="E221" s="69">
        <f>GEOMEAN(E212:E220)</f>
        <v>1.8663866580002677</v>
      </c>
      <c r="F221" s="69">
        <f>GEOMEAN(F212:F220)</f>
        <v>1.8562046517131745</v>
      </c>
    </row>
    <row r="226" spans="1:5" ht="18" x14ac:dyDescent="0.2">
      <c r="A226" s="2" t="s">
        <v>228</v>
      </c>
      <c r="B226" s="6" t="s">
        <v>86</v>
      </c>
      <c r="C226" s="6" t="s">
        <v>169</v>
      </c>
      <c r="D226" s="6" t="s">
        <v>170</v>
      </c>
      <c r="E226" s="6" t="s">
        <v>227</v>
      </c>
    </row>
    <row r="227" spans="1:5" ht="18" x14ac:dyDescent="0.2">
      <c r="A227" s="12" t="s">
        <v>69</v>
      </c>
      <c r="B227" s="3">
        <v>21</v>
      </c>
      <c r="C227" s="3">
        <v>24</v>
      </c>
      <c r="D227" s="3">
        <v>27</v>
      </c>
      <c r="E227" s="20">
        <f>C227/D227</f>
        <v>0.88888888888888884</v>
      </c>
    </row>
    <row r="228" spans="1:5" ht="18" x14ac:dyDescent="0.2">
      <c r="A228" s="12" t="s">
        <v>70</v>
      </c>
      <c r="B228" s="3">
        <v>27</v>
      </c>
      <c r="C228" s="3">
        <v>23</v>
      </c>
      <c r="D228" s="3">
        <v>26</v>
      </c>
      <c r="E228" s="20">
        <f t="shared" ref="E228:E240" si="10">C228/D228</f>
        <v>0.88461538461538458</v>
      </c>
    </row>
    <row r="229" spans="1:5" ht="18" x14ac:dyDescent="0.2">
      <c r="A229" s="12" t="s">
        <v>71</v>
      </c>
      <c r="B229" s="3">
        <v>5657</v>
      </c>
      <c r="C229" s="3">
        <v>5853</v>
      </c>
      <c r="D229" s="3">
        <v>6240</v>
      </c>
      <c r="E229" s="20">
        <f t="shared" si="10"/>
        <v>0.93798076923076923</v>
      </c>
    </row>
    <row r="230" spans="1:5" ht="18" x14ac:dyDescent="0.2">
      <c r="A230" s="12" t="s">
        <v>72</v>
      </c>
      <c r="B230" s="3">
        <v>42</v>
      </c>
      <c r="C230" s="3">
        <v>42</v>
      </c>
      <c r="D230" s="3">
        <v>42</v>
      </c>
      <c r="E230" s="20">
        <f t="shared" si="10"/>
        <v>1</v>
      </c>
    </row>
    <row r="231" spans="1:5" ht="18" x14ac:dyDescent="0.2">
      <c r="A231" s="12" t="s">
        <v>73</v>
      </c>
      <c r="B231" s="3">
        <v>3003</v>
      </c>
      <c r="C231" s="3">
        <v>2958</v>
      </c>
      <c r="D231" s="3">
        <v>3286</v>
      </c>
      <c r="E231" s="20">
        <f t="shared" si="10"/>
        <v>0.90018259281801583</v>
      </c>
    </row>
    <row r="232" spans="1:5" ht="18" x14ac:dyDescent="0.2">
      <c r="A232" s="12" t="s">
        <v>74</v>
      </c>
      <c r="B232" s="3">
        <v>3998</v>
      </c>
      <c r="C232" s="3">
        <v>4241</v>
      </c>
      <c r="D232" s="3">
        <v>4382</v>
      </c>
      <c r="E232" s="20">
        <f t="shared" si="10"/>
        <v>0.9678229119123688</v>
      </c>
    </row>
    <row r="233" spans="1:5" ht="18" x14ac:dyDescent="0.2">
      <c r="A233" s="12" t="s">
        <v>75</v>
      </c>
      <c r="B233" s="3">
        <v>3716</v>
      </c>
      <c r="C233" s="3">
        <v>3663</v>
      </c>
      <c r="D233" s="3">
        <v>3847</v>
      </c>
      <c r="E233" s="20">
        <f t="shared" si="10"/>
        <v>0.95217052248505329</v>
      </c>
    </row>
    <row r="234" spans="1:5" ht="18" x14ac:dyDescent="0.2">
      <c r="A234" s="12" t="s">
        <v>76</v>
      </c>
      <c r="B234" s="3">
        <v>5512</v>
      </c>
      <c r="C234" s="3">
        <v>5223</v>
      </c>
      <c r="D234" s="3">
        <v>5629</v>
      </c>
      <c r="E234" s="20">
        <f t="shared" si="10"/>
        <v>0.92787351216912417</v>
      </c>
    </row>
    <row r="235" spans="1:5" ht="18" x14ac:dyDescent="0.2">
      <c r="A235" s="12" t="s">
        <v>77</v>
      </c>
      <c r="B235" s="3">
        <v>33</v>
      </c>
      <c r="C235" s="3">
        <v>39</v>
      </c>
      <c r="D235" s="3">
        <v>41</v>
      </c>
      <c r="E235" s="20">
        <f t="shared" si="10"/>
        <v>0.95121951219512191</v>
      </c>
    </row>
    <row r="236" spans="1:5" ht="18" x14ac:dyDescent="0.2">
      <c r="A236" s="12" t="s">
        <v>78</v>
      </c>
      <c r="B236" s="3">
        <v>976</v>
      </c>
      <c r="C236" s="3">
        <v>1024</v>
      </c>
      <c r="D236" s="3">
        <v>1089</v>
      </c>
      <c r="E236" s="20">
        <f t="shared" si="10"/>
        <v>0.94031221303948576</v>
      </c>
    </row>
    <row r="237" spans="1:5" ht="18" x14ac:dyDescent="0.2">
      <c r="A237" s="12" t="s">
        <v>154</v>
      </c>
      <c r="B237" s="3">
        <v>5916</v>
      </c>
      <c r="C237" s="3">
        <v>6187</v>
      </c>
      <c r="D237" s="3">
        <v>6849</v>
      </c>
      <c r="E237" s="20">
        <f t="shared" si="10"/>
        <v>0.90334355380347497</v>
      </c>
    </row>
    <row r="238" spans="1:5" ht="18" x14ac:dyDescent="0.2">
      <c r="A238" s="12" t="s">
        <v>79</v>
      </c>
      <c r="B238" s="3">
        <v>466</v>
      </c>
      <c r="C238" s="3">
        <v>541</v>
      </c>
      <c r="D238" s="3">
        <v>549</v>
      </c>
      <c r="E238" s="20">
        <f t="shared" si="10"/>
        <v>0.98542805100182151</v>
      </c>
    </row>
    <row r="239" spans="1:5" ht="18" x14ac:dyDescent="0.2">
      <c r="A239" s="12" t="s">
        <v>80</v>
      </c>
      <c r="B239" s="3">
        <v>51</v>
      </c>
      <c r="C239" s="3">
        <v>57</v>
      </c>
      <c r="D239" s="3">
        <v>58</v>
      </c>
      <c r="E239" s="20">
        <f t="shared" si="10"/>
        <v>0.98275862068965514</v>
      </c>
    </row>
    <row r="240" spans="1:5" ht="18" x14ac:dyDescent="0.2">
      <c r="A240" s="12" t="s">
        <v>176</v>
      </c>
      <c r="B240" s="3">
        <v>701</v>
      </c>
      <c r="C240" s="3">
        <v>1299</v>
      </c>
      <c r="D240" s="3">
        <v>1257</v>
      </c>
      <c r="E240" s="20">
        <f t="shared" si="10"/>
        <v>1.0334128878281623</v>
      </c>
    </row>
    <row r="241" spans="1:5" ht="18" x14ac:dyDescent="0.2">
      <c r="E241" s="80">
        <f>GEOMEAN(E227:E240)</f>
        <v>0.94590687570338017</v>
      </c>
    </row>
    <row r="243" spans="1:5" ht="18" x14ac:dyDescent="0.2">
      <c r="A243" s="2" t="s">
        <v>228</v>
      </c>
      <c r="B243" s="6" t="s">
        <v>86</v>
      </c>
      <c r="C243" s="6" t="s">
        <v>169</v>
      </c>
      <c r="D243" s="6" t="s">
        <v>170</v>
      </c>
    </row>
    <row r="244" spans="1:5" ht="18" x14ac:dyDescent="0.2">
      <c r="A244" s="12" t="s">
        <v>69</v>
      </c>
      <c r="B244" s="20">
        <f>B227/$B227</f>
        <v>1</v>
      </c>
      <c r="C244" s="20">
        <f>C227/$B227</f>
        <v>1.1428571428571428</v>
      </c>
      <c r="D244" s="20">
        <f>D227/$B227</f>
        <v>1.2857142857142858</v>
      </c>
    </row>
    <row r="245" spans="1:5" ht="18" x14ac:dyDescent="0.2">
      <c r="A245" s="12" t="s">
        <v>70</v>
      </c>
      <c r="B245" s="20">
        <f t="shared" ref="B245:B257" si="11">B228/$B228</f>
        <v>1</v>
      </c>
      <c r="C245" s="20">
        <f t="shared" ref="C245:D257" si="12">C228/$B228</f>
        <v>0.85185185185185186</v>
      </c>
      <c r="D245" s="20">
        <f t="shared" si="12"/>
        <v>0.96296296296296291</v>
      </c>
    </row>
    <row r="246" spans="1:5" ht="18" x14ac:dyDescent="0.2">
      <c r="A246" s="12" t="s">
        <v>71</v>
      </c>
      <c r="B246" s="20">
        <f t="shared" si="11"/>
        <v>1</v>
      </c>
      <c r="C246" s="20">
        <f t="shared" si="12"/>
        <v>1.0346473395792823</v>
      </c>
      <c r="D246" s="20">
        <f t="shared" si="12"/>
        <v>1.1030581580342937</v>
      </c>
    </row>
    <row r="247" spans="1:5" ht="18" x14ac:dyDescent="0.2">
      <c r="A247" s="12" t="s">
        <v>72</v>
      </c>
      <c r="B247" s="20">
        <f t="shared" si="11"/>
        <v>1</v>
      </c>
      <c r="C247" s="20">
        <f t="shared" si="12"/>
        <v>1</v>
      </c>
      <c r="D247" s="20">
        <f t="shared" si="12"/>
        <v>1</v>
      </c>
    </row>
    <row r="248" spans="1:5" ht="18" x14ac:dyDescent="0.2">
      <c r="A248" s="12" t="s">
        <v>73</v>
      </c>
      <c r="B248" s="20">
        <f t="shared" si="11"/>
        <v>1</v>
      </c>
      <c r="C248" s="20">
        <f t="shared" si="12"/>
        <v>0.98501498501498497</v>
      </c>
      <c r="D248" s="20">
        <f t="shared" si="12"/>
        <v>1.0942390942390943</v>
      </c>
    </row>
    <row r="249" spans="1:5" ht="18" x14ac:dyDescent="0.2">
      <c r="A249" s="12" t="s">
        <v>74</v>
      </c>
      <c r="B249" s="20">
        <f t="shared" si="11"/>
        <v>1</v>
      </c>
      <c r="C249" s="20">
        <f t="shared" si="12"/>
        <v>1.0607803901950976</v>
      </c>
      <c r="D249" s="20">
        <f t="shared" si="12"/>
        <v>1.0960480240120061</v>
      </c>
    </row>
    <row r="250" spans="1:5" ht="18" x14ac:dyDescent="0.2">
      <c r="A250" s="12" t="s">
        <v>75</v>
      </c>
      <c r="B250" s="20">
        <f t="shared" si="11"/>
        <v>1</v>
      </c>
      <c r="C250" s="20">
        <f t="shared" si="12"/>
        <v>0.98573735199138857</v>
      </c>
      <c r="D250" s="20">
        <f t="shared" si="12"/>
        <v>1.0352529601722282</v>
      </c>
    </row>
    <row r="251" spans="1:5" ht="18" x14ac:dyDescent="0.2">
      <c r="A251" s="12" t="s">
        <v>76</v>
      </c>
      <c r="B251" s="20">
        <f t="shared" si="11"/>
        <v>1</v>
      </c>
      <c r="C251" s="20">
        <f t="shared" si="12"/>
        <v>0.94756894049346885</v>
      </c>
      <c r="D251" s="20">
        <f t="shared" si="12"/>
        <v>1.0212264150943395</v>
      </c>
    </row>
    <row r="252" spans="1:5" ht="18" x14ac:dyDescent="0.2">
      <c r="A252" s="12" t="s">
        <v>77</v>
      </c>
      <c r="B252" s="20">
        <f t="shared" si="11"/>
        <v>1</v>
      </c>
      <c r="C252" s="20">
        <f t="shared" si="12"/>
        <v>1.1818181818181819</v>
      </c>
      <c r="D252" s="20">
        <f t="shared" si="12"/>
        <v>1.2424242424242424</v>
      </c>
    </row>
    <row r="253" spans="1:5" ht="18" x14ac:dyDescent="0.2">
      <c r="A253" s="12" t="s">
        <v>78</v>
      </c>
      <c r="B253" s="20">
        <f t="shared" si="11"/>
        <v>1</v>
      </c>
      <c r="C253" s="20">
        <f t="shared" si="12"/>
        <v>1.0491803278688525</v>
      </c>
      <c r="D253" s="20">
        <f t="shared" si="12"/>
        <v>1.1157786885245902</v>
      </c>
    </row>
    <row r="254" spans="1:5" ht="18" x14ac:dyDescent="0.2">
      <c r="A254" s="12" t="s">
        <v>154</v>
      </c>
      <c r="B254" s="20">
        <f t="shared" si="11"/>
        <v>1</v>
      </c>
      <c r="C254" s="20">
        <f t="shared" si="12"/>
        <v>1.0458079783637593</v>
      </c>
      <c r="D254" s="20">
        <f t="shared" si="12"/>
        <v>1.1577079107505071</v>
      </c>
    </row>
    <row r="255" spans="1:5" ht="18" x14ac:dyDescent="0.2">
      <c r="A255" s="12" t="s">
        <v>79</v>
      </c>
      <c r="B255" s="20">
        <f t="shared" si="11"/>
        <v>1</v>
      </c>
      <c r="C255" s="20">
        <f t="shared" si="12"/>
        <v>1.1609442060085837</v>
      </c>
      <c r="D255" s="20">
        <f t="shared" si="12"/>
        <v>1.1781115879828326</v>
      </c>
    </row>
    <row r="256" spans="1:5" ht="18" x14ac:dyDescent="0.2">
      <c r="A256" s="12" t="s">
        <v>80</v>
      </c>
      <c r="B256" s="20">
        <f t="shared" si="11"/>
        <v>1</v>
      </c>
      <c r="C256" s="20">
        <f t="shared" si="12"/>
        <v>1.1176470588235294</v>
      </c>
      <c r="D256" s="20">
        <f t="shared" si="12"/>
        <v>1.1372549019607843</v>
      </c>
    </row>
    <row r="257" spans="1:8" ht="18" x14ac:dyDescent="0.2">
      <c r="A257" s="12" t="s">
        <v>176</v>
      </c>
      <c r="B257" s="20">
        <f t="shared" si="11"/>
        <v>1</v>
      </c>
      <c r="C257" s="20">
        <f t="shared" si="12"/>
        <v>1.8530670470756063</v>
      </c>
      <c r="D257" s="20">
        <f t="shared" si="12"/>
        <v>1.7931526390870185</v>
      </c>
    </row>
    <row r="258" spans="1:8" ht="18" x14ac:dyDescent="0.2">
      <c r="A258" s="12" t="s">
        <v>66</v>
      </c>
      <c r="B258" s="20">
        <f>GEOMEAN(B244:B257)</f>
        <v>1</v>
      </c>
      <c r="C258" s="20">
        <f>GEOMEAN(C244:C257)</f>
        <v>1.0832939829222272</v>
      </c>
      <c r="D258" s="20">
        <f>GEOMEAN(D244:D257)</f>
        <v>1.1452437980395114</v>
      </c>
    </row>
    <row r="259" spans="1:8" ht="18" x14ac:dyDescent="0.2">
      <c r="A259" s="78"/>
      <c r="B259" s="21"/>
      <c r="C259" s="21"/>
      <c r="D259" s="21"/>
    </row>
    <row r="271" spans="1:8" x14ac:dyDescent="0.2">
      <c r="A271" t="s">
        <v>222</v>
      </c>
    </row>
    <row r="272" spans="1:8" ht="18" x14ac:dyDescent="0.2">
      <c r="A272" s="2" t="s">
        <v>103</v>
      </c>
      <c r="B272" s="6" t="s">
        <v>86</v>
      </c>
      <c r="C272" s="6" t="s">
        <v>224</v>
      </c>
      <c r="D272" s="6" t="s">
        <v>223</v>
      </c>
      <c r="E272" s="74" t="s">
        <v>170</v>
      </c>
      <c r="F272" s="74" t="s">
        <v>227</v>
      </c>
      <c r="G272" s="74" t="s">
        <v>227</v>
      </c>
      <c r="H272" s="75"/>
    </row>
    <row r="273" spans="1:8" ht="18" x14ac:dyDescent="0.2">
      <c r="A273" s="12" t="s">
        <v>69</v>
      </c>
      <c r="B273" s="3">
        <v>21</v>
      </c>
      <c r="C273" s="3">
        <v>23</v>
      </c>
      <c r="D273" s="3">
        <v>23</v>
      </c>
      <c r="E273" s="76">
        <v>27</v>
      </c>
      <c r="F273" s="77">
        <f t="shared" ref="F273:F286" si="13">C273/E273</f>
        <v>0.85185185185185186</v>
      </c>
      <c r="G273" s="77">
        <f t="shared" ref="G273:G282" si="14">D273/E273</f>
        <v>0.85185185185185186</v>
      </c>
      <c r="H273" s="22"/>
    </row>
    <row r="274" spans="1:8" ht="18" x14ac:dyDescent="0.2">
      <c r="A274" s="12" t="s">
        <v>70</v>
      </c>
      <c r="B274" s="3">
        <v>27</v>
      </c>
      <c r="C274" s="3">
        <v>24</v>
      </c>
      <c r="D274" s="3">
        <v>25</v>
      </c>
      <c r="E274" s="76">
        <v>22</v>
      </c>
      <c r="F274" s="77">
        <f t="shared" si="13"/>
        <v>1.0909090909090908</v>
      </c>
      <c r="G274" s="77">
        <f t="shared" si="14"/>
        <v>1.1363636363636365</v>
      </c>
      <c r="H274" s="22"/>
    </row>
    <row r="275" spans="1:8" ht="18" x14ac:dyDescent="0.2">
      <c r="A275" s="12" t="s">
        <v>71</v>
      </c>
      <c r="B275" s="3">
        <v>5657</v>
      </c>
      <c r="C275" s="3">
        <v>5948</v>
      </c>
      <c r="D275" s="3">
        <v>5922</v>
      </c>
      <c r="E275" s="76">
        <v>6310</v>
      </c>
      <c r="F275" s="77">
        <f t="shared" si="13"/>
        <v>0.94263074484944531</v>
      </c>
      <c r="G275" s="77">
        <f t="shared" si="14"/>
        <v>0.93851030110935019</v>
      </c>
      <c r="H275" s="22"/>
    </row>
    <row r="276" spans="1:8" ht="18" x14ac:dyDescent="0.2">
      <c r="A276" s="12" t="s">
        <v>72</v>
      </c>
      <c r="B276" s="3">
        <v>42</v>
      </c>
      <c r="C276" s="3">
        <v>42</v>
      </c>
      <c r="D276" s="3">
        <v>43</v>
      </c>
      <c r="E276" s="76">
        <v>43</v>
      </c>
      <c r="F276" s="77">
        <f t="shared" si="13"/>
        <v>0.97674418604651159</v>
      </c>
      <c r="G276" s="77">
        <f t="shared" si="14"/>
        <v>1</v>
      </c>
      <c r="H276" s="22"/>
    </row>
    <row r="277" spans="1:8" ht="18" x14ac:dyDescent="0.2">
      <c r="A277" s="12" t="s">
        <v>73</v>
      </c>
      <c r="B277" s="3">
        <v>3003</v>
      </c>
      <c r="C277" s="3">
        <v>3363</v>
      </c>
      <c r="D277" s="3">
        <v>3264</v>
      </c>
      <c r="E277" s="76">
        <v>3383</v>
      </c>
      <c r="F277" s="77">
        <f t="shared" si="13"/>
        <v>0.99408808749630506</v>
      </c>
      <c r="G277" s="77">
        <f t="shared" si="14"/>
        <v>0.96482412060301503</v>
      </c>
      <c r="H277" s="22"/>
    </row>
    <row r="278" spans="1:8" ht="18" x14ac:dyDescent="0.2">
      <c r="A278" s="12" t="s">
        <v>74</v>
      </c>
      <c r="B278" s="3">
        <v>3998</v>
      </c>
      <c r="C278" s="3">
        <v>4426</v>
      </c>
      <c r="D278" s="3">
        <v>4578</v>
      </c>
      <c r="E278" s="76">
        <v>4383</v>
      </c>
      <c r="F278" s="77">
        <f t="shared" si="13"/>
        <v>1.0098106319872233</v>
      </c>
      <c r="G278" s="77">
        <f t="shared" si="14"/>
        <v>1.0444900752908965</v>
      </c>
      <c r="H278" s="22"/>
    </row>
    <row r="279" spans="1:8" ht="18" x14ac:dyDescent="0.2">
      <c r="A279" s="12" t="s">
        <v>75</v>
      </c>
      <c r="B279" s="3">
        <v>3716</v>
      </c>
      <c r="C279" s="3">
        <v>4088</v>
      </c>
      <c r="D279" s="3">
        <v>3655</v>
      </c>
      <c r="E279" s="76">
        <v>3816</v>
      </c>
      <c r="F279" s="77">
        <f t="shared" si="13"/>
        <v>1.071278825995807</v>
      </c>
      <c r="G279" s="77">
        <f t="shared" si="14"/>
        <v>0.95780922431865823</v>
      </c>
      <c r="H279" s="22"/>
    </row>
    <row r="280" spans="1:8" ht="18" x14ac:dyDescent="0.2">
      <c r="A280" s="12" t="s">
        <v>76</v>
      </c>
      <c r="B280" s="3">
        <v>5512</v>
      </c>
      <c r="C280" s="3">
        <v>6088</v>
      </c>
      <c r="D280" s="3">
        <v>5735</v>
      </c>
      <c r="E280" s="76">
        <v>5982</v>
      </c>
      <c r="F280" s="77">
        <f t="shared" si="13"/>
        <v>1.0177198261451019</v>
      </c>
      <c r="G280" s="77">
        <f t="shared" si="14"/>
        <v>0.95870946171848881</v>
      </c>
      <c r="H280" s="22"/>
    </row>
    <row r="281" spans="1:8" ht="18" x14ac:dyDescent="0.2">
      <c r="A281" s="12" t="s">
        <v>77</v>
      </c>
      <c r="B281" s="3">
        <v>33</v>
      </c>
      <c r="C281" s="3">
        <v>34</v>
      </c>
      <c r="D281" s="3">
        <v>34</v>
      </c>
      <c r="E281" s="76">
        <v>38</v>
      </c>
      <c r="F281" s="77">
        <f t="shared" si="13"/>
        <v>0.89473684210526316</v>
      </c>
      <c r="G281" s="77">
        <f t="shared" si="14"/>
        <v>0.89473684210526316</v>
      </c>
      <c r="H281" s="22"/>
    </row>
    <row r="282" spans="1:8" ht="18" x14ac:dyDescent="0.2">
      <c r="A282" s="12" t="s">
        <v>78</v>
      </c>
      <c r="B282" s="3">
        <v>976</v>
      </c>
      <c r="C282" s="3">
        <v>1086</v>
      </c>
      <c r="D282" s="3">
        <v>1156</v>
      </c>
      <c r="E282" s="76">
        <v>1113</v>
      </c>
      <c r="F282" s="77">
        <f t="shared" si="13"/>
        <v>0.97574123989218331</v>
      </c>
      <c r="G282" s="77">
        <f t="shared" si="14"/>
        <v>1.0386343216531895</v>
      </c>
      <c r="H282" s="22"/>
    </row>
    <row r="283" spans="1:8" ht="18" x14ac:dyDescent="0.2">
      <c r="A283" s="12" t="s">
        <v>154</v>
      </c>
      <c r="B283" s="3">
        <v>5916</v>
      </c>
      <c r="C283" s="3">
        <v>6234</v>
      </c>
      <c r="D283" s="66"/>
      <c r="E283" s="76">
        <v>6150</v>
      </c>
      <c r="F283" s="77">
        <f t="shared" si="13"/>
        <v>1.0136585365853659</v>
      </c>
      <c r="G283" s="79"/>
      <c r="H283" s="22"/>
    </row>
    <row r="284" spans="1:8" ht="18" x14ac:dyDescent="0.2">
      <c r="A284" s="12" t="s">
        <v>79</v>
      </c>
      <c r="B284" s="3">
        <v>466</v>
      </c>
      <c r="C284" s="3">
        <v>545</v>
      </c>
      <c r="D284" s="3">
        <v>547</v>
      </c>
      <c r="E284" s="76">
        <v>550</v>
      </c>
      <c r="F284" s="77">
        <f t="shared" si="13"/>
        <v>0.99090909090909096</v>
      </c>
      <c r="G284" s="77">
        <f>D284/E284</f>
        <v>0.99454545454545451</v>
      </c>
      <c r="H284" s="22"/>
    </row>
    <row r="285" spans="1:8" ht="18" x14ac:dyDescent="0.2">
      <c r="A285" s="12" t="s">
        <v>80</v>
      </c>
      <c r="B285" s="3">
        <v>51</v>
      </c>
      <c r="C285" s="3">
        <v>58</v>
      </c>
      <c r="D285" s="3">
        <v>58</v>
      </c>
      <c r="E285" s="76">
        <v>58</v>
      </c>
      <c r="F285" s="77">
        <f t="shared" si="13"/>
        <v>1</v>
      </c>
      <c r="G285" s="77">
        <f>D285/E285</f>
        <v>1</v>
      </c>
      <c r="H285" s="22"/>
    </row>
    <row r="286" spans="1:8" ht="18" x14ac:dyDescent="0.2">
      <c r="A286" s="12" t="s">
        <v>176</v>
      </c>
      <c r="B286" s="3">
        <v>701</v>
      </c>
      <c r="C286" s="3">
        <v>1286</v>
      </c>
      <c r="D286" s="3">
        <v>1249</v>
      </c>
      <c r="E286" s="76">
        <v>1254</v>
      </c>
      <c r="F286" s="77">
        <f t="shared" si="13"/>
        <v>1.0255183413078151</v>
      </c>
      <c r="G286" s="77">
        <f>D286/E286</f>
        <v>0.99601275917065391</v>
      </c>
      <c r="H286" s="22"/>
    </row>
    <row r="287" spans="1:8" ht="18" x14ac:dyDescent="0.2">
      <c r="F287" s="69">
        <f>GEOMEAN(F273:F286)</f>
        <v>0.98780052567220578</v>
      </c>
      <c r="G287" s="69">
        <f>GEOMEAN(G273:G286)</f>
        <v>0.98047702348990073</v>
      </c>
    </row>
    <row r="288" spans="1:8" ht="18" x14ac:dyDescent="0.2">
      <c r="F288" s="71"/>
      <c r="G288" s="71"/>
    </row>
    <row r="289" spans="1:7" ht="18" x14ac:dyDescent="0.2">
      <c r="F289" s="71"/>
      <c r="G289" s="71"/>
    </row>
    <row r="290" spans="1:7" ht="18" x14ac:dyDescent="0.2">
      <c r="F290" s="71"/>
      <c r="G290" s="71"/>
    </row>
    <row r="291" spans="1:7" ht="18" x14ac:dyDescent="0.2">
      <c r="F291" s="71"/>
      <c r="G291" s="71"/>
    </row>
    <row r="292" spans="1:7" ht="18" x14ac:dyDescent="0.2">
      <c r="A292" s="2" t="s">
        <v>103</v>
      </c>
      <c r="B292" s="6" t="s">
        <v>86</v>
      </c>
      <c r="C292" s="6" t="s">
        <v>224</v>
      </c>
      <c r="D292" s="6" t="s">
        <v>223</v>
      </c>
      <c r="E292" s="74" t="s">
        <v>170</v>
      </c>
      <c r="F292" s="71"/>
      <c r="G292" s="71"/>
    </row>
    <row r="293" spans="1:7" ht="18" x14ac:dyDescent="0.2">
      <c r="A293" s="12" t="s">
        <v>69</v>
      </c>
      <c r="B293" s="3">
        <f>B273/$B273</f>
        <v>1</v>
      </c>
      <c r="C293" s="20">
        <f>C273/$B273</f>
        <v>1.0952380952380953</v>
      </c>
      <c r="D293" s="20">
        <f>D273/$B273</f>
        <v>1.0952380952380953</v>
      </c>
      <c r="E293" s="20">
        <f>E273/$B273</f>
        <v>1.2857142857142858</v>
      </c>
      <c r="F293" s="71"/>
      <c r="G293" s="71"/>
    </row>
    <row r="294" spans="1:7" ht="18" x14ac:dyDescent="0.2">
      <c r="A294" s="12" t="s">
        <v>70</v>
      </c>
      <c r="B294" s="3">
        <f t="shared" ref="B294:E306" si="15">B274/$B274</f>
        <v>1</v>
      </c>
      <c r="C294" s="20">
        <f t="shared" si="15"/>
        <v>0.88888888888888884</v>
      </c>
      <c r="D294" s="20">
        <f t="shared" si="15"/>
        <v>0.92592592592592593</v>
      </c>
      <c r="E294" s="20">
        <f t="shared" si="15"/>
        <v>0.81481481481481477</v>
      </c>
      <c r="F294" s="71"/>
      <c r="G294" s="71"/>
    </row>
    <row r="295" spans="1:7" ht="18" x14ac:dyDescent="0.2">
      <c r="A295" s="12" t="s">
        <v>71</v>
      </c>
      <c r="B295" s="3">
        <f t="shared" si="15"/>
        <v>1</v>
      </c>
      <c r="C295" s="20">
        <f t="shared" si="15"/>
        <v>1.0514406929467917</v>
      </c>
      <c r="D295" s="20">
        <f t="shared" si="15"/>
        <v>1.0468446172883155</v>
      </c>
      <c r="E295" s="20">
        <f t="shared" si="15"/>
        <v>1.1154322078840375</v>
      </c>
      <c r="F295" s="71"/>
      <c r="G295" s="71"/>
    </row>
    <row r="296" spans="1:7" ht="18" x14ac:dyDescent="0.2">
      <c r="A296" s="12" t="s">
        <v>72</v>
      </c>
      <c r="B296" s="3">
        <f t="shared" si="15"/>
        <v>1</v>
      </c>
      <c r="C296" s="20">
        <f t="shared" si="15"/>
        <v>1</v>
      </c>
      <c r="D296" s="20">
        <f t="shared" si="15"/>
        <v>1.0238095238095237</v>
      </c>
      <c r="E296" s="20">
        <f t="shared" si="15"/>
        <v>1.0238095238095237</v>
      </c>
      <c r="F296" s="71"/>
      <c r="G296" s="71"/>
    </row>
    <row r="297" spans="1:7" ht="18" x14ac:dyDescent="0.2">
      <c r="A297" s="12" t="s">
        <v>73</v>
      </c>
      <c r="B297" s="3">
        <f t="shared" si="15"/>
        <v>1</v>
      </c>
      <c r="C297" s="20">
        <f t="shared" si="15"/>
        <v>1.1198801198801198</v>
      </c>
      <c r="D297" s="20">
        <f t="shared" si="15"/>
        <v>1.086913086913087</v>
      </c>
      <c r="E297" s="20">
        <f t="shared" si="15"/>
        <v>1.1265401265401265</v>
      </c>
      <c r="F297" s="71"/>
      <c r="G297" s="71"/>
    </row>
    <row r="298" spans="1:7" ht="18" x14ac:dyDescent="0.2">
      <c r="A298" s="12" t="s">
        <v>74</v>
      </c>
      <c r="B298" s="3">
        <f t="shared" si="15"/>
        <v>1</v>
      </c>
      <c r="C298" s="20">
        <f t="shared" si="15"/>
        <v>1.1070535267633816</v>
      </c>
      <c r="D298" s="20">
        <f t="shared" si="15"/>
        <v>1.145072536268134</v>
      </c>
      <c r="E298" s="20">
        <f t="shared" si="15"/>
        <v>1.0962981490745374</v>
      </c>
      <c r="F298" s="71"/>
      <c r="G298" s="71"/>
    </row>
    <row r="299" spans="1:7" ht="18" x14ac:dyDescent="0.2">
      <c r="A299" s="12" t="s">
        <v>75</v>
      </c>
      <c r="B299" s="3">
        <f t="shared" si="15"/>
        <v>1</v>
      </c>
      <c r="C299" s="20">
        <f t="shared" si="15"/>
        <v>1.10010764262648</v>
      </c>
      <c r="D299" s="20">
        <f t="shared" si="15"/>
        <v>0.98358449946178683</v>
      </c>
      <c r="E299" s="20">
        <f t="shared" si="15"/>
        <v>1.0269106566200215</v>
      </c>
      <c r="F299" s="71"/>
      <c r="G299" s="71"/>
    </row>
    <row r="300" spans="1:7" ht="18" x14ac:dyDescent="0.2">
      <c r="A300" s="12" t="s">
        <v>76</v>
      </c>
      <c r="B300" s="3">
        <f t="shared" si="15"/>
        <v>1</v>
      </c>
      <c r="C300" s="20">
        <f t="shared" si="15"/>
        <v>1.104499274310595</v>
      </c>
      <c r="D300" s="20">
        <f t="shared" si="15"/>
        <v>1.0404571843251089</v>
      </c>
      <c r="E300" s="20">
        <f t="shared" si="15"/>
        <v>1.0852685050798259</v>
      </c>
      <c r="F300" s="71"/>
      <c r="G300" s="71"/>
    </row>
    <row r="301" spans="1:7" ht="18" x14ac:dyDescent="0.2">
      <c r="A301" s="12" t="s">
        <v>77</v>
      </c>
      <c r="B301" s="3">
        <f t="shared" si="15"/>
        <v>1</v>
      </c>
      <c r="C301" s="20">
        <f t="shared" si="15"/>
        <v>1.0303030303030303</v>
      </c>
      <c r="D301" s="20">
        <f t="shared" si="15"/>
        <v>1.0303030303030303</v>
      </c>
      <c r="E301" s="20">
        <f t="shared" si="15"/>
        <v>1.1515151515151516</v>
      </c>
      <c r="F301" s="71"/>
      <c r="G301" s="71"/>
    </row>
    <row r="302" spans="1:7" ht="18" x14ac:dyDescent="0.2">
      <c r="A302" s="12" t="s">
        <v>78</v>
      </c>
      <c r="B302" s="3">
        <f t="shared" si="15"/>
        <v>1</v>
      </c>
      <c r="C302" s="20">
        <f t="shared" si="15"/>
        <v>1.1127049180327868</v>
      </c>
      <c r="D302" s="20">
        <f t="shared" si="15"/>
        <v>1.1844262295081966</v>
      </c>
      <c r="E302" s="20">
        <f t="shared" si="15"/>
        <v>1.1403688524590163</v>
      </c>
      <c r="F302" s="71"/>
      <c r="G302" s="71"/>
    </row>
    <row r="303" spans="1:7" ht="18" x14ac:dyDescent="0.2">
      <c r="A303" s="12" t="s">
        <v>154</v>
      </c>
      <c r="B303" s="3">
        <f t="shared" si="15"/>
        <v>1</v>
      </c>
      <c r="C303" s="20">
        <f t="shared" si="15"/>
        <v>1.0537525354969575</v>
      </c>
      <c r="D303" s="65"/>
      <c r="E303" s="20">
        <f t="shared" si="15"/>
        <v>1.039553752535497</v>
      </c>
      <c r="F303" s="71"/>
      <c r="G303" s="71"/>
    </row>
    <row r="304" spans="1:7" ht="18" x14ac:dyDescent="0.2">
      <c r="A304" s="12" t="s">
        <v>79</v>
      </c>
      <c r="B304" s="3">
        <f t="shared" si="15"/>
        <v>1</v>
      </c>
      <c r="C304" s="20">
        <f t="shared" si="15"/>
        <v>1.1695278969957081</v>
      </c>
      <c r="D304" s="20">
        <f t="shared" si="15"/>
        <v>1.1738197424892705</v>
      </c>
      <c r="E304" s="20">
        <f t="shared" si="15"/>
        <v>1.1802575107296138</v>
      </c>
      <c r="F304" s="71"/>
      <c r="G304" s="71"/>
    </row>
    <row r="305" spans="1:7" ht="18" x14ac:dyDescent="0.2">
      <c r="A305" s="12" t="s">
        <v>80</v>
      </c>
      <c r="B305" s="3">
        <f t="shared" si="15"/>
        <v>1</v>
      </c>
      <c r="C305" s="20">
        <f t="shared" si="15"/>
        <v>1.1372549019607843</v>
      </c>
      <c r="D305" s="20">
        <f t="shared" si="15"/>
        <v>1.1372549019607843</v>
      </c>
      <c r="E305" s="20">
        <f t="shared" si="15"/>
        <v>1.1372549019607843</v>
      </c>
      <c r="F305" s="71"/>
      <c r="G305" s="71"/>
    </row>
    <row r="306" spans="1:7" ht="18" x14ac:dyDescent="0.2">
      <c r="A306" s="12" t="s">
        <v>176</v>
      </c>
      <c r="B306" s="3">
        <f t="shared" si="15"/>
        <v>1</v>
      </c>
      <c r="C306" s="20">
        <f t="shared" si="15"/>
        <v>1.8345221112696148</v>
      </c>
      <c r="D306" s="20">
        <f t="shared" si="15"/>
        <v>1.7817403708987161</v>
      </c>
      <c r="E306" s="20">
        <f t="shared" si="15"/>
        <v>1.7888730385164051</v>
      </c>
      <c r="F306" s="71"/>
      <c r="G306" s="71"/>
    </row>
    <row r="307" spans="1:7" ht="18" x14ac:dyDescent="0.2">
      <c r="A307" s="12" t="s">
        <v>66</v>
      </c>
      <c r="B307" s="3">
        <f>GEOMEAN(B293:B306)</f>
        <v>1</v>
      </c>
      <c r="C307" s="20">
        <f>GEOMEAN(C293:C306)</f>
        <v>1.1142132648112</v>
      </c>
      <c r="D307" s="20">
        <f>GEOMEAN(D293:D306)</f>
        <v>1.1129190558092552</v>
      </c>
      <c r="E307" s="20">
        <f>GEOMEAN(E293:E306)</f>
        <v>1.1279739541067457</v>
      </c>
      <c r="F307" s="71"/>
      <c r="G307" s="71"/>
    </row>
    <row r="308" spans="1:7" ht="18" x14ac:dyDescent="0.2">
      <c r="F308" s="71"/>
      <c r="G308" s="71"/>
    </row>
    <row r="309" spans="1:7" ht="18" x14ac:dyDescent="0.2">
      <c r="F309" s="71"/>
      <c r="G309" s="71"/>
    </row>
    <row r="310" spans="1:7" ht="18" x14ac:dyDescent="0.2">
      <c r="F310" s="71"/>
      <c r="G310" s="71"/>
    </row>
    <row r="311" spans="1:7" ht="18" x14ac:dyDescent="0.2">
      <c r="F311" s="71"/>
      <c r="G311" s="71"/>
    </row>
    <row r="312" spans="1:7" ht="18" x14ac:dyDescent="0.2">
      <c r="F312" s="71"/>
      <c r="G312" s="71"/>
    </row>
    <row r="313" spans="1:7" ht="18" x14ac:dyDescent="0.2">
      <c r="F313" s="71"/>
      <c r="G313" s="71"/>
    </row>
    <row r="314" spans="1:7" ht="18" x14ac:dyDescent="0.2">
      <c r="A314" s="2" t="s">
        <v>103</v>
      </c>
      <c r="B314" s="6" t="s">
        <v>86</v>
      </c>
      <c r="C314" s="6" t="s">
        <v>225</v>
      </c>
      <c r="D314" s="6" t="s">
        <v>226</v>
      </c>
      <c r="E314" s="6" t="s">
        <v>227</v>
      </c>
    </row>
    <row r="315" spans="1:7" ht="18" x14ac:dyDescent="0.2">
      <c r="A315" s="12" t="s">
        <v>69</v>
      </c>
      <c r="B315" s="3">
        <v>21</v>
      </c>
      <c r="C315" s="3">
        <v>1097</v>
      </c>
      <c r="D315" s="3">
        <v>206</v>
      </c>
      <c r="E315" s="20">
        <f>C315/D315</f>
        <v>5.325242718446602</v>
      </c>
    </row>
    <row r="316" spans="1:7" ht="18" x14ac:dyDescent="0.2">
      <c r="A316" s="12" t="s">
        <v>70</v>
      </c>
      <c r="B316" s="3">
        <v>27</v>
      </c>
      <c r="C316" s="3">
        <v>44</v>
      </c>
      <c r="D316" s="3">
        <v>25</v>
      </c>
      <c r="E316" s="20">
        <f t="shared" ref="E316:E328" si="16">C316/D316</f>
        <v>1.76</v>
      </c>
    </row>
    <row r="317" spans="1:7" ht="18" x14ac:dyDescent="0.2">
      <c r="A317" s="12" t="s">
        <v>71</v>
      </c>
      <c r="B317" s="3">
        <v>5657</v>
      </c>
      <c r="C317" s="3">
        <v>28182</v>
      </c>
      <c r="D317" s="3">
        <v>10908</v>
      </c>
      <c r="E317" s="20">
        <f t="shared" si="16"/>
        <v>2.5836083608360836</v>
      </c>
    </row>
    <row r="318" spans="1:7" ht="18" x14ac:dyDescent="0.2">
      <c r="A318" s="12" t="s">
        <v>72</v>
      </c>
      <c r="B318" s="3">
        <v>42</v>
      </c>
      <c r="C318" s="3">
        <v>95</v>
      </c>
      <c r="D318" s="3">
        <v>51</v>
      </c>
      <c r="E318" s="20">
        <f t="shared" si="16"/>
        <v>1.8627450980392157</v>
      </c>
    </row>
    <row r="319" spans="1:7" ht="18" x14ac:dyDescent="0.2">
      <c r="A319" s="12" t="s">
        <v>73</v>
      </c>
      <c r="B319" s="3">
        <v>3003</v>
      </c>
      <c r="C319" s="3">
        <v>81693</v>
      </c>
      <c r="D319" s="3">
        <v>14748</v>
      </c>
      <c r="E319" s="20">
        <f t="shared" si="16"/>
        <v>5.5392595606183885</v>
      </c>
    </row>
    <row r="320" spans="1:7" ht="18" x14ac:dyDescent="0.2">
      <c r="A320" s="12" t="s">
        <v>74</v>
      </c>
      <c r="B320" s="3">
        <v>3998</v>
      </c>
      <c r="C320" s="3">
        <v>77894</v>
      </c>
      <c r="D320" s="3">
        <v>15284</v>
      </c>
      <c r="E320" s="20">
        <f t="shared" si="16"/>
        <v>5.0964407223239991</v>
      </c>
    </row>
    <row r="321" spans="1:5" ht="18" x14ac:dyDescent="0.2">
      <c r="A321" s="12" t="s">
        <v>75</v>
      </c>
      <c r="B321" s="3">
        <v>3716</v>
      </c>
      <c r="C321" s="3">
        <v>3711</v>
      </c>
      <c r="D321" s="3">
        <v>3934</v>
      </c>
      <c r="E321" s="20">
        <f t="shared" si="16"/>
        <v>0.94331469242501276</v>
      </c>
    </row>
    <row r="322" spans="1:5" ht="18" x14ac:dyDescent="0.2">
      <c r="A322" s="12" t="s">
        <v>76</v>
      </c>
      <c r="B322" s="3">
        <v>5512</v>
      </c>
      <c r="C322" s="3">
        <v>5514</v>
      </c>
      <c r="D322" s="3">
        <v>5255</v>
      </c>
      <c r="E322" s="20">
        <f t="shared" si="16"/>
        <v>1.0492863939105614</v>
      </c>
    </row>
    <row r="323" spans="1:5" ht="18" x14ac:dyDescent="0.2">
      <c r="A323" s="12" t="s">
        <v>77</v>
      </c>
      <c r="B323" s="3">
        <v>33</v>
      </c>
      <c r="C323" s="3">
        <v>2015</v>
      </c>
      <c r="D323" s="3">
        <v>372</v>
      </c>
      <c r="E323" s="20">
        <f t="shared" si="16"/>
        <v>5.416666666666667</v>
      </c>
    </row>
    <row r="324" spans="1:5" ht="18" x14ac:dyDescent="0.2">
      <c r="A324" s="12" t="s">
        <v>78</v>
      </c>
      <c r="B324" s="3">
        <v>976</v>
      </c>
      <c r="C324" s="3">
        <v>19830</v>
      </c>
      <c r="D324" s="3">
        <v>3714</v>
      </c>
      <c r="E324" s="20">
        <f t="shared" si="16"/>
        <v>5.3392568659127626</v>
      </c>
    </row>
    <row r="325" spans="1:5" ht="18" x14ac:dyDescent="0.2">
      <c r="A325" s="12" t="s">
        <v>154</v>
      </c>
      <c r="B325" s="3">
        <v>5916</v>
      </c>
      <c r="C325" s="3">
        <v>373000</v>
      </c>
      <c r="D325" s="3">
        <v>62040</v>
      </c>
      <c r="E325" s="20">
        <f t="shared" si="16"/>
        <v>6.0122501611863317</v>
      </c>
    </row>
    <row r="326" spans="1:5" ht="18" x14ac:dyDescent="0.2">
      <c r="A326" s="12" t="s">
        <v>79</v>
      </c>
      <c r="B326" s="3">
        <v>466</v>
      </c>
      <c r="C326" s="3">
        <v>8272</v>
      </c>
      <c r="D326" s="3">
        <v>1778</v>
      </c>
      <c r="E326" s="20">
        <f t="shared" si="16"/>
        <v>4.6524184476940382</v>
      </c>
    </row>
    <row r="327" spans="1:5" ht="18" x14ac:dyDescent="0.2">
      <c r="A327" s="12" t="s">
        <v>80</v>
      </c>
      <c r="B327" s="3">
        <v>51</v>
      </c>
      <c r="C327" s="3">
        <v>787</v>
      </c>
      <c r="D327" s="3">
        <v>175</v>
      </c>
      <c r="E327" s="20">
        <f t="shared" si="16"/>
        <v>4.4971428571428573</v>
      </c>
    </row>
    <row r="328" spans="1:5" ht="18" x14ac:dyDescent="0.2">
      <c r="A328" s="12" t="s">
        <v>176</v>
      </c>
      <c r="B328" s="3">
        <v>701</v>
      </c>
      <c r="C328" s="3">
        <v>1280</v>
      </c>
      <c r="D328" s="3">
        <v>1291</v>
      </c>
      <c r="E328" s="20">
        <f t="shared" si="16"/>
        <v>0.99147947327652985</v>
      </c>
    </row>
    <row r="329" spans="1:5" ht="18" x14ac:dyDescent="0.2">
      <c r="E329" s="20">
        <f>GEOMEAN(E315:E328)</f>
        <v>2.9891415141713016</v>
      </c>
    </row>
    <row r="332" spans="1:5" ht="18" x14ac:dyDescent="0.2">
      <c r="A332" s="2" t="s">
        <v>103</v>
      </c>
      <c r="B332" s="6" t="s">
        <v>86</v>
      </c>
      <c r="C332" s="6" t="s">
        <v>225</v>
      </c>
      <c r="D332" s="6" t="s">
        <v>226</v>
      </c>
    </row>
    <row r="333" spans="1:5" ht="18" x14ac:dyDescent="0.2">
      <c r="A333" s="12" t="s">
        <v>69</v>
      </c>
      <c r="B333" s="3">
        <f>B315/$B315</f>
        <v>1</v>
      </c>
      <c r="C333" s="20">
        <f>C315/$B315</f>
        <v>52.238095238095241</v>
      </c>
      <c r="D333" s="20">
        <f>D315/$B315</f>
        <v>9.8095238095238102</v>
      </c>
    </row>
    <row r="334" spans="1:5" ht="18" x14ac:dyDescent="0.2">
      <c r="A334" s="12" t="s">
        <v>70</v>
      </c>
      <c r="B334" s="3">
        <f t="shared" ref="B334:D346" si="17">B316/$B316</f>
        <v>1</v>
      </c>
      <c r="C334" s="20">
        <f t="shared" si="17"/>
        <v>1.6296296296296295</v>
      </c>
      <c r="D334" s="20">
        <f t="shared" si="17"/>
        <v>0.92592592592592593</v>
      </c>
    </row>
    <row r="335" spans="1:5" ht="18" x14ac:dyDescent="0.2">
      <c r="A335" s="12" t="s">
        <v>71</v>
      </c>
      <c r="B335" s="3">
        <f t="shared" si="17"/>
        <v>1</v>
      </c>
      <c r="C335" s="20">
        <f t="shared" si="17"/>
        <v>4.9817924695068054</v>
      </c>
      <c r="D335" s="20">
        <f t="shared" si="17"/>
        <v>1.9282305108714866</v>
      </c>
    </row>
    <row r="336" spans="1:5" ht="18" x14ac:dyDescent="0.2">
      <c r="A336" s="12" t="s">
        <v>72</v>
      </c>
      <c r="B336" s="3">
        <f t="shared" si="17"/>
        <v>1</v>
      </c>
      <c r="C336" s="20">
        <f t="shared" si="17"/>
        <v>2.2619047619047619</v>
      </c>
      <c r="D336" s="20">
        <f t="shared" si="17"/>
        <v>1.2142857142857142</v>
      </c>
    </row>
    <row r="337" spans="1:4" ht="18" x14ac:dyDescent="0.2">
      <c r="A337" s="12" t="s">
        <v>73</v>
      </c>
      <c r="B337" s="3">
        <f t="shared" si="17"/>
        <v>1</v>
      </c>
      <c r="C337" s="20">
        <f t="shared" si="17"/>
        <v>27.203796203796205</v>
      </c>
      <c r="D337" s="20">
        <f t="shared" si="17"/>
        <v>4.9110889110889113</v>
      </c>
    </row>
    <row r="338" spans="1:4" ht="18" x14ac:dyDescent="0.2">
      <c r="A338" s="12" t="s">
        <v>74</v>
      </c>
      <c r="B338" s="3">
        <f t="shared" si="17"/>
        <v>1</v>
      </c>
      <c r="C338" s="20">
        <f t="shared" si="17"/>
        <v>19.483241620810404</v>
      </c>
      <c r="D338" s="20">
        <f t="shared" si="17"/>
        <v>3.8229114557278638</v>
      </c>
    </row>
    <row r="339" spans="1:4" ht="18" x14ac:dyDescent="0.2">
      <c r="A339" s="12" t="s">
        <v>75</v>
      </c>
      <c r="B339" s="3">
        <f t="shared" si="17"/>
        <v>1</v>
      </c>
      <c r="C339" s="20">
        <f t="shared" si="17"/>
        <v>0.99865446716899897</v>
      </c>
      <c r="D339" s="20">
        <f t="shared" si="17"/>
        <v>1.0586652314316469</v>
      </c>
    </row>
    <row r="340" spans="1:4" ht="18" x14ac:dyDescent="0.2">
      <c r="A340" s="12" t="s">
        <v>76</v>
      </c>
      <c r="B340" s="3">
        <f t="shared" si="17"/>
        <v>1</v>
      </c>
      <c r="C340" s="20">
        <f t="shared" si="17"/>
        <v>1.0003628447024673</v>
      </c>
      <c r="D340" s="20">
        <f t="shared" si="17"/>
        <v>0.95337445573294632</v>
      </c>
    </row>
    <row r="341" spans="1:4" ht="18" x14ac:dyDescent="0.2">
      <c r="A341" s="12" t="s">
        <v>77</v>
      </c>
      <c r="B341" s="3">
        <f t="shared" si="17"/>
        <v>1</v>
      </c>
      <c r="C341" s="20">
        <f t="shared" si="17"/>
        <v>61.060606060606062</v>
      </c>
      <c r="D341" s="20">
        <f t="shared" si="17"/>
        <v>11.272727272727273</v>
      </c>
    </row>
    <row r="342" spans="1:4" ht="18" x14ac:dyDescent="0.2">
      <c r="A342" s="12" t="s">
        <v>78</v>
      </c>
      <c r="B342" s="3">
        <f t="shared" si="17"/>
        <v>1</v>
      </c>
      <c r="C342" s="20">
        <f t="shared" si="17"/>
        <v>20.317622950819672</v>
      </c>
      <c r="D342" s="20">
        <f t="shared" si="17"/>
        <v>3.805327868852459</v>
      </c>
    </row>
    <row r="343" spans="1:4" ht="18" x14ac:dyDescent="0.2">
      <c r="A343" s="12" t="s">
        <v>154</v>
      </c>
      <c r="B343" s="3">
        <f t="shared" si="17"/>
        <v>1</v>
      </c>
      <c r="C343" s="20">
        <f t="shared" si="17"/>
        <v>63.049357674104122</v>
      </c>
      <c r="D343" s="20">
        <f t="shared" si="17"/>
        <v>10.486815415821502</v>
      </c>
    </row>
    <row r="344" spans="1:4" ht="18" x14ac:dyDescent="0.2">
      <c r="A344" s="12" t="s">
        <v>79</v>
      </c>
      <c r="B344" s="3">
        <f t="shared" si="17"/>
        <v>1</v>
      </c>
      <c r="C344" s="20">
        <f t="shared" si="17"/>
        <v>17.751072961373392</v>
      </c>
      <c r="D344" s="20">
        <f t="shared" si="17"/>
        <v>3.8154506437768241</v>
      </c>
    </row>
    <row r="345" spans="1:4" ht="18" x14ac:dyDescent="0.2">
      <c r="A345" s="12" t="s">
        <v>80</v>
      </c>
      <c r="B345" s="3">
        <f t="shared" si="17"/>
        <v>1</v>
      </c>
      <c r="C345" s="20">
        <f t="shared" si="17"/>
        <v>15.431372549019608</v>
      </c>
      <c r="D345" s="20">
        <f t="shared" si="17"/>
        <v>3.4313725490196076</v>
      </c>
    </row>
    <row r="346" spans="1:4" ht="18" x14ac:dyDescent="0.2">
      <c r="A346" s="12" t="s">
        <v>176</v>
      </c>
      <c r="B346" s="3">
        <f t="shared" si="17"/>
        <v>1</v>
      </c>
      <c r="C346" s="20">
        <f t="shared" si="17"/>
        <v>1.8259629101283881</v>
      </c>
      <c r="D346" s="20">
        <f t="shared" si="17"/>
        <v>1.8416547788873039</v>
      </c>
    </row>
    <row r="347" spans="1:4" ht="18" x14ac:dyDescent="0.2">
      <c r="A347" s="12" t="s">
        <v>66</v>
      </c>
      <c r="B347" s="3">
        <f>GEOMEAN(B333:B346)</f>
        <v>1</v>
      </c>
      <c r="C347" s="20">
        <f>GEOMEAN(C333:C346)</f>
        <v>8.9099232953161174</v>
      </c>
      <c r="D347" s="20">
        <f>GEOMEAN(D333:D346)</f>
        <v>2.9807632904212871</v>
      </c>
    </row>
  </sheetData>
  <mergeCells count="3">
    <mergeCell ref="A56:D56"/>
    <mergeCell ref="A74:D74"/>
    <mergeCell ref="A92:D9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E1A1-62AE-3641-96E4-00769A6C3458}">
  <dimension ref="A1:W294"/>
  <sheetViews>
    <sheetView topLeftCell="A161" zoomScaleNormal="100" workbookViewId="0">
      <selection activeCell="A257" sqref="A257:J279"/>
    </sheetView>
  </sheetViews>
  <sheetFormatPr baseColWidth="10" defaultRowHeight="16" x14ac:dyDescent="0.2"/>
  <cols>
    <col min="1" max="1" width="34.83203125" bestFit="1" customWidth="1"/>
    <col min="2" max="2" width="24" bestFit="1" customWidth="1"/>
    <col min="3" max="3" width="27" bestFit="1" customWidth="1"/>
    <col min="4" max="4" width="26" bestFit="1" customWidth="1"/>
    <col min="5" max="5" width="24.83203125" bestFit="1" customWidth="1"/>
    <col min="6" max="6" width="19.33203125" bestFit="1" customWidth="1"/>
    <col min="7" max="7" width="22.1640625" bestFit="1" customWidth="1"/>
    <col min="8" max="8" width="24.33203125" bestFit="1" customWidth="1"/>
    <col min="9" max="9" width="20.1640625" bestFit="1" customWidth="1"/>
    <col min="10" max="10" width="18.83203125" bestFit="1" customWidth="1"/>
    <col min="11" max="12" width="9.83203125" customWidth="1"/>
    <col min="13" max="13" width="17.5" bestFit="1" customWidth="1"/>
    <col min="14" max="17" width="9.6640625" customWidth="1"/>
    <col min="19" max="24" width="25" customWidth="1"/>
  </cols>
  <sheetData>
    <row r="1" spans="1:8" x14ac:dyDescent="0.2">
      <c r="A1" s="194" t="s">
        <v>231</v>
      </c>
      <c r="B1" s="194"/>
      <c r="C1" s="194"/>
      <c r="D1" s="194"/>
      <c r="E1" s="194"/>
      <c r="F1" s="194"/>
      <c r="G1" s="194"/>
      <c r="H1" s="194"/>
    </row>
    <row r="2" spans="1:8" ht="18" x14ac:dyDescent="0.2">
      <c r="A2" s="2" t="s">
        <v>228</v>
      </c>
      <c r="B2" s="6" t="s">
        <v>86</v>
      </c>
      <c r="C2" s="6" t="s">
        <v>233</v>
      </c>
      <c r="D2" s="6" t="s">
        <v>234</v>
      </c>
      <c r="E2" s="6" t="s">
        <v>235</v>
      </c>
      <c r="F2" s="6" t="s">
        <v>236</v>
      </c>
      <c r="G2" s="81" t="s">
        <v>237</v>
      </c>
      <c r="H2" s="81" t="s">
        <v>238</v>
      </c>
    </row>
    <row r="3" spans="1:8" ht="18" x14ac:dyDescent="0.2">
      <c r="A3" s="12" t="s">
        <v>69</v>
      </c>
      <c r="B3" s="3">
        <v>21</v>
      </c>
      <c r="C3" s="3">
        <v>23</v>
      </c>
      <c r="D3" s="3">
        <v>27</v>
      </c>
      <c r="E3" s="3">
        <v>23</v>
      </c>
      <c r="F3" s="76">
        <v>27</v>
      </c>
      <c r="G3" s="3">
        <v>1097</v>
      </c>
      <c r="H3" s="3">
        <v>206</v>
      </c>
    </row>
    <row r="4" spans="1:8" ht="18" x14ac:dyDescent="0.2">
      <c r="A4" s="12" t="s">
        <v>70</v>
      </c>
      <c r="B4" s="3">
        <v>21</v>
      </c>
      <c r="C4" s="3">
        <v>24</v>
      </c>
      <c r="D4" s="3">
        <v>24</v>
      </c>
      <c r="E4" s="3">
        <v>25</v>
      </c>
      <c r="F4" s="76">
        <v>25</v>
      </c>
      <c r="G4" s="3">
        <v>44</v>
      </c>
      <c r="H4" s="3">
        <v>25</v>
      </c>
    </row>
    <row r="5" spans="1:8" ht="18" x14ac:dyDescent="0.2">
      <c r="A5" s="12" t="s">
        <v>71</v>
      </c>
      <c r="B5" s="3">
        <v>5657</v>
      </c>
      <c r="C5" s="3">
        <v>6074</v>
      </c>
      <c r="D5" s="3">
        <v>6277</v>
      </c>
      <c r="E5" s="76">
        <v>6308</v>
      </c>
      <c r="F5" s="76">
        <v>6310</v>
      </c>
      <c r="G5" s="3">
        <v>28182</v>
      </c>
      <c r="H5" s="3">
        <v>10908</v>
      </c>
    </row>
    <row r="6" spans="1:8" ht="18" x14ac:dyDescent="0.2">
      <c r="A6" s="12" t="s">
        <v>72</v>
      </c>
      <c r="B6" s="3">
        <v>42</v>
      </c>
      <c r="C6" s="3">
        <v>42</v>
      </c>
      <c r="D6" s="3">
        <v>42</v>
      </c>
      <c r="E6" s="3">
        <v>43</v>
      </c>
      <c r="F6" s="76">
        <v>43</v>
      </c>
      <c r="G6" s="3">
        <v>95</v>
      </c>
      <c r="H6" s="3">
        <v>51</v>
      </c>
    </row>
    <row r="7" spans="1:8" ht="18" x14ac:dyDescent="0.2">
      <c r="A7" s="12" t="s">
        <v>73</v>
      </c>
      <c r="B7" s="3">
        <v>3003</v>
      </c>
      <c r="C7" s="3">
        <v>3300</v>
      </c>
      <c r="D7" s="3">
        <v>3320</v>
      </c>
      <c r="E7" s="3">
        <v>3264</v>
      </c>
      <c r="F7" s="76">
        <v>3383</v>
      </c>
      <c r="G7" s="3">
        <v>81693</v>
      </c>
      <c r="H7" s="3">
        <v>14748</v>
      </c>
    </row>
    <row r="8" spans="1:8" ht="18" x14ac:dyDescent="0.2">
      <c r="A8" s="12" t="s">
        <v>74</v>
      </c>
      <c r="B8" s="3">
        <v>3998</v>
      </c>
      <c r="C8" s="3">
        <v>4377</v>
      </c>
      <c r="D8" s="3">
        <v>4313</v>
      </c>
      <c r="E8" s="3">
        <v>4578</v>
      </c>
      <c r="F8" s="76">
        <v>4383</v>
      </c>
      <c r="G8" s="3">
        <v>77894</v>
      </c>
      <c r="H8" s="3">
        <v>15284</v>
      </c>
    </row>
    <row r="9" spans="1:8" ht="18" x14ac:dyDescent="0.2">
      <c r="A9" s="12" t="s">
        <v>75</v>
      </c>
      <c r="B9" s="3">
        <v>3200</v>
      </c>
      <c r="C9" s="3">
        <v>3558</v>
      </c>
      <c r="D9" s="3">
        <v>3288</v>
      </c>
      <c r="E9" s="3">
        <v>3655</v>
      </c>
      <c r="F9" s="76">
        <v>3816</v>
      </c>
      <c r="G9" s="3">
        <v>3711</v>
      </c>
      <c r="H9" s="3">
        <v>3934</v>
      </c>
    </row>
    <row r="10" spans="1:8" ht="18" x14ac:dyDescent="0.2">
      <c r="A10" s="12" t="s">
        <v>76</v>
      </c>
      <c r="B10" s="3">
        <v>5108</v>
      </c>
      <c r="C10" s="3">
        <v>5589</v>
      </c>
      <c r="D10" s="3">
        <v>5159</v>
      </c>
      <c r="E10" s="3">
        <v>5735</v>
      </c>
      <c r="F10" s="76">
        <v>5982</v>
      </c>
      <c r="G10" s="3">
        <v>5514</v>
      </c>
      <c r="H10" s="3">
        <v>5255</v>
      </c>
    </row>
    <row r="11" spans="1:8" ht="18" x14ac:dyDescent="0.2">
      <c r="A11" s="12" t="s">
        <v>77</v>
      </c>
      <c r="B11" s="3">
        <v>33</v>
      </c>
      <c r="C11" s="3">
        <v>37</v>
      </c>
      <c r="D11" s="3">
        <v>40</v>
      </c>
      <c r="E11" s="3">
        <v>34</v>
      </c>
      <c r="F11" s="76">
        <v>38</v>
      </c>
      <c r="G11" s="3">
        <v>2015</v>
      </c>
      <c r="H11" s="3">
        <v>372</v>
      </c>
    </row>
    <row r="12" spans="1:8" ht="18" x14ac:dyDescent="0.2">
      <c r="A12" s="12" t="s">
        <v>78</v>
      </c>
      <c r="B12" s="3">
        <v>976</v>
      </c>
      <c r="C12" s="3">
        <v>1108</v>
      </c>
      <c r="D12" s="3">
        <v>1067</v>
      </c>
      <c r="E12" s="3">
        <v>1156</v>
      </c>
      <c r="F12" s="76">
        <v>1113</v>
      </c>
      <c r="G12" s="3">
        <v>19830</v>
      </c>
      <c r="H12" s="3">
        <v>3714</v>
      </c>
    </row>
    <row r="13" spans="1:8" ht="18" x14ac:dyDescent="0.2">
      <c r="A13" s="12" t="s">
        <v>154</v>
      </c>
      <c r="B13" s="3">
        <v>5916</v>
      </c>
      <c r="C13" s="3">
        <v>5991</v>
      </c>
      <c r="D13" s="3">
        <v>6265</v>
      </c>
      <c r="E13" s="3">
        <v>6234</v>
      </c>
      <c r="F13" s="76">
        <v>6150</v>
      </c>
      <c r="G13" s="3">
        <v>373000</v>
      </c>
      <c r="H13" s="3">
        <v>62040</v>
      </c>
    </row>
    <row r="14" spans="1:8" ht="18" x14ac:dyDescent="0.2">
      <c r="A14" s="12" t="s">
        <v>79</v>
      </c>
      <c r="B14" s="3">
        <v>466</v>
      </c>
      <c r="C14" s="3">
        <v>518</v>
      </c>
      <c r="D14" s="3">
        <v>532</v>
      </c>
      <c r="E14" s="3">
        <v>547</v>
      </c>
      <c r="F14" s="76">
        <v>550</v>
      </c>
      <c r="G14" s="3">
        <v>8272</v>
      </c>
      <c r="H14" s="3">
        <v>1778</v>
      </c>
    </row>
    <row r="15" spans="1:8" ht="18" x14ac:dyDescent="0.2">
      <c r="A15" s="12" t="s">
        <v>80</v>
      </c>
      <c r="B15" s="3">
        <v>51</v>
      </c>
      <c r="C15" s="3">
        <v>58</v>
      </c>
      <c r="D15" s="3">
        <v>58</v>
      </c>
      <c r="E15" s="3">
        <v>58</v>
      </c>
      <c r="F15" s="76">
        <v>58</v>
      </c>
      <c r="G15" s="3">
        <v>787</v>
      </c>
      <c r="H15" s="3">
        <v>175</v>
      </c>
    </row>
    <row r="16" spans="1:8" ht="18" x14ac:dyDescent="0.2">
      <c r="A16" s="12" t="s">
        <v>176</v>
      </c>
      <c r="B16" s="3">
        <v>701</v>
      </c>
      <c r="C16" s="3">
        <v>1231</v>
      </c>
      <c r="D16" s="3">
        <v>1287</v>
      </c>
      <c r="E16" s="3">
        <v>1249</v>
      </c>
      <c r="F16" s="76">
        <v>1254</v>
      </c>
      <c r="G16" s="3">
        <v>1280</v>
      </c>
      <c r="H16" s="3">
        <v>1291</v>
      </c>
    </row>
    <row r="19" spans="1:8" ht="18" x14ac:dyDescent="0.2">
      <c r="A19" s="2" t="s">
        <v>228</v>
      </c>
      <c r="B19" s="6" t="s">
        <v>86</v>
      </c>
      <c r="C19" s="6" t="s">
        <v>233</v>
      </c>
      <c r="D19" s="6" t="s">
        <v>234</v>
      </c>
      <c r="E19" s="6" t="s">
        <v>263</v>
      </c>
      <c r="F19" s="6" t="s">
        <v>262</v>
      </c>
      <c r="G19" s="81" t="s">
        <v>237</v>
      </c>
      <c r="H19" s="81" t="s">
        <v>238</v>
      </c>
    </row>
    <row r="20" spans="1:8" ht="18" x14ac:dyDescent="0.2">
      <c r="A20" s="12" t="s">
        <v>91</v>
      </c>
      <c r="B20" s="20">
        <f t="shared" ref="B20:D32" si="0">B3/$B3</f>
        <v>1</v>
      </c>
      <c r="C20" s="20">
        <f t="shared" si="0"/>
        <v>1.0952380952380953</v>
      </c>
      <c r="D20" s="20">
        <f t="shared" si="0"/>
        <v>1.2857142857142858</v>
      </c>
      <c r="E20" s="20">
        <f t="shared" ref="E20:H32" si="1">E3/$B3</f>
        <v>1.0952380952380953</v>
      </c>
      <c r="F20" s="20">
        <f t="shared" si="1"/>
        <v>1.2857142857142858</v>
      </c>
      <c r="G20" s="3">
        <f t="shared" si="1"/>
        <v>52.238095238095241</v>
      </c>
      <c r="H20" s="3">
        <f t="shared" si="1"/>
        <v>9.8095238095238102</v>
      </c>
    </row>
    <row r="21" spans="1:8" ht="18" x14ac:dyDescent="0.2">
      <c r="A21" s="12" t="s">
        <v>92</v>
      </c>
      <c r="B21" s="20">
        <f t="shared" si="0"/>
        <v>1</v>
      </c>
      <c r="C21" s="20">
        <f t="shared" si="0"/>
        <v>1.1428571428571428</v>
      </c>
      <c r="D21" s="20">
        <f t="shared" si="0"/>
        <v>1.1428571428571428</v>
      </c>
      <c r="E21" s="20">
        <f t="shared" si="1"/>
        <v>1.1904761904761905</v>
      </c>
      <c r="F21" s="20">
        <f t="shared" si="1"/>
        <v>1.1904761904761905</v>
      </c>
      <c r="G21" s="3">
        <f t="shared" si="1"/>
        <v>2.0952380952380953</v>
      </c>
      <c r="H21" s="3">
        <f t="shared" si="1"/>
        <v>1.1904761904761905</v>
      </c>
    </row>
    <row r="22" spans="1:8" ht="18" x14ac:dyDescent="0.2">
      <c r="A22" s="12" t="s">
        <v>93</v>
      </c>
      <c r="B22" s="20">
        <f t="shared" si="0"/>
        <v>1</v>
      </c>
      <c r="C22" s="20">
        <f t="shared" si="0"/>
        <v>1.0737139826763302</v>
      </c>
      <c r="D22" s="20">
        <f t="shared" si="0"/>
        <v>1.1095987272405869</v>
      </c>
      <c r="E22" s="20">
        <f t="shared" si="1"/>
        <v>1.1150786636026162</v>
      </c>
      <c r="F22" s="20">
        <f t="shared" si="1"/>
        <v>1.1154322078840375</v>
      </c>
      <c r="G22" s="3">
        <f t="shared" si="1"/>
        <v>4.9817924695068054</v>
      </c>
      <c r="H22" s="3">
        <f t="shared" si="1"/>
        <v>1.9282305108714866</v>
      </c>
    </row>
    <row r="23" spans="1:8" ht="18" x14ac:dyDescent="0.2">
      <c r="A23" s="12" t="s">
        <v>94</v>
      </c>
      <c r="B23" s="20">
        <f t="shared" si="0"/>
        <v>1</v>
      </c>
      <c r="C23" s="20">
        <f t="shared" si="0"/>
        <v>1</v>
      </c>
      <c r="D23" s="20">
        <f t="shared" si="0"/>
        <v>1</v>
      </c>
      <c r="E23" s="20">
        <f t="shared" si="1"/>
        <v>1.0238095238095237</v>
      </c>
      <c r="F23" s="20">
        <f t="shared" si="1"/>
        <v>1.0238095238095237</v>
      </c>
      <c r="G23" s="3">
        <f t="shared" si="1"/>
        <v>2.2619047619047619</v>
      </c>
      <c r="H23" s="3">
        <f t="shared" si="1"/>
        <v>1.2142857142857142</v>
      </c>
    </row>
    <row r="24" spans="1:8" ht="18" x14ac:dyDescent="0.2">
      <c r="A24" s="12" t="s">
        <v>95</v>
      </c>
      <c r="B24" s="20">
        <f t="shared" si="0"/>
        <v>1</v>
      </c>
      <c r="C24" s="20">
        <f t="shared" si="0"/>
        <v>1.098901098901099</v>
      </c>
      <c r="D24" s="20">
        <f t="shared" si="0"/>
        <v>1.1055611055611057</v>
      </c>
      <c r="E24" s="20">
        <f t="shared" si="1"/>
        <v>1.086913086913087</v>
      </c>
      <c r="F24" s="20">
        <f t="shared" si="1"/>
        <v>1.1265401265401265</v>
      </c>
      <c r="G24" s="3">
        <f t="shared" si="1"/>
        <v>27.203796203796205</v>
      </c>
      <c r="H24" s="3">
        <f t="shared" si="1"/>
        <v>4.9110889110889113</v>
      </c>
    </row>
    <row r="25" spans="1:8" ht="18" x14ac:dyDescent="0.2">
      <c r="A25" s="12" t="s">
        <v>96</v>
      </c>
      <c r="B25" s="20">
        <f t="shared" si="0"/>
        <v>1</v>
      </c>
      <c r="C25" s="20">
        <f t="shared" si="0"/>
        <v>1.0947973986993498</v>
      </c>
      <c r="D25" s="20">
        <f t="shared" si="0"/>
        <v>1.0787893946973486</v>
      </c>
      <c r="E25" s="20">
        <f t="shared" si="1"/>
        <v>1.145072536268134</v>
      </c>
      <c r="F25" s="20">
        <f t="shared" si="1"/>
        <v>1.0962981490745374</v>
      </c>
      <c r="G25" s="3">
        <f t="shared" si="1"/>
        <v>19.483241620810404</v>
      </c>
      <c r="H25" s="3">
        <f t="shared" si="1"/>
        <v>3.8229114557278638</v>
      </c>
    </row>
    <row r="26" spans="1:8" ht="18" x14ac:dyDescent="0.2">
      <c r="A26" s="12" t="s">
        <v>97</v>
      </c>
      <c r="B26" s="20">
        <f t="shared" si="0"/>
        <v>1</v>
      </c>
      <c r="C26" s="20">
        <f t="shared" si="0"/>
        <v>1.1118749999999999</v>
      </c>
      <c r="D26" s="20">
        <f t="shared" si="0"/>
        <v>1.0275000000000001</v>
      </c>
      <c r="E26" s="20">
        <f t="shared" si="1"/>
        <v>1.1421874999999999</v>
      </c>
      <c r="F26" s="20">
        <f t="shared" si="1"/>
        <v>1.1924999999999999</v>
      </c>
      <c r="G26" s="3">
        <f t="shared" si="1"/>
        <v>1.1596875</v>
      </c>
      <c r="H26" s="3">
        <f t="shared" si="1"/>
        <v>1.2293750000000001</v>
      </c>
    </row>
    <row r="27" spans="1:8" ht="18" x14ac:dyDescent="0.2">
      <c r="A27" s="12" t="s">
        <v>98</v>
      </c>
      <c r="B27" s="20">
        <f t="shared" si="0"/>
        <v>1</v>
      </c>
      <c r="C27" s="20">
        <f t="shared" si="0"/>
        <v>1.0941660140955365</v>
      </c>
      <c r="D27" s="20">
        <f t="shared" si="0"/>
        <v>1.0099843382928739</v>
      </c>
      <c r="E27" s="20">
        <f t="shared" si="1"/>
        <v>1.1227486296006264</v>
      </c>
      <c r="F27" s="20">
        <f t="shared" si="1"/>
        <v>1.1711041503523885</v>
      </c>
      <c r="G27" s="3">
        <f t="shared" si="1"/>
        <v>1.0794831636648394</v>
      </c>
      <c r="H27" s="3">
        <f t="shared" si="1"/>
        <v>1.028778386844166</v>
      </c>
    </row>
    <row r="28" spans="1:8" ht="18" x14ac:dyDescent="0.2">
      <c r="A28" s="12" t="s">
        <v>99</v>
      </c>
      <c r="B28" s="20">
        <f t="shared" si="0"/>
        <v>1</v>
      </c>
      <c r="C28" s="20">
        <f t="shared" si="0"/>
        <v>1.1212121212121211</v>
      </c>
      <c r="D28" s="20">
        <f t="shared" si="0"/>
        <v>1.2121212121212122</v>
      </c>
      <c r="E28" s="20">
        <f t="shared" si="1"/>
        <v>1.0303030303030303</v>
      </c>
      <c r="F28" s="20">
        <f t="shared" si="1"/>
        <v>1.1515151515151516</v>
      </c>
      <c r="G28" s="3">
        <f t="shared" si="1"/>
        <v>61.060606060606062</v>
      </c>
      <c r="H28" s="3">
        <f t="shared" si="1"/>
        <v>11.272727272727273</v>
      </c>
    </row>
    <row r="29" spans="1:8" ht="18" x14ac:dyDescent="0.2">
      <c r="A29" s="12" t="s">
        <v>100</v>
      </c>
      <c r="B29" s="20">
        <f t="shared" si="0"/>
        <v>1</v>
      </c>
      <c r="C29" s="20">
        <f t="shared" si="0"/>
        <v>1.1352459016393444</v>
      </c>
      <c r="D29" s="20">
        <f t="shared" si="0"/>
        <v>1.0932377049180328</v>
      </c>
      <c r="E29" s="20">
        <f t="shared" si="1"/>
        <v>1.1844262295081966</v>
      </c>
      <c r="F29" s="20">
        <f t="shared" si="1"/>
        <v>1.1403688524590163</v>
      </c>
      <c r="G29" s="3">
        <f t="shared" si="1"/>
        <v>20.317622950819672</v>
      </c>
      <c r="H29" s="3">
        <f t="shared" si="1"/>
        <v>3.805327868852459</v>
      </c>
    </row>
    <row r="30" spans="1:8" ht="18" x14ac:dyDescent="0.2">
      <c r="A30" s="12" t="s">
        <v>158</v>
      </c>
      <c r="B30" s="20">
        <f t="shared" si="0"/>
        <v>1</v>
      </c>
      <c r="C30" s="20">
        <f t="shared" si="0"/>
        <v>1.0126774847870184</v>
      </c>
      <c r="D30" s="20">
        <f t="shared" si="0"/>
        <v>1.0589925625422583</v>
      </c>
      <c r="E30" s="20">
        <f t="shared" si="1"/>
        <v>1.0537525354969575</v>
      </c>
      <c r="F30" s="20">
        <f t="shared" si="1"/>
        <v>1.039553752535497</v>
      </c>
      <c r="G30" s="3">
        <f t="shared" si="1"/>
        <v>63.049357674104122</v>
      </c>
      <c r="H30" s="3">
        <f t="shared" si="1"/>
        <v>10.486815415821502</v>
      </c>
    </row>
    <row r="31" spans="1:8" ht="18" x14ac:dyDescent="0.2">
      <c r="A31" s="12" t="s">
        <v>101</v>
      </c>
      <c r="B31" s="20">
        <f t="shared" si="0"/>
        <v>1</v>
      </c>
      <c r="C31" s="20">
        <f t="shared" si="0"/>
        <v>1.1115879828326181</v>
      </c>
      <c r="D31" s="20">
        <f t="shared" si="0"/>
        <v>1.1416309012875536</v>
      </c>
      <c r="E31" s="20">
        <f t="shared" si="1"/>
        <v>1.1738197424892705</v>
      </c>
      <c r="F31" s="20">
        <f t="shared" si="1"/>
        <v>1.1802575107296138</v>
      </c>
      <c r="G31" s="3">
        <f t="shared" si="1"/>
        <v>17.751072961373392</v>
      </c>
      <c r="H31" s="3">
        <f t="shared" si="1"/>
        <v>3.8154506437768241</v>
      </c>
    </row>
    <row r="32" spans="1:8" ht="18" x14ac:dyDescent="0.2">
      <c r="A32" s="12" t="s">
        <v>102</v>
      </c>
      <c r="B32" s="20">
        <f t="shared" si="0"/>
        <v>1</v>
      </c>
      <c r="C32" s="20">
        <f t="shared" si="0"/>
        <v>1.1372549019607843</v>
      </c>
      <c r="D32" s="20">
        <f t="shared" si="0"/>
        <v>1.1372549019607843</v>
      </c>
      <c r="E32" s="20">
        <f t="shared" si="1"/>
        <v>1.1372549019607843</v>
      </c>
      <c r="F32" s="20">
        <f t="shared" si="1"/>
        <v>1.1372549019607843</v>
      </c>
      <c r="G32" s="3">
        <f t="shared" si="1"/>
        <v>15.431372549019608</v>
      </c>
      <c r="H32" s="3">
        <f t="shared" si="1"/>
        <v>3.4313725490196076</v>
      </c>
    </row>
    <row r="33" spans="1:9" ht="18" x14ac:dyDescent="0.2">
      <c r="A33" s="78" t="s">
        <v>160</v>
      </c>
      <c r="B33" s="21">
        <f t="shared" ref="B33:H33" si="2">GEOMEAN(B20:B32)</f>
        <v>1</v>
      </c>
      <c r="C33" s="21">
        <f t="shared" si="2"/>
        <v>1.0937376657300579</v>
      </c>
      <c r="D33" s="21">
        <f t="shared" si="2"/>
        <v>1.105341728209009</v>
      </c>
      <c r="E33" s="22">
        <f t="shared" si="2"/>
        <v>1.1141904343413551</v>
      </c>
      <c r="F33" s="22">
        <f t="shared" si="2"/>
        <v>1.1405029417364025</v>
      </c>
      <c r="G33" s="22">
        <f t="shared" si="2"/>
        <v>10.441415799973916</v>
      </c>
      <c r="H33" s="22">
        <f t="shared" si="2"/>
        <v>3.2088288166902603</v>
      </c>
      <c r="I33" s="71">
        <f>G33/H33</f>
        <v>3.2539647318250191</v>
      </c>
    </row>
    <row r="34" spans="1:9" ht="18" x14ac:dyDescent="0.2">
      <c r="H34" s="71">
        <f>G33/H33</f>
        <v>3.2539647318250191</v>
      </c>
    </row>
    <row r="35" spans="1:9" ht="18" x14ac:dyDescent="0.2">
      <c r="A35" s="2" t="s">
        <v>103</v>
      </c>
      <c r="B35" s="6" t="s">
        <v>86</v>
      </c>
      <c r="C35" s="6" t="s">
        <v>233</v>
      </c>
      <c r="D35" s="6" t="s">
        <v>234</v>
      </c>
      <c r="E35" s="6" t="s">
        <v>237</v>
      </c>
      <c r="F35" s="6" t="s">
        <v>238</v>
      </c>
    </row>
    <row r="36" spans="1:9" ht="18" x14ac:dyDescent="0.2">
      <c r="A36" s="12" t="s">
        <v>116</v>
      </c>
      <c r="B36" s="3">
        <v>25970</v>
      </c>
      <c r="C36" s="3">
        <v>45806</v>
      </c>
      <c r="D36" s="3">
        <v>45544</v>
      </c>
      <c r="E36" s="5">
        <v>57710</v>
      </c>
      <c r="F36" s="5">
        <v>54771</v>
      </c>
      <c r="G36">
        <f>E36/F36</f>
        <v>1.0536597834620511</v>
      </c>
    </row>
    <row r="37" spans="1:9" ht="18" x14ac:dyDescent="0.2">
      <c r="A37" s="12" t="s">
        <v>117</v>
      </c>
      <c r="B37" s="3">
        <v>39798</v>
      </c>
      <c r="C37" s="3">
        <v>108992</v>
      </c>
      <c r="D37" s="3">
        <v>108491</v>
      </c>
      <c r="E37" s="5">
        <v>172545</v>
      </c>
      <c r="F37" s="5">
        <v>142462</v>
      </c>
      <c r="G37">
        <f t="shared" ref="G37:G44" si="3">E37/F37</f>
        <v>1.2111650826185227</v>
      </c>
    </row>
    <row r="38" spans="1:9" ht="18" x14ac:dyDescent="0.2">
      <c r="A38" s="12" t="s">
        <v>0</v>
      </c>
      <c r="B38" s="3">
        <v>66451</v>
      </c>
      <c r="C38" s="3">
        <v>131286</v>
      </c>
      <c r="D38" s="3">
        <v>130567</v>
      </c>
      <c r="E38" s="5">
        <v>821500</v>
      </c>
      <c r="F38" s="5">
        <v>245543</v>
      </c>
      <c r="G38">
        <f t="shared" si="3"/>
        <v>3.3456461800988015</v>
      </c>
    </row>
    <row r="39" spans="1:9" ht="18" x14ac:dyDescent="0.2">
      <c r="A39" s="12" t="s">
        <v>1</v>
      </c>
      <c r="B39" s="3">
        <v>116294</v>
      </c>
      <c r="C39" s="3">
        <v>123510</v>
      </c>
      <c r="D39" s="3">
        <v>123430</v>
      </c>
      <c r="E39" s="5">
        <v>131837</v>
      </c>
      <c r="F39" s="5">
        <v>148055</v>
      </c>
      <c r="G39">
        <f t="shared" si="3"/>
        <v>0.89045962649015564</v>
      </c>
    </row>
    <row r="40" spans="1:9" ht="18" x14ac:dyDescent="0.2">
      <c r="A40" s="12" t="s">
        <v>157</v>
      </c>
      <c r="B40" s="5">
        <v>38444</v>
      </c>
      <c r="C40" s="5">
        <v>53666</v>
      </c>
      <c r="D40" s="5">
        <v>51606</v>
      </c>
      <c r="E40" s="5">
        <v>427400</v>
      </c>
      <c r="F40" s="5">
        <v>102843</v>
      </c>
      <c r="G40">
        <f t="shared" si="3"/>
        <v>4.1558492070437465</v>
      </c>
    </row>
    <row r="41" spans="1:9" ht="18" x14ac:dyDescent="0.2">
      <c r="A41" s="12" t="s">
        <v>2</v>
      </c>
      <c r="B41" s="3">
        <v>29341</v>
      </c>
      <c r="C41" s="3">
        <v>53457</v>
      </c>
      <c r="D41" s="3">
        <v>52753</v>
      </c>
      <c r="E41" s="5">
        <v>258366</v>
      </c>
      <c r="F41" s="5">
        <v>80609</v>
      </c>
      <c r="G41">
        <f t="shared" si="3"/>
        <v>3.2051756007393717</v>
      </c>
      <c r="H41" s="3"/>
      <c r="I41" s="3"/>
    </row>
    <row r="42" spans="1:9" ht="18" x14ac:dyDescent="0.2">
      <c r="A42" s="12" t="s">
        <v>3</v>
      </c>
      <c r="B42" s="3">
        <v>11136</v>
      </c>
      <c r="C42" s="3">
        <v>21412</v>
      </c>
      <c r="D42" s="3">
        <v>21565</v>
      </c>
      <c r="E42" s="5">
        <v>84658</v>
      </c>
      <c r="F42" s="5">
        <v>29676</v>
      </c>
      <c r="G42">
        <f t="shared" si="3"/>
        <v>2.8527429572718694</v>
      </c>
      <c r="H42" s="3"/>
      <c r="I42" s="3"/>
    </row>
    <row r="43" spans="1:9" ht="18" x14ac:dyDescent="0.2">
      <c r="A43" s="12" t="s">
        <v>4</v>
      </c>
      <c r="B43" s="3">
        <v>38181</v>
      </c>
      <c r="C43" s="3">
        <v>69070</v>
      </c>
      <c r="D43" s="3">
        <v>70081</v>
      </c>
      <c r="E43" s="5">
        <v>284531</v>
      </c>
      <c r="F43" s="5">
        <v>98882</v>
      </c>
      <c r="G43">
        <f t="shared" si="3"/>
        <v>2.8774802289597701</v>
      </c>
      <c r="H43" s="3"/>
      <c r="I43" s="3"/>
    </row>
    <row r="44" spans="1:9" ht="18" x14ac:dyDescent="0.2">
      <c r="A44" s="12" t="s">
        <v>5</v>
      </c>
      <c r="B44" s="3">
        <v>31298</v>
      </c>
      <c r="C44" s="3">
        <v>63174</v>
      </c>
      <c r="D44" s="3">
        <v>63164</v>
      </c>
      <c r="E44" s="5">
        <v>265662</v>
      </c>
      <c r="F44" s="5">
        <v>94488</v>
      </c>
      <c r="G44">
        <f t="shared" si="3"/>
        <v>2.8115951231902465</v>
      </c>
      <c r="H44" s="3"/>
      <c r="I44" s="3"/>
    </row>
    <row r="45" spans="1:9" ht="18" x14ac:dyDescent="0.2">
      <c r="H45" s="3"/>
      <c r="I45" s="3"/>
    </row>
    <row r="46" spans="1:9" ht="18" x14ac:dyDescent="0.2">
      <c r="H46" s="3"/>
      <c r="I46" s="3"/>
    </row>
    <row r="47" spans="1:9" ht="18" x14ac:dyDescent="0.2">
      <c r="A47" s="2" t="s">
        <v>103</v>
      </c>
      <c r="B47" s="6" t="s">
        <v>86</v>
      </c>
      <c r="C47" s="6" t="s">
        <v>233</v>
      </c>
      <c r="D47" s="6" t="s">
        <v>234</v>
      </c>
      <c r="E47" s="6" t="s">
        <v>237</v>
      </c>
      <c r="F47" s="6" t="s">
        <v>238</v>
      </c>
      <c r="H47" s="3"/>
      <c r="I47" s="3"/>
    </row>
    <row r="48" spans="1:9" ht="18" x14ac:dyDescent="0.2">
      <c r="A48" s="12" t="s">
        <v>116</v>
      </c>
      <c r="B48" s="20">
        <f t="shared" ref="B48:D56" si="4">B36/$B36</f>
        <v>1</v>
      </c>
      <c r="C48" s="20">
        <f t="shared" si="4"/>
        <v>1.7638043896804005</v>
      </c>
      <c r="D48" s="20">
        <f t="shared" si="4"/>
        <v>1.7537158259530228</v>
      </c>
      <c r="E48" s="20">
        <f t="shared" ref="E48:F56" si="5">E36/$B36</f>
        <v>2.2221794378128612</v>
      </c>
      <c r="F48" s="20">
        <f t="shared" si="5"/>
        <v>2.1090103966114748</v>
      </c>
      <c r="H48" s="3"/>
      <c r="I48" s="3"/>
    </row>
    <row r="49" spans="1:13" ht="18" x14ac:dyDescent="0.2">
      <c r="A49" s="12" t="s">
        <v>117</v>
      </c>
      <c r="B49" s="20">
        <f t="shared" si="4"/>
        <v>1</v>
      </c>
      <c r="C49" s="20">
        <f t="shared" si="4"/>
        <v>2.738630081913664</v>
      </c>
      <c r="D49" s="20">
        <f t="shared" si="4"/>
        <v>2.7260415096235993</v>
      </c>
      <c r="E49" s="20">
        <f t="shared" si="5"/>
        <v>4.3355193728328061</v>
      </c>
      <c r="F49" s="20">
        <f t="shared" si="5"/>
        <v>3.5796271169405496</v>
      </c>
      <c r="H49" s="3"/>
      <c r="I49" s="3"/>
    </row>
    <row r="50" spans="1:13" ht="18" x14ac:dyDescent="0.2">
      <c r="A50" s="12" t="s">
        <v>0</v>
      </c>
      <c r="B50" s="20">
        <f t="shared" si="4"/>
        <v>1</v>
      </c>
      <c r="C50" s="20">
        <f t="shared" si="4"/>
        <v>1.9756813290996373</v>
      </c>
      <c r="D50" s="20">
        <f t="shared" si="4"/>
        <v>1.9648613263908745</v>
      </c>
      <c r="E50" s="20">
        <f t="shared" si="5"/>
        <v>12.362492663767288</v>
      </c>
      <c r="F50" s="20">
        <f t="shared" si="5"/>
        <v>3.6950986441137079</v>
      </c>
      <c r="H50" s="3"/>
      <c r="I50" s="3"/>
    </row>
    <row r="51" spans="1:13" ht="18" x14ac:dyDescent="0.2">
      <c r="A51" s="12" t="s">
        <v>1</v>
      </c>
      <c r="B51" s="20">
        <f t="shared" si="4"/>
        <v>1</v>
      </c>
      <c r="C51" s="20">
        <f t="shared" si="4"/>
        <v>1.0620496328271449</v>
      </c>
      <c r="D51" s="20">
        <f t="shared" si="4"/>
        <v>1.0613617211550037</v>
      </c>
      <c r="E51" s="20">
        <f t="shared" si="5"/>
        <v>1.1336526390011523</v>
      </c>
      <c r="F51" s="20">
        <f t="shared" si="5"/>
        <v>1.2731095327359967</v>
      </c>
      <c r="H51" s="3"/>
      <c r="I51" s="3"/>
    </row>
    <row r="52" spans="1:13" ht="18" x14ac:dyDescent="0.2">
      <c r="A52" s="12" t="s">
        <v>157</v>
      </c>
      <c r="B52" s="20">
        <f t="shared" si="4"/>
        <v>1</v>
      </c>
      <c r="C52" s="20">
        <f t="shared" si="4"/>
        <v>1.3959525543647904</v>
      </c>
      <c r="D52" s="20">
        <f t="shared" si="4"/>
        <v>1.3423681198626574</v>
      </c>
      <c r="E52" s="20">
        <f t="shared" si="5"/>
        <v>11.117469566122152</v>
      </c>
      <c r="F52" s="20">
        <f t="shared" si="5"/>
        <v>2.6751378628654665</v>
      </c>
      <c r="H52" s="3"/>
      <c r="I52" s="3"/>
    </row>
    <row r="53" spans="1:13" ht="18" x14ac:dyDescent="0.2">
      <c r="A53" s="12" t="s">
        <v>2</v>
      </c>
      <c r="B53" s="20">
        <f t="shared" si="4"/>
        <v>1</v>
      </c>
      <c r="C53" s="20">
        <f t="shared" si="4"/>
        <v>1.8219215432330187</v>
      </c>
      <c r="D53" s="20">
        <f t="shared" si="4"/>
        <v>1.7979278143212569</v>
      </c>
      <c r="E53" s="20">
        <f t="shared" si="5"/>
        <v>8.8056303466139525</v>
      </c>
      <c r="F53" s="20">
        <f t="shared" si="5"/>
        <v>2.7473160423980096</v>
      </c>
      <c r="H53" s="3"/>
      <c r="I53" s="3"/>
    </row>
    <row r="54" spans="1:13" ht="18" x14ac:dyDescent="0.2">
      <c r="A54" s="12" t="s">
        <v>3</v>
      </c>
      <c r="B54" s="20">
        <f t="shared" si="4"/>
        <v>1</v>
      </c>
      <c r="C54" s="20">
        <f t="shared" si="4"/>
        <v>1.9227729885057472</v>
      </c>
      <c r="D54" s="20">
        <f t="shared" si="4"/>
        <v>1.9365122126436782</v>
      </c>
      <c r="E54" s="20">
        <f t="shared" si="5"/>
        <v>7.6021910919540234</v>
      </c>
      <c r="F54" s="20">
        <f t="shared" si="5"/>
        <v>2.6648706896551726</v>
      </c>
    </row>
    <row r="55" spans="1:13" ht="18" x14ac:dyDescent="0.2">
      <c r="A55" s="12" t="s">
        <v>4</v>
      </c>
      <c r="B55" s="20">
        <f t="shared" si="4"/>
        <v>1</v>
      </c>
      <c r="C55" s="20">
        <f t="shared" si="4"/>
        <v>1.8090149550823709</v>
      </c>
      <c r="D55" s="20">
        <f t="shared" si="4"/>
        <v>1.8354940939210602</v>
      </c>
      <c r="E55" s="20">
        <f t="shared" si="5"/>
        <v>7.4521620701395985</v>
      </c>
      <c r="F55" s="20">
        <f t="shared" si="5"/>
        <v>2.5898221628558709</v>
      </c>
    </row>
    <row r="56" spans="1:13" ht="18" x14ac:dyDescent="0.2">
      <c r="A56" s="12" t="s">
        <v>5</v>
      </c>
      <c r="B56" s="20">
        <f t="shared" si="4"/>
        <v>1</v>
      </c>
      <c r="C56" s="20">
        <f t="shared" si="4"/>
        <v>2.0184676337146144</v>
      </c>
      <c r="D56" s="20">
        <f t="shared" si="4"/>
        <v>2.0181481244807973</v>
      </c>
      <c r="E56" s="20">
        <f t="shared" si="5"/>
        <v>8.4881462074253946</v>
      </c>
      <c r="F56" s="20">
        <f t="shared" si="5"/>
        <v>3.0189788484887212</v>
      </c>
      <c r="H56" s="3"/>
      <c r="I56" s="3"/>
    </row>
    <row r="57" spans="1:13" ht="18" x14ac:dyDescent="0.2">
      <c r="A57" s="8" t="s">
        <v>221</v>
      </c>
      <c r="B57" s="69">
        <f>GEOMEAN(B48:B56)</f>
        <v>1</v>
      </c>
      <c r="C57" s="69">
        <f>GEOMEAN(C48:C56)</f>
        <v>1.7817576962365587</v>
      </c>
      <c r="D57" s="69">
        <f>GEOMEAN(D48:D56)</f>
        <v>1.7724006753992942</v>
      </c>
      <c r="E57" s="69">
        <f>GEOMEAN(E48:E56)</f>
        <v>5.7004855330384316</v>
      </c>
      <c r="F57" s="69">
        <f>GEOMEAN(F48:F56)</f>
        <v>2.6004717491992952</v>
      </c>
    </row>
    <row r="58" spans="1:13" ht="18" x14ac:dyDescent="0.2">
      <c r="F58" s="80">
        <f>E57/F57</f>
        <v>2.1920966973756411</v>
      </c>
    </row>
    <row r="59" spans="1:13" x14ac:dyDescent="0.2">
      <c r="I59" t="s">
        <v>260</v>
      </c>
    </row>
    <row r="60" spans="1:13" x14ac:dyDescent="0.2">
      <c r="A60" s="195" t="s">
        <v>232</v>
      </c>
      <c r="B60" s="195"/>
      <c r="C60" s="195"/>
      <c r="D60" s="195"/>
      <c r="E60" s="195"/>
      <c r="F60" s="195"/>
      <c r="G60" s="195"/>
      <c r="H60" s="195"/>
      <c r="I60" s="195"/>
    </row>
    <row r="61" spans="1:13" ht="18" x14ac:dyDescent="0.2">
      <c r="A61" s="2" t="s">
        <v>103</v>
      </c>
      <c r="B61" s="2" t="s">
        <v>86</v>
      </c>
      <c r="C61" s="2" t="s">
        <v>104</v>
      </c>
      <c r="D61" s="2" t="s">
        <v>239</v>
      </c>
      <c r="E61" s="2" t="s">
        <v>234</v>
      </c>
      <c r="F61" s="2" t="s">
        <v>240</v>
      </c>
      <c r="G61" s="2" t="s">
        <v>236</v>
      </c>
      <c r="H61" s="2" t="s">
        <v>241</v>
      </c>
      <c r="I61" s="2" t="s">
        <v>238</v>
      </c>
    </row>
    <row r="62" spans="1:13" ht="18" x14ac:dyDescent="0.2">
      <c r="A62" s="12" t="s">
        <v>69</v>
      </c>
      <c r="B62" s="3">
        <v>20</v>
      </c>
      <c r="C62" s="3">
        <v>28</v>
      </c>
      <c r="D62" s="3">
        <v>393</v>
      </c>
      <c r="E62" s="3">
        <v>251</v>
      </c>
      <c r="F62" s="3">
        <v>542</v>
      </c>
      <c r="G62" s="3">
        <v>384</v>
      </c>
      <c r="H62" s="3">
        <v>2168</v>
      </c>
      <c r="I62" s="3">
        <v>1152</v>
      </c>
      <c r="K62" s="3"/>
      <c r="L62" s="84"/>
      <c r="M62" s="3"/>
    </row>
    <row r="63" spans="1:13" ht="18" x14ac:dyDescent="0.2">
      <c r="A63" s="12" t="s">
        <v>70</v>
      </c>
      <c r="B63" s="3">
        <v>22</v>
      </c>
      <c r="C63" s="3">
        <v>30</v>
      </c>
      <c r="D63" s="3">
        <v>88</v>
      </c>
      <c r="E63" s="3">
        <v>63</v>
      </c>
      <c r="F63" s="3">
        <v>99</v>
      </c>
      <c r="G63" s="3">
        <v>74</v>
      </c>
      <c r="H63" s="3">
        <v>496</v>
      </c>
      <c r="I63" s="3">
        <v>222</v>
      </c>
      <c r="K63" s="3"/>
      <c r="L63" s="84"/>
      <c r="M63" s="3"/>
    </row>
    <row r="64" spans="1:13" ht="18" x14ac:dyDescent="0.2">
      <c r="A64" s="12" t="s">
        <v>71</v>
      </c>
      <c r="B64" s="3">
        <v>5677</v>
      </c>
      <c r="C64" s="3">
        <v>8682</v>
      </c>
      <c r="D64" s="3">
        <v>53168</v>
      </c>
      <c r="E64" s="3">
        <v>32726</v>
      </c>
      <c r="F64" s="3">
        <v>60311</v>
      </c>
      <c r="G64" s="3">
        <v>40296</v>
      </c>
      <c r="H64" s="3">
        <v>200622</v>
      </c>
      <c r="I64" s="3">
        <v>80592</v>
      </c>
      <c r="K64" s="3"/>
      <c r="L64" s="84"/>
      <c r="M64" s="3"/>
    </row>
    <row r="65" spans="1:13" ht="18" x14ac:dyDescent="0.2">
      <c r="A65" s="12" t="s">
        <v>72</v>
      </c>
      <c r="B65" s="3">
        <v>41</v>
      </c>
      <c r="C65" s="3">
        <v>50</v>
      </c>
      <c r="D65" s="3">
        <v>122</v>
      </c>
      <c r="E65" s="3">
        <v>89</v>
      </c>
      <c r="F65" s="3">
        <v>138</v>
      </c>
      <c r="G65" s="3">
        <v>103</v>
      </c>
      <c r="H65" s="3">
        <v>852</v>
      </c>
      <c r="I65" s="3">
        <v>309</v>
      </c>
      <c r="K65" s="3"/>
      <c r="L65" s="84"/>
      <c r="M65" s="3"/>
    </row>
    <row r="66" spans="1:13" ht="18" x14ac:dyDescent="0.2">
      <c r="A66" s="12" t="s">
        <v>73</v>
      </c>
      <c r="B66" s="3">
        <v>2995</v>
      </c>
      <c r="C66" s="3">
        <v>3108</v>
      </c>
      <c r="D66" s="3">
        <v>18403</v>
      </c>
      <c r="E66" s="3">
        <v>14762</v>
      </c>
      <c r="F66" s="3">
        <v>23812</v>
      </c>
      <c r="G66" s="3">
        <v>17073</v>
      </c>
      <c r="H66" s="3">
        <v>95248</v>
      </c>
      <c r="I66" s="3">
        <v>51219</v>
      </c>
      <c r="K66" s="3"/>
      <c r="L66" s="84"/>
      <c r="M66" s="3"/>
    </row>
    <row r="67" spans="1:13" ht="18" x14ac:dyDescent="0.2">
      <c r="A67" s="12" t="s">
        <v>74</v>
      </c>
      <c r="B67" s="3">
        <v>3993</v>
      </c>
      <c r="C67" s="3">
        <v>4181</v>
      </c>
      <c r="D67" s="3">
        <v>19442</v>
      </c>
      <c r="E67" s="3">
        <v>16482</v>
      </c>
      <c r="F67" s="3">
        <v>25753</v>
      </c>
      <c r="G67" s="3">
        <v>19566</v>
      </c>
      <c r="H67" s="3">
        <v>103012</v>
      </c>
      <c r="I67" s="3">
        <v>58698</v>
      </c>
      <c r="K67" s="3"/>
      <c r="L67" s="84"/>
      <c r="M67" s="3"/>
    </row>
    <row r="68" spans="1:13" ht="18" x14ac:dyDescent="0.2">
      <c r="A68" s="12" t="s">
        <v>75</v>
      </c>
      <c r="B68" s="82">
        <v>1028</v>
      </c>
      <c r="C68" s="3">
        <v>1128</v>
      </c>
      <c r="D68" s="3">
        <v>2070</v>
      </c>
      <c r="E68" s="3">
        <v>1928</v>
      </c>
      <c r="F68" s="3">
        <v>4367</v>
      </c>
      <c r="G68" s="3">
        <v>4186</v>
      </c>
      <c r="H68" s="3">
        <v>20468</v>
      </c>
      <c r="I68" s="3">
        <v>12558</v>
      </c>
      <c r="K68" s="3"/>
      <c r="L68" s="84"/>
      <c r="M68" s="3"/>
    </row>
    <row r="69" spans="1:13" ht="18" x14ac:dyDescent="0.2">
      <c r="A69" s="12" t="s">
        <v>76</v>
      </c>
      <c r="B69" s="3">
        <v>3425</v>
      </c>
      <c r="C69" s="3">
        <v>3625</v>
      </c>
      <c r="D69" s="3">
        <v>3843</v>
      </c>
      <c r="E69" s="3">
        <v>3825</v>
      </c>
      <c r="F69" s="3">
        <v>6098</v>
      </c>
      <c r="G69" s="3">
        <v>5510</v>
      </c>
      <c r="H69" s="3">
        <v>54392</v>
      </c>
      <c r="I69" s="3">
        <v>16530</v>
      </c>
      <c r="K69" s="3"/>
      <c r="L69" s="84"/>
      <c r="M69" s="3"/>
    </row>
    <row r="70" spans="1:13" ht="18" x14ac:dyDescent="0.2">
      <c r="A70" s="12" t="s">
        <v>77</v>
      </c>
      <c r="B70" s="3">
        <v>29</v>
      </c>
      <c r="C70" s="3">
        <v>40</v>
      </c>
      <c r="D70" s="3">
        <v>534</v>
      </c>
      <c r="E70" s="3">
        <v>354</v>
      </c>
      <c r="F70" s="3">
        <v>667</v>
      </c>
      <c r="G70" s="3">
        <v>434</v>
      </c>
      <c r="H70" s="3">
        <v>2668</v>
      </c>
      <c r="I70" s="3">
        <v>1302</v>
      </c>
      <c r="K70" s="3"/>
      <c r="L70" s="84"/>
      <c r="M70" s="3"/>
    </row>
    <row r="71" spans="1:13" ht="18" x14ac:dyDescent="0.2">
      <c r="A71" s="12" t="s">
        <v>78</v>
      </c>
      <c r="B71" s="3">
        <v>1005</v>
      </c>
      <c r="C71" s="3">
        <v>1076</v>
      </c>
      <c r="D71" s="3">
        <v>5584</v>
      </c>
      <c r="E71" s="3">
        <v>3949</v>
      </c>
      <c r="F71" s="3">
        <v>6008</v>
      </c>
      <c r="G71" s="3">
        <v>4526</v>
      </c>
      <c r="H71" s="3">
        <v>24032</v>
      </c>
      <c r="I71" s="3">
        <v>13578</v>
      </c>
      <c r="K71" s="3"/>
      <c r="L71" s="84"/>
      <c r="M71" s="3"/>
    </row>
    <row r="72" spans="1:13" ht="18" x14ac:dyDescent="0.2">
      <c r="A72" s="12" t="s">
        <v>154</v>
      </c>
      <c r="B72" s="3">
        <v>5877</v>
      </c>
      <c r="C72" s="3">
        <v>7179</v>
      </c>
      <c r="D72" s="3">
        <v>84300</v>
      </c>
      <c r="E72" s="3">
        <v>59469</v>
      </c>
      <c r="F72" s="3">
        <v>96342</v>
      </c>
      <c r="G72" s="3">
        <v>59469</v>
      </c>
      <c r="H72" s="3">
        <v>385368</v>
      </c>
      <c r="I72" s="3">
        <v>178407</v>
      </c>
      <c r="K72" s="3"/>
      <c r="L72" s="84"/>
      <c r="M72" s="5"/>
    </row>
    <row r="73" spans="1:13" ht="18" x14ac:dyDescent="0.2">
      <c r="A73" s="12" t="s">
        <v>79</v>
      </c>
      <c r="B73" s="3">
        <v>464</v>
      </c>
      <c r="C73" s="3">
        <v>511</v>
      </c>
      <c r="D73" s="3">
        <v>2325</v>
      </c>
      <c r="E73" s="3">
        <v>2006</v>
      </c>
      <c r="F73" s="3">
        <v>2910</v>
      </c>
      <c r="G73" s="3">
        <v>2181</v>
      </c>
      <c r="H73" s="3">
        <v>11640</v>
      </c>
      <c r="I73" s="3">
        <v>6543</v>
      </c>
      <c r="K73" s="3"/>
      <c r="L73" s="84"/>
      <c r="M73" s="3"/>
    </row>
    <row r="74" spans="1:13" ht="18" x14ac:dyDescent="0.2">
      <c r="A74" s="12" t="s">
        <v>80</v>
      </c>
      <c r="B74" s="3">
        <v>52</v>
      </c>
      <c r="C74" s="3">
        <v>76</v>
      </c>
      <c r="D74" s="3">
        <v>503</v>
      </c>
      <c r="E74" s="3">
        <v>350</v>
      </c>
      <c r="F74" s="3">
        <v>503</v>
      </c>
      <c r="G74" s="3">
        <v>350</v>
      </c>
      <c r="H74" s="3">
        <v>2012</v>
      </c>
      <c r="I74" s="3">
        <v>1050</v>
      </c>
      <c r="K74" s="3"/>
      <c r="L74" s="84"/>
      <c r="M74" s="3"/>
    </row>
    <row r="75" spans="1:13" ht="18" x14ac:dyDescent="0.2">
      <c r="A75" s="1"/>
      <c r="B75" s="1"/>
      <c r="C75" s="1"/>
      <c r="D75" s="1"/>
      <c r="E75" s="1"/>
      <c r="F75" s="1"/>
      <c r="G75" s="1"/>
      <c r="H75" s="1"/>
    </row>
    <row r="76" spans="1:13" ht="18" x14ac:dyDescent="0.2">
      <c r="A76" s="2" t="s">
        <v>87</v>
      </c>
      <c r="B76" s="2" t="s">
        <v>86</v>
      </c>
      <c r="C76" s="2" t="s">
        <v>86</v>
      </c>
      <c r="D76" s="2" t="s">
        <v>239</v>
      </c>
      <c r="E76" s="2" t="s">
        <v>234</v>
      </c>
      <c r="F76" s="2" t="s">
        <v>261</v>
      </c>
      <c r="G76" s="2" t="s">
        <v>262</v>
      </c>
      <c r="H76" s="2" t="s">
        <v>241</v>
      </c>
      <c r="I76" s="2" t="s">
        <v>238</v>
      </c>
    </row>
    <row r="77" spans="1:13" ht="18" x14ac:dyDescent="0.2">
      <c r="A77" s="2" t="s">
        <v>91</v>
      </c>
      <c r="B77" s="20">
        <f t="shared" ref="B77:B87" si="6">B62/$B62</f>
        <v>1</v>
      </c>
      <c r="C77" s="20">
        <f>C62/$C62</f>
        <v>1</v>
      </c>
      <c r="D77" s="3">
        <f t="shared" ref="D77:I77" si="7">D62/$C62</f>
        <v>14.035714285714286</v>
      </c>
      <c r="E77" s="3">
        <f t="shared" si="7"/>
        <v>8.9642857142857135</v>
      </c>
      <c r="F77" s="3">
        <f t="shared" si="7"/>
        <v>19.357142857142858</v>
      </c>
      <c r="G77" s="3">
        <f t="shared" si="7"/>
        <v>13.714285714285714</v>
      </c>
      <c r="H77" s="3">
        <f t="shared" si="7"/>
        <v>77.428571428571431</v>
      </c>
      <c r="I77" s="3">
        <f t="shared" si="7"/>
        <v>41.142857142857146</v>
      </c>
      <c r="J77" s="80">
        <f>H77/I77</f>
        <v>1.8819444444444444</v>
      </c>
    </row>
    <row r="78" spans="1:13" ht="18" x14ac:dyDescent="0.2">
      <c r="A78" s="2" t="s">
        <v>92</v>
      </c>
      <c r="B78" s="20">
        <f t="shared" si="6"/>
        <v>1</v>
      </c>
      <c r="C78" s="20">
        <f t="shared" ref="C78:I89" si="8">C63/$C63</f>
        <v>1</v>
      </c>
      <c r="D78" s="3">
        <f t="shared" si="8"/>
        <v>2.9333333333333331</v>
      </c>
      <c r="E78" s="3">
        <f t="shared" si="8"/>
        <v>2.1</v>
      </c>
      <c r="F78" s="3">
        <f t="shared" si="8"/>
        <v>3.3</v>
      </c>
      <c r="G78" s="3">
        <f t="shared" si="8"/>
        <v>2.4666666666666668</v>
      </c>
      <c r="H78" s="3">
        <f t="shared" si="8"/>
        <v>16.533333333333335</v>
      </c>
      <c r="I78" s="3">
        <f t="shared" si="8"/>
        <v>7.4</v>
      </c>
      <c r="J78" s="80">
        <f t="shared" ref="J78:J91" si="9">H78/I78</f>
        <v>2.2342342342342345</v>
      </c>
    </row>
    <row r="79" spans="1:13" ht="18" x14ac:dyDescent="0.2">
      <c r="A79" s="2" t="s">
        <v>93</v>
      </c>
      <c r="B79" s="20">
        <f t="shared" si="6"/>
        <v>1</v>
      </c>
      <c r="C79" s="20">
        <f t="shared" si="8"/>
        <v>1</v>
      </c>
      <c r="D79" s="3">
        <f t="shared" si="8"/>
        <v>6.1239345772863398</v>
      </c>
      <c r="E79" s="3">
        <f t="shared" si="8"/>
        <v>3.7694079705137065</v>
      </c>
      <c r="F79" s="3">
        <f t="shared" si="8"/>
        <v>6.9466712739000229</v>
      </c>
      <c r="G79" s="3">
        <f t="shared" si="8"/>
        <v>4.6413268832066343</v>
      </c>
      <c r="H79" s="3">
        <f t="shared" si="8"/>
        <v>23.107809260539046</v>
      </c>
      <c r="I79" s="3">
        <f t="shared" si="8"/>
        <v>9.2826537664132687</v>
      </c>
      <c r="J79" s="80">
        <f t="shared" si="9"/>
        <v>2.4893537820131031</v>
      </c>
    </row>
    <row r="80" spans="1:13" ht="18" x14ac:dyDescent="0.2">
      <c r="A80" s="2" t="s">
        <v>94</v>
      </c>
      <c r="B80" s="20">
        <f t="shared" si="6"/>
        <v>1</v>
      </c>
      <c r="C80" s="20">
        <f t="shared" si="8"/>
        <v>1</v>
      </c>
      <c r="D80" s="3">
        <f t="shared" si="8"/>
        <v>2.44</v>
      </c>
      <c r="E80" s="3">
        <f t="shared" si="8"/>
        <v>1.78</v>
      </c>
      <c r="F80" s="3">
        <f t="shared" si="8"/>
        <v>2.76</v>
      </c>
      <c r="G80" s="3">
        <f t="shared" si="8"/>
        <v>2.06</v>
      </c>
      <c r="H80" s="3">
        <f t="shared" si="8"/>
        <v>17.04</v>
      </c>
      <c r="I80" s="3">
        <f t="shared" si="8"/>
        <v>6.18</v>
      </c>
      <c r="J80" s="80">
        <f t="shared" si="9"/>
        <v>2.7572815533980584</v>
      </c>
    </row>
    <row r="81" spans="1:11" ht="18" x14ac:dyDescent="0.2">
      <c r="A81" s="2" t="s">
        <v>95</v>
      </c>
      <c r="B81" s="20">
        <f t="shared" si="6"/>
        <v>1</v>
      </c>
      <c r="C81" s="20">
        <f t="shared" si="8"/>
        <v>1</v>
      </c>
      <c r="D81" s="3">
        <f t="shared" si="8"/>
        <v>5.9211711711711708</v>
      </c>
      <c r="E81" s="3">
        <f t="shared" si="8"/>
        <v>4.7496782496782499</v>
      </c>
      <c r="F81" s="3">
        <f t="shared" si="8"/>
        <v>7.6615186615186612</v>
      </c>
      <c r="G81" s="3">
        <f t="shared" si="8"/>
        <v>5.493243243243243</v>
      </c>
      <c r="H81" s="3">
        <f t="shared" si="8"/>
        <v>30.646074646074645</v>
      </c>
      <c r="I81" s="3">
        <f t="shared" si="8"/>
        <v>16.47972972972973</v>
      </c>
      <c r="J81" s="80">
        <f t="shared" si="9"/>
        <v>1.859622405747867</v>
      </c>
    </row>
    <row r="82" spans="1:11" ht="18" x14ac:dyDescent="0.2">
      <c r="A82" s="2" t="s">
        <v>96</v>
      </c>
      <c r="B82" s="20">
        <f t="shared" si="6"/>
        <v>1</v>
      </c>
      <c r="C82" s="20">
        <f t="shared" si="8"/>
        <v>1</v>
      </c>
      <c r="D82" s="3">
        <f t="shared" si="8"/>
        <v>4.6500837120306144</v>
      </c>
      <c r="E82" s="3">
        <f t="shared" si="8"/>
        <v>3.9421191102607032</v>
      </c>
      <c r="F82" s="3">
        <f t="shared" si="8"/>
        <v>6.1595312126285577</v>
      </c>
      <c r="G82" s="3">
        <f t="shared" si="8"/>
        <v>4.6797416885912462</v>
      </c>
      <c r="H82" s="3">
        <f t="shared" si="8"/>
        <v>24.638124850514231</v>
      </c>
      <c r="I82" s="3">
        <f t="shared" si="8"/>
        <v>14.039225065773739</v>
      </c>
      <c r="J82" s="80">
        <f t="shared" si="9"/>
        <v>1.7549490612968073</v>
      </c>
    </row>
    <row r="83" spans="1:11" ht="18" x14ac:dyDescent="0.2">
      <c r="A83" s="2" t="s">
        <v>97</v>
      </c>
      <c r="B83" s="20">
        <f t="shared" si="6"/>
        <v>1</v>
      </c>
      <c r="C83" s="20">
        <f t="shared" si="8"/>
        <v>1</v>
      </c>
      <c r="D83" s="3">
        <f t="shared" si="8"/>
        <v>1.8351063829787233</v>
      </c>
      <c r="E83" s="3">
        <f t="shared" si="8"/>
        <v>1.7092198581560283</v>
      </c>
      <c r="F83" s="3">
        <f t="shared" si="8"/>
        <v>3.8714539007092199</v>
      </c>
      <c r="G83" s="3">
        <f t="shared" si="8"/>
        <v>3.7109929078014185</v>
      </c>
      <c r="H83" s="3">
        <f t="shared" si="8"/>
        <v>18.145390070921987</v>
      </c>
      <c r="I83" s="3">
        <f t="shared" si="8"/>
        <v>11.132978723404255</v>
      </c>
      <c r="J83" s="80">
        <f t="shared" si="9"/>
        <v>1.6298773690078039</v>
      </c>
    </row>
    <row r="84" spans="1:11" ht="18" x14ac:dyDescent="0.2">
      <c r="A84" s="2" t="s">
        <v>98</v>
      </c>
      <c r="B84" s="20">
        <f t="shared" si="6"/>
        <v>1</v>
      </c>
      <c r="C84" s="20">
        <f t="shared" si="8"/>
        <v>1</v>
      </c>
      <c r="D84" s="3">
        <f t="shared" si="8"/>
        <v>1.0601379310344827</v>
      </c>
      <c r="E84" s="3">
        <f t="shared" si="8"/>
        <v>1.0551724137931036</v>
      </c>
      <c r="F84" s="3">
        <f t="shared" si="8"/>
        <v>1.6822068965517241</v>
      </c>
      <c r="G84" s="3">
        <f t="shared" si="8"/>
        <v>1.52</v>
      </c>
      <c r="H84" s="3">
        <f t="shared" si="8"/>
        <v>15.004689655172413</v>
      </c>
      <c r="I84" s="3">
        <f t="shared" si="8"/>
        <v>4.5599999999999996</v>
      </c>
      <c r="J84" s="80">
        <f t="shared" si="9"/>
        <v>3.2905021173623714</v>
      </c>
    </row>
    <row r="85" spans="1:11" ht="18" x14ac:dyDescent="0.2">
      <c r="A85" s="2" t="s">
        <v>99</v>
      </c>
      <c r="B85" s="20">
        <f t="shared" si="6"/>
        <v>1</v>
      </c>
      <c r="C85" s="20">
        <f t="shared" si="8"/>
        <v>1</v>
      </c>
      <c r="D85" s="3">
        <f t="shared" si="8"/>
        <v>13.35</v>
      </c>
      <c r="E85" s="3">
        <f t="shared" si="8"/>
        <v>8.85</v>
      </c>
      <c r="F85" s="3">
        <f t="shared" si="8"/>
        <v>16.675000000000001</v>
      </c>
      <c r="G85" s="3">
        <f t="shared" si="8"/>
        <v>10.85</v>
      </c>
      <c r="H85" s="3">
        <f t="shared" si="8"/>
        <v>66.7</v>
      </c>
      <c r="I85" s="3">
        <f t="shared" si="8"/>
        <v>32.549999999999997</v>
      </c>
      <c r="J85" s="80">
        <f t="shared" si="9"/>
        <v>2.0491551459293396</v>
      </c>
    </row>
    <row r="86" spans="1:11" ht="18" x14ac:dyDescent="0.2">
      <c r="A86" s="2" t="s">
        <v>100</v>
      </c>
      <c r="B86" s="20">
        <f t="shared" si="6"/>
        <v>1</v>
      </c>
      <c r="C86" s="20">
        <f t="shared" si="8"/>
        <v>1</v>
      </c>
      <c r="D86" s="3">
        <f t="shared" si="8"/>
        <v>5.1895910780669148</v>
      </c>
      <c r="E86" s="3">
        <f t="shared" si="8"/>
        <v>3.6700743494423791</v>
      </c>
      <c r="F86" s="3">
        <f t="shared" si="8"/>
        <v>5.5836431226765804</v>
      </c>
      <c r="G86" s="3">
        <f t="shared" si="8"/>
        <v>4.2063197026022303</v>
      </c>
      <c r="H86" s="3">
        <f t="shared" si="8"/>
        <v>22.334572490706321</v>
      </c>
      <c r="I86" s="3">
        <f t="shared" si="8"/>
        <v>12.618959107806692</v>
      </c>
      <c r="J86" s="80">
        <f t="shared" si="9"/>
        <v>1.7699219325379292</v>
      </c>
    </row>
    <row r="87" spans="1:11" ht="18" x14ac:dyDescent="0.2">
      <c r="A87" s="12" t="s">
        <v>158</v>
      </c>
      <c r="B87" s="20">
        <f t="shared" si="6"/>
        <v>1</v>
      </c>
      <c r="C87" s="20">
        <f t="shared" si="8"/>
        <v>1</v>
      </c>
      <c r="D87" s="3">
        <f t="shared" si="8"/>
        <v>11.742582532386127</v>
      </c>
      <c r="E87" s="3">
        <f t="shared" si="8"/>
        <v>8.2837442540743833</v>
      </c>
      <c r="F87" s="3">
        <f t="shared" si="8"/>
        <v>13.419974926870038</v>
      </c>
      <c r="G87" s="3">
        <f t="shared" si="8"/>
        <v>8.2837442540743833</v>
      </c>
      <c r="H87" s="3">
        <f t="shared" si="8"/>
        <v>53.679899707480153</v>
      </c>
      <c r="I87" s="3">
        <f t="shared" si="8"/>
        <v>24.851232762223152</v>
      </c>
      <c r="J87" s="80">
        <f t="shared" si="9"/>
        <v>2.1600497738317443</v>
      </c>
    </row>
    <row r="88" spans="1:11" ht="18" x14ac:dyDescent="0.2">
      <c r="A88" s="2" t="s">
        <v>101</v>
      </c>
      <c r="B88" s="20">
        <f>B72/$B72</f>
        <v>1</v>
      </c>
      <c r="C88" s="20">
        <f t="shared" si="8"/>
        <v>1</v>
      </c>
      <c r="D88" s="3">
        <f t="shared" si="8"/>
        <v>4.549902152641879</v>
      </c>
      <c r="E88" s="3">
        <f t="shared" si="8"/>
        <v>3.9256360078277885</v>
      </c>
      <c r="F88" s="3">
        <f t="shared" si="8"/>
        <v>5.6947162426614479</v>
      </c>
      <c r="G88" s="3">
        <f t="shared" si="8"/>
        <v>4.2681017612524466</v>
      </c>
      <c r="H88" s="3">
        <f t="shared" si="8"/>
        <v>22.778864970645792</v>
      </c>
      <c r="I88" s="3">
        <f t="shared" si="8"/>
        <v>12.804305283757339</v>
      </c>
      <c r="J88" s="80">
        <f t="shared" si="9"/>
        <v>1.7790004585052728</v>
      </c>
    </row>
    <row r="89" spans="1:11" ht="18" x14ac:dyDescent="0.2">
      <c r="A89" s="2" t="s">
        <v>102</v>
      </c>
      <c r="B89" s="20">
        <f>B73/$B73</f>
        <v>1</v>
      </c>
      <c r="C89" s="20">
        <f t="shared" si="8"/>
        <v>1</v>
      </c>
      <c r="D89" s="3">
        <f t="shared" si="8"/>
        <v>6.6184210526315788</v>
      </c>
      <c r="E89" s="3">
        <f t="shared" si="8"/>
        <v>4.6052631578947372</v>
      </c>
      <c r="F89" s="3">
        <f t="shared" si="8"/>
        <v>6.6184210526315788</v>
      </c>
      <c r="G89" s="3">
        <f t="shared" si="8"/>
        <v>4.6052631578947372</v>
      </c>
      <c r="H89" s="3">
        <f t="shared" si="8"/>
        <v>26.473684210526315</v>
      </c>
      <c r="I89" s="3">
        <f t="shared" si="8"/>
        <v>13.815789473684211</v>
      </c>
      <c r="J89" s="80">
        <f t="shared" si="9"/>
        <v>1.9161904761904762</v>
      </c>
    </row>
    <row r="90" spans="1:11" ht="18" x14ac:dyDescent="0.2">
      <c r="A90" s="2" t="s">
        <v>160</v>
      </c>
      <c r="B90" s="20">
        <f>GEOMEAN(B77:B89)</f>
        <v>1</v>
      </c>
      <c r="C90" s="20">
        <f t="shared" ref="C90:I90" si="10">GEOMEAN(C77:C89)</f>
        <v>1</v>
      </c>
      <c r="D90" s="3">
        <f t="shared" si="10"/>
        <v>4.8434758367572011</v>
      </c>
      <c r="E90" s="3">
        <f t="shared" si="10"/>
        <v>3.6546224428961294</v>
      </c>
      <c r="F90" s="3">
        <f t="shared" si="10"/>
        <v>6.1426431622307058</v>
      </c>
      <c r="G90" s="3">
        <f t="shared" si="10"/>
        <v>4.5404015120652517</v>
      </c>
      <c r="H90" s="3">
        <f t="shared" si="10"/>
        <v>27.438707754258665</v>
      </c>
      <c r="I90" s="3">
        <f t="shared" si="10"/>
        <v>13.202921249543003</v>
      </c>
      <c r="J90" s="80">
        <f t="shared" si="9"/>
        <v>2.0782300549742665</v>
      </c>
    </row>
    <row r="91" spans="1:11" ht="18" x14ac:dyDescent="0.2">
      <c r="E91" s="80">
        <f>D90/E90</f>
        <v>1.3253012896508558</v>
      </c>
      <c r="G91" s="80">
        <f>F90/G90</f>
        <v>1.3528854542726678</v>
      </c>
      <c r="I91" s="80">
        <f>H90/I90</f>
        <v>2.0782300549742665</v>
      </c>
      <c r="J91" s="80">
        <f t="shared" si="9"/>
        <v>0</v>
      </c>
    </row>
    <row r="94" spans="1:11" ht="18" x14ac:dyDescent="0.2">
      <c r="F94" s="5"/>
    </row>
    <row r="95" spans="1:11" ht="18" x14ac:dyDescent="0.2">
      <c r="A95" s="2" t="s">
        <v>103</v>
      </c>
      <c r="B95" s="2" t="s">
        <v>86</v>
      </c>
      <c r="C95" s="2" t="s">
        <v>104</v>
      </c>
      <c r="D95" s="2" t="s">
        <v>239</v>
      </c>
      <c r="E95" s="2" t="s">
        <v>234</v>
      </c>
      <c r="F95" s="2" t="s">
        <v>241</v>
      </c>
      <c r="G95" s="2" t="s">
        <v>238</v>
      </c>
    </row>
    <row r="96" spans="1:11" ht="18" x14ac:dyDescent="0.2">
      <c r="A96" s="12" t="s">
        <v>6</v>
      </c>
      <c r="B96" s="3">
        <v>25970</v>
      </c>
      <c r="C96" s="3">
        <v>45112</v>
      </c>
      <c r="D96" s="3">
        <v>58866</v>
      </c>
      <c r="E96" s="3">
        <v>52843</v>
      </c>
      <c r="F96" s="69">
        <v>824124</v>
      </c>
      <c r="G96" s="69">
        <v>211372</v>
      </c>
      <c r="J96" s="3"/>
      <c r="K96" s="34"/>
    </row>
    <row r="97" spans="1:11" ht="18" x14ac:dyDescent="0.2">
      <c r="A97" s="12" t="s">
        <v>7</v>
      </c>
      <c r="B97" s="3">
        <v>39798</v>
      </c>
      <c r="C97" s="3">
        <v>104030</v>
      </c>
      <c r="D97" s="3">
        <v>195831</v>
      </c>
      <c r="E97" s="3">
        <v>157595</v>
      </c>
      <c r="F97" s="69">
        <v>4714700.9751388533</v>
      </c>
      <c r="G97" s="69">
        <v>1084044.4788429199</v>
      </c>
      <c r="J97" s="3"/>
      <c r="K97" s="34"/>
    </row>
    <row r="98" spans="1:11" ht="18" x14ac:dyDescent="0.2">
      <c r="A98" s="12" t="s">
        <v>11</v>
      </c>
      <c r="B98" s="3">
        <v>66451</v>
      </c>
      <c r="C98" s="3">
        <v>124253</v>
      </c>
      <c r="D98" s="3">
        <v>881100</v>
      </c>
      <c r="E98" s="3">
        <v>754600</v>
      </c>
      <c r="F98" s="69">
        <v>9593800</v>
      </c>
      <c r="G98" s="69">
        <v>2347546</v>
      </c>
      <c r="J98" s="3"/>
      <c r="K98" s="34"/>
    </row>
    <row r="99" spans="1:11" ht="18" x14ac:dyDescent="0.2">
      <c r="A99" s="12" t="s">
        <v>13</v>
      </c>
      <c r="B99" s="3">
        <v>116294</v>
      </c>
      <c r="C99" s="3">
        <v>118110</v>
      </c>
      <c r="D99" s="3">
        <v>118090</v>
      </c>
      <c r="E99" s="3">
        <v>118523</v>
      </c>
      <c r="F99" s="69">
        <v>826630</v>
      </c>
      <c r="G99" s="69">
        <v>237046</v>
      </c>
      <c r="H99" s="84"/>
      <c r="I99" s="84"/>
      <c r="J99" s="3"/>
      <c r="K99" s="34"/>
    </row>
    <row r="100" spans="1:11" ht="18" x14ac:dyDescent="0.2">
      <c r="A100" s="12" t="s">
        <v>14</v>
      </c>
      <c r="B100" s="3">
        <v>38624</v>
      </c>
      <c r="C100" s="3">
        <v>60526</v>
      </c>
      <c r="D100" s="3">
        <v>566700</v>
      </c>
      <c r="E100" s="3">
        <v>560700</v>
      </c>
      <c r="F100" s="69">
        <v>7450903</v>
      </c>
      <c r="G100" s="69">
        <v>2106290</v>
      </c>
      <c r="J100" s="5"/>
      <c r="K100" s="34"/>
    </row>
    <row r="101" spans="1:11" ht="18" x14ac:dyDescent="0.2">
      <c r="A101" s="12" t="s">
        <v>15</v>
      </c>
      <c r="B101" s="3">
        <v>29341</v>
      </c>
      <c r="C101" s="3">
        <v>54890</v>
      </c>
      <c r="D101" s="3">
        <v>260330</v>
      </c>
      <c r="E101" s="3">
        <v>174995</v>
      </c>
      <c r="F101" s="69">
        <v>1373587</v>
      </c>
      <c r="G101" s="69">
        <v>463809</v>
      </c>
      <c r="J101" s="3"/>
      <c r="K101" s="34"/>
    </row>
    <row r="102" spans="1:11" ht="18" x14ac:dyDescent="0.2">
      <c r="A102" s="12" t="s">
        <v>16</v>
      </c>
      <c r="B102" s="3">
        <v>11136</v>
      </c>
      <c r="C102" s="3">
        <v>23057</v>
      </c>
      <c r="D102" s="3">
        <v>91966</v>
      </c>
      <c r="E102" s="3">
        <v>73369</v>
      </c>
      <c r="F102" s="69">
        <v>1586924.448529667</v>
      </c>
      <c r="G102" s="69">
        <v>361720.82186948945</v>
      </c>
      <c r="J102" s="3"/>
      <c r="K102" s="34"/>
    </row>
    <row r="103" spans="1:11" ht="18" x14ac:dyDescent="0.2">
      <c r="A103" s="12" t="s">
        <v>19</v>
      </c>
      <c r="B103" s="3">
        <v>38181</v>
      </c>
      <c r="C103" s="3">
        <v>71130</v>
      </c>
      <c r="D103" s="3">
        <v>316958</v>
      </c>
      <c r="E103" s="3">
        <v>197495</v>
      </c>
      <c r="F103" s="69">
        <v>1932380</v>
      </c>
      <c r="G103" s="69">
        <v>344016</v>
      </c>
      <c r="J103" s="3"/>
      <c r="K103" s="34"/>
    </row>
    <row r="104" spans="1:11" ht="18" x14ac:dyDescent="0.2">
      <c r="A104" s="12" t="s">
        <v>21</v>
      </c>
      <c r="B104" s="3">
        <v>31298</v>
      </c>
      <c r="C104" s="3">
        <v>64618</v>
      </c>
      <c r="D104" s="3">
        <v>85929</v>
      </c>
      <c r="E104" s="3">
        <v>80178</v>
      </c>
      <c r="F104" s="69">
        <v>1816401.3529280981</v>
      </c>
      <c r="G104" s="69">
        <v>484238.40837059519</v>
      </c>
      <c r="J104" s="3"/>
      <c r="K104" s="34"/>
    </row>
    <row r="110" spans="1:11" ht="18" x14ac:dyDescent="0.2">
      <c r="A110" s="1"/>
      <c r="B110" s="22"/>
      <c r="C110" s="22"/>
      <c r="D110" s="22"/>
      <c r="E110" s="22"/>
      <c r="F110" s="22"/>
      <c r="G110" s="22"/>
    </row>
    <row r="111" spans="1:11" ht="18" x14ac:dyDescent="0.2">
      <c r="A111" s="1"/>
      <c r="B111" s="1"/>
      <c r="C111" s="1"/>
      <c r="D111" s="1"/>
      <c r="E111" s="1"/>
      <c r="F111" s="1"/>
      <c r="G111" s="1"/>
    </row>
    <row r="112" spans="1:11" ht="18" x14ac:dyDescent="0.2">
      <c r="A112" s="2" t="s">
        <v>87</v>
      </c>
      <c r="B112" s="2" t="s">
        <v>86</v>
      </c>
      <c r="C112" s="2" t="s">
        <v>86</v>
      </c>
      <c r="D112" s="2" t="s">
        <v>239</v>
      </c>
      <c r="E112" s="2" t="s">
        <v>234</v>
      </c>
      <c r="F112" s="2" t="s">
        <v>241</v>
      </c>
      <c r="G112" s="2" t="s">
        <v>238</v>
      </c>
    </row>
    <row r="113" spans="1:7" ht="18" x14ac:dyDescent="0.2">
      <c r="A113" s="12" t="s">
        <v>116</v>
      </c>
      <c r="B113" s="20">
        <f t="shared" ref="B113:B121" si="11">B96/$B96</f>
        <v>1</v>
      </c>
      <c r="C113" s="20">
        <f>C96/$C96</f>
        <v>1</v>
      </c>
      <c r="D113" s="3">
        <f>D96/$C96</f>
        <v>1.3048856180173789</v>
      </c>
      <c r="E113" s="3">
        <f>E96/$C96</f>
        <v>1.1713734704734882</v>
      </c>
      <c r="F113" s="3">
        <f>F96/$C96</f>
        <v>18.268398652243306</v>
      </c>
      <c r="G113" s="3">
        <f>G96/$C96</f>
        <v>4.6854938818939527</v>
      </c>
    </row>
    <row r="114" spans="1:7" ht="18" x14ac:dyDescent="0.2">
      <c r="A114" s="12" t="s">
        <v>117</v>
      </c>
      <c r="B114" s="20">
        <f t="shared" si="11"/>
        <v>1</v>
      </c>
      <c r="C114" s="20">
        <f t="shared" ref="C114:G121" si="12">C97/$C97</f>
        <v>1</v>
      </c>
      <c r="D114" s="3">
        <f t="shared" si="12"/>
        <v>1.8824473709506873</v>
      </c>
      <c r="E114" s="3">
        <f t="shared" si="12"/>
        <v>1.5148995482072478</v>
      </c>
      <c r="F114" s="3">
        <f t="shared" si="12"/>
        <v>45.320589975380692</v>
      </c>
      <c r="G114" s="3">
        <f t="shared" si="12"/>
        <v>10.420498691174853</v>
      </c>
    </row>
    <row r="115" spans="1:7" ht="18" x14ac:dyDescent="0.2">
      <c r="A115" s="12" t="s">
        <v>0</v>
      </c>
      <c r="B115" s="20">
        <f t="shared" si="11"/>
        <v>1</v>
      </c>
      <c r="C115" s="20">
        <f t="shared" si="12"/>
        <v>1</v>
      </c>
      <c r="D115" s="3">
        <f t="shared" si="12"/>
        <v>7.0911768729930058</v>
      </c>
      <c r="E115" s="3">
        <f t="shared" si="12"/>
        <v>6.0730928025882678</v>
      </c>
      <c r="F115" s="3">
        <f t="shared" si="12"/>
        <v>77.211817823312117</v>
      </c>
      <c r="G115" s="3">
        <f t="shared" si="12"/>
        <v>18.893274206658994</v>
      </c>
    </row>
    <row r="116" spans="1:7" ht="18" x14ac:dyDescent="0.2">
      <c r="A116" s="12" t="s">
        <v>1</v>
      </c>
      <c r="B116" s="20">
        <f t="shared" si="11"/>
        <v>1</v>
      </c>
      <c r="C116" s="20">
        <f t="shared" si="12"/>
        <v>1</v>
      </c>
      <c r="D116" s="3">
        <f t="shared" si="12"/>
        <v>0.99983066632799933</v>
      </c>
      <c r="E116" s="3">
        <f t="shared" si="12"/>
        <v>1.003496740326814</v>
      </c>
      <c r="F116" s="3">
        <f t="shared" si="12"/>
        <v>6.9988146642959954</v>
      </c>
      <c r="G116" s="3">
        <f t="shared" si="12"/>
        <v>2.006993480653628</v>
      </c>
    </row>
    <row r="117" spans="1:7" ht="18" x14ac:dyDescent="0.2">
      <c r="A117" s="83" t="s">
        <v>157</v>
      </c>
      <c r="B117" s="20">
        <f t="shared" si="11"/>
        <v>1</v>
      </c>
      <c r="C117" s="20">
        <f t="shared" si="12"/>
        <v>1</v>
      </c>
      <c r="D117" s="3">
        <f t="shared" si="12"/>
        <v>9.362918415226515</v>
      </c>
      <c r="E117" s="3">
        <f t="shared" si="12"/>
        <v>9.2637874632389394</v>
      </c>
      <c r="F117" s="3">
        <f t="shared" si="12"/>
        <v>123.10251792618048</v>
      </c>
      <c r="G117" s="3">
        <f t="shared" si="12"/>
        <v>34.799755476985098</v>
      </c>
    </row>
    <row r="118" spans="1:7" ht="18" x14ac:dyDescent="0.2">
      <c r="A118" s="12" t="s">
        <v>2</v>
      </c>
      <c r="B118" s="20">
        <f t="shared" si="11"/>
        <v>1</v>
      </c>
      <c r="C118" s="20">
        <f t="shared" si="12"/>
        <v>1</v>
      </c>
      <c r="D118" s="3">
        <f t="shared" si="12"/>
        <v>4.7427582437602478</v>
      </c>
      <c r="E118" s="3">
        <f t="shared" si="12"/>
        <v>3.1881034796866459</v>
      </c>
      <c r="F118" s="3">
        <f t="shared" si="12"/>
        <v>25.024357806522136</v>
      </c>
      <c r="G118" s="3">
        <f t="shared" si="12"/>
        <v>8.4497904900710505</v>
      </c>
    </row>
    <row r="119" spans="1:7" ht="18" x14ac:dyDescent="0.2">
      <c r="A119" s="12" t="s">
        <v>3</v>
      </c>
      <c r="B119" s="20">
        <f t="shared" si="11"/>
        <v>1</v>
      </c>
      <c r="C119" s="20">
        <f t="shared" si="12"/>
        <v>1</v>
      </c>
      <c r="D119" s="3">
        <f t="shared" si="12"/>
        <v>3.9886368564860994</v>
      </c>
      <c r="E119" s="3">
        <f t="shared" si="12"/>
        <v>3.1820705208830291</v>
      </c>
      <c r="F119" s="3">
        <f t="shared" si="12"/>
        <v>68.826146009006678</v>
      </c>
      <c r="G119" s="3">
        <f t="shared" si="12"/>
        <v>15.68811301858392</v>
      </c>
    </row>
    <row r="120" spans="1:7" ht="18" x14ac:dyDescent="0.2">
      <c r="A120" s="12" t="s">
        <v>4</v>
      </c>
      <c r="B120" s="20">
        <f t="shared" si="11"/>
        <v>1</v>
      </c>
      <c r="C120" s="20">
        <f t="shared" si="12"/>
        <v>1</v>
      </c>
      <c r="D120" s="3">
        <f t="shared" si="12"/>
        <v>4.4560382398425418</v>
      </c>
      <c r="E120" s="3">
        <f t="shared" si="12"/>
        <v>2.7765359201462112</v>
      </c>
      <c r="F120" s="3">
        <f t="shared" si="12"/>
        <v>27.166877548151273</v>
      </c>
      <c r="G120" s="3">
        <f t="shared" si="12"/>
        <v>4.8364403205398565</v>
      </c>
    </row>
    <row r="121" spans="1:7" ht="18" x14ac:dyDescent="0.2">
      <c r="A121" s="12" t="s">
        <v>5</v>
      </c>
      <c r="B121" s="20">
        <f t="shared" si="11"/>
        <v>1</v>
      </c>
      <c r="C121" s="20">
        <f t="shared" si="12"/>
        <v>1</v>
      </c>
      <c r="D121" s="3">
        <f t="shared" si="12"/>
        <v>1.3297997462007489</v>
      </c>
      <c r="E121" s="3">
        <f t="shared" si="12"/>
        <v>1.2407997771518773</v>
      </c>
      <c r="F121" s="3">
        <f t="shared" si="12"/>
        <v>28.109835540067753</v>
      </c>
      <c r="G121" s="3">
        <f t="shared" si="12"/>
        <v>7.4938625208238445</v>
      </c>
    </row>
    <row r="122" spans="1:7" ht="18" x14ac:dyDescent="0.2">
      <c r="A122" s="2" t="s">
        <v>85</v>
      </c>
      <c r="B122" s="20">
        <f t="shared" ref="B122:G122" si="13">GEOMEAN(B113:B121)</f>
        <v>1</v>
      </c>
      <c r="C122" s="20">
        <f t="shared" si="13"/>
        <v>1</v>
      </c>
      <c r="D122" s="3">
        <f t="shared" si="13"/>
        <v>2.9754256614772161</v>
      </c>
      <c r="E122" s="3">
        <f t="shared" si="13"/>
        <v>2.4763073364111272</v>
      </c>
      <c r="F122" s="3">
        <f t="shared" si="13"/>
        <v>34.673557870399875</v>
      </c>
      <c r="G122" s="3">
        <f t="shared" si="13"/>
        <v>8.7783622006079813</v>
      </c>
    </row>
    <row r="123" spans="1:7" ht="18" x14ac:dyDescent="0.2">
      <c r="A123" t="s">
        <v>244</v>
      </c>
      <c r="E123" s="80">
        <f>D122/E122</f>
        <v>1.2015575036778161</v>
      </c>
      <c r="G123" s="80">
        <f>F122/G122</f>
        <v>3.9498891795554321</v>
      </c>
    </row>
    <row r="124" spans="1:7" x14ac:dyDescent="0.2">
      <c r="A124" t="s">
        <v>245</v>
      </c>
    </row>
    <row r="125" spans="1:7" x14ac:dyDescent="0.2">
      <c r="A125" t="s">
        <v>246</v>
      </c>
    </row>
    <row r="126" spans="1:7" x14ac:dyDescent="0.2">
      <c r="A126" t="s">
        <v>247</v>
      </c>
    </row>
    <row r="127" spans="1:7" x14ac:dyDescent="0.2">
      <c r="A127" t="s">
        <v>248</v>
      </c>
    </row>
    <row r="128" spans="1:7" x14ac:dyDescent="0.2">
      <c r="A128" t="s">
        <v>249</v>
      </c>
    </row>
    <row r="129" spans="1:23" x14ac:dyDescent="0.2">
      <c r="A129" t="s">
        <v>250</v>
      </c>
    </row>
    <row r="130" spans="1:23" x14ac:dyDescent="0.2">
      <c r="A130" t="s">
        <v>251</v>
      </c>
    </row>
    <row r="131" spans="1:23" ht="18" x14ac:dyDescent="0.2">
      <c r="A131" s="12" t="s">
        <v>252</v>
      </c>
    </row>
    <row r="132" spans="1:23" ht="18" x14ac:dyDescent="0.2">
      <c r="A132" s="12" t="s">
        <v>253</v>
      </c>
    </row>
    <row r="133" spans="1:23" ht="18" x14ac:dyDescent="0.2">
      <c r="A133" s="12" t="s">
        <v>254</v>
      </c>
      <c r="H133" s="1"/>
      <c r="I133" s="21"/>
      <c r="J133" s="21"/>
      <c r="K133" s="21"/>
      <c r="L133" s="21"/>
      <c r="M133" s="71"/>
      <c r="S133" s="1"/>
      <c r="T133" s="22"/>
      <c r="U133" s="22"/>
      <c r="V133" s="22"/>
      <c r="W133" s="22"/>
    </row>
    <row r="134" spans="1:23" ht="18" x14ac:dyDescent="0.2">
      <c r="A134" s="12" t="s">
        <v>255</v>
      </c>
      <c r="H134" s="1"/>
      <c r="I134" s="21"/>
      <c r="J134" s="21"/>
      <c r="K134" s="21"/>
      <c r="L134" s="21"/>
      <c r="M134" s="71"/>
      <c r="S134" s="1"/>
      <c r="T134" s="22"/>
      <c r="U134" s="22"/>
      <c r="V134" s="22"/>
      <c r="W134" s="22"/>
    </row>
    <row r="135" spans="1:23" ht="18" x14ac:dyDescent="0.2">
      <c r="A135" s="12" t="s">
        <v>256</v>
      </c>
      <c r="H135" s="1"/>
      <c r="I135" s="21"/>
      <c r="J135" s="21"/>
      <c r="K135" s="21"/>
      <c r="L135" s="21"/>
      <c r="M135" s="71"/>
      <c r="S135" s="1"/>
      <c r="T135" s="22"/>
      <c r="U135" s="22"/>
      <c r="V135" s="22"/>
      <c r="W135" s="22"/>
    </row>
    <row r="136" spans="1:23" ht="18" x14ac:dyDescent="0.2">
      <c r="A136" s="12" t="s">
        <v>257</v>
      </c>
      <c r="H136" s="1"/>
      <c r="I136" s="21"/>
      <c r="J136" s="21"/>
      <c r="K136" s="21"/>
      <c r="L136" s="21"/>
      <c r="M136" s="71"/>
      <c r="S136" s="1"/>
      <c r="T136" s="22"/>
      <c r="U136" s="22"/>
      <c r="V136" s="22"/>
      <c r="W136" s="22"/>
    </row>
    <row r="137" spans="1:23" ht="18" x14ac:dyDescent="0.2">
      <c r="A137" s="2" t="s">
        <v>258</v>
      </c>
      <c r="H137" s="1"/>
      <c r="I137" s="21"/>
      <c r="J137" s="21"/>
      <c r="K137" s="21"/>
      <c r="L137" s="21"/>
      <c r="M137" s="71"/>
      <c r="S137" s="1"/>
      <c r="T137" s="22"/>
      <c r="U137" s="22"/>
      <c r="V137" s="22"/>
      <c r="W137" s="22"/>
    </row>
    <row r="138" spans="1:23" ht="18" x14ac:dyDescent="0.2">
      <c r="A138" s="2" t="s">
        <v>259</v>
      </c>
      <c r="H138" s="1"/>
      <c r="I138" s="21"/>
      <c r="J138" s="21"/>
      <c r="K138" s="21"/>
      <c r="L138" s="21"/>
      <c r="M138" s="71"/>
      <c r="S138" s="1"/>
      <c r="T138" s="22"/>
      <c r="U138" s="22"/>
      <c r="V138" s="22"/>
      <c r="W138" s="22"/>
    </row>
    <row r="139" spans="1:23" ht="18" x14ac:dyDescent="0.2">
      <c r="B139" s="2" t="s">
        <v>161</v>
      </c>
      <c r="C139" s="2"/>
      <c r="D139" s="2" t="s">
        <v>162</v>
      </c>
      <c r="E139" s="70"/>
      <c r="H139" s="1"/>
      <c r="I139" s="21"/>
      <c r="J139" s="21"/>
      <c r="K139" s="21"/>
      <c r="L139" s="21"/>
      <c r="M139" s="71"/>
      <c r="S139" s="1"/>
      <c r="T139" s="22"/>
      <c r="U139" s="22"/>
      <c r="V139" s="22"/>
      <c r="W139" s="22"/>
    </row>
    <row r="140" spans="1:23" ht="18" x14ac:dyDescent="0.2">
      <c r="A140" s="2"/>
      <c r="B140" s="2" t="s">
        <v>164</v>
      </c>
      <c r="C140" s="2" t="s">
        <v>165</v>
      </c>
      <c r="D140" s="2" t="s">
        <v>164</v>
      </c>
      <c r="E140" s="2" t="s">
        <v>165</v>
      </c>
      <c r="F140" s="2" t="s">
        <v>166</v>
      </c>
      <c r="H140" s="1"/>
      <c r="I140" s="21"/>
      <c r="J140" s="21"/>
      <c r="K140" s="21"/>
      <c r="L140" s="21"/>
      <c r="M140" s="71"/>
      <c r="S140" s="1"/>
      <c r="T140" s="22"/>
      <c r="U140" s="22"/>
      <c r="V140" s="22"/>
      <c r="W140" s="22"/>
    </row>
    <row r="141" spans="1:23" ht="18" x14ac:dyDescent="0.2">
      <c r="A141" s="2" t="s">
        <v>69</v>
      </c>
      <c r="B141" s="3">
        <v>34</v>
      </c>
      <c r="C141" s="3">
        <v>0</v>
      </c>
      <c r="D141" s="3">
        <v>34</v>
      </c>
      <c r="E141" s="3">
        <v>9</v>
      </c>
      <c r="F141" s="36"/>
      <c r="H141" s="1"/>
      <c r="I141" s="21"/>
      <c r="J141" s="21"/>
      <c r="K141" s="21"/>
      <c r="L141" s="21"/>
      <c r="M141" s="71"/>
      <c r="S141" s="1"/>
      <c r="T141" s="22"/>
      <c r="U141" s="22"/>
      <c r="V141" s="22"/>
      <c r="W141" s="22"/>
    </row>
    <row r="142" spans="1:23" ht="18" x14ac:dyDescent="0.2">
      <c r="A142" s="2" t="s">
        <v>70</v>
      </c>
      <c r="B142" s="3">
        <v>8</v>
      </c>
      <c r="C142" s="3">
        <v>0</v>
      </c>
      <c r="D142" s="3">
        <v>8</v>
      </c>
      <c r="E142" s="3">
        <v>4</v>
      </c>
      <c r="F142" s="36"/>
      <c r="H142" s="1"/>
      <c r="I142" s="21"/>
      <c r="J142" s="21"/>
      <c r="K142" s="21"/>
      <c r="L142" s="21"/>
      <c r="M142" s="71"/>
      <c r="S142" s="1"/>
      <c r="T142" s="22"/>
      <c r="U142" s="22"/>
      <c r="V142" s="22"/>
      <c r="W142" s="22"/>
    </row>
    <row r="143" spans="1:23" ht="18" x14ac:dyDescent="0.2">
      <c r="A143" s="2" t="s">
        <v>71</v>
      </c>
      <c r="B143" s="3">
        <v>14</v>
      </c>
      <c r="C143" s="3">
        <v>0</v>
      </c>
      <c r="D143" s="3">
        <v>14</v>
      </c>
      <c r="E143" s="3">
        <v>5</v>
      </c>
      <c r="F143" s="36"/>
      <c r="H143" s="1"/>
      <c r="I143" s="21"/>
      <c r="J143" s="21"/>
      <c r="K143" s="21"/>
      <c r="L143" s="21"/>
      <c r="M143" s="71"/>
      <c r="S143" s="1"/>
      <c r="T143" s="22"/>
      <c r="U143" s="22"/>
      <c r="V143" s="22"/>
      <c r="W143" s="22"/>
    </row>
    <row r="144" spans="1:23" ht="18" x14ac:dyDescent="0.2">
      <c r="A144" s="2" t="s">
        <v>72</v>
      </c>
      <c r="B144" s="3">
        <v>68</v>
      </c>
      <c r="C144" s="3">
        <v>0</v>
      </c>
      <c r="D144" s="3">
        <v>68</v>
      </c>
      <c r="E144" s="3">
        <v>26</v>
      </c>
      <c r="F144" s="36"/>
      <c r="H144" s="1"/>
      <c r="I144" s="21"/>
      <c r="J144" s="21"/>
      <c r="K144" s="21"/>
      <c r="L144" s="21"/>
      <c r="M144" s="71"/>
      <c r="S144" s="1"/>
      <c r="T144" s="22"/>
      <c r="U144" s="22"/>
      <c r="V144" s="22"/>
      <c r="W144" s="22"/>
    </row>
    <row r="145" spans="1:23" ht="18" x14ac:dyDescent="0.2">
      <c r="A145" s="2" t="s">
        <v>73</v>
      </c>
      <c r="B145" s="3">
        <v>1030</v>
      </c>
      <c r="C145" s="3">
        <v>0</v>
      </c>
      <c r="D145" s="3">
        <v>1030</v>
      </c>
      <c r="E145" s="3">
        <v>524</v>
      </c>
      <c r="F145" s="36"/>
      <c r="H145" s="1"/>
      <c r="I145" s="21"/>
      <c r="J145" s="21"/>
      <c r="K145" s="21"/>
      <c r="L145" s="21"/>
      <c r="M145" s="71"/>
      <c r="S145" s="1"/>
      <c r="T145" s="22"/>
      <c r="U145" s="22"/>
      <c r="V145" s="22"/>
      <c r="W145" s="22"/>
    </row>
    <row r="146" spans="1:23" ht="18" x14ac:dyDescent="0.2">
      <c r="A146" s="2" t="s">
        <v>74</v>
      </c>
      <c r="B146" s="3">
        <v>1030</v>
      </c>
      <c r="C146" s="3">
        <v>1</v>
      </c>
      <c r="D146" s="3">
        <v>1030</v>
      </c>
      <c r="E146" s="3">
        <v>431</v>
      </c>
      <c r="F146" s="36"/>
      <c r="H146" s="1"/>
      <c r="I146" s="21"/>
      <c r="J146" s="21"/>
      <c r="K146" s="21"/>
      <c r="L146" s="21"/>
      <c r="M146" s="71"/>
      <c r="S146" s="1"/>
      <c r="T146" s="22"/>
      <c r="U146" s="22"/>
      <c r="V146" s="22"/>
      <c r="W146" s="22"/>
    </row>
    <row r="147" spans="1:23" ht="18" x14ac:dyDescent="0.2">
      <c r="A147" s="2" t="s">
        <v>75</v>
      </c>
      <c r="B147" s="3">
        <v>1336</v>
      </c>
      <c r="C147" s="3">
        <v>0</v>
      </c>
      <c r="D147" s="3">
        <v>1336</v>
      </c>
      <c r="E147" s="3">
        <v>1047</v>
      </c>
      <c r="F147" s="36"/>
    </row>
    <row r="148" spans="1:23" ht="18" x14ac:dyDescent="0.2">
      <c r="A148" s="2" t="s">
        <v>76</v>
      </c>
      <c r="B148" s="3">
        <v>1300</v>
      </c>
      <c r="C148" s="3">
        <v>0</v>
      </c>
      <c r="D148" s="3">
        <v>1300</v>
      </c>
      <c r="E148" s="3">
        <v>844</v>
      </c>
      <c r="F148" s="36"/>
    </row>
    <row r="149" spans="1:23" ht="18" x14ac:dyDescent="0.2">
      <c r="A149" s="2" t="s">
        <v>77</v>
      </c>
      <c r="B149" s="3">
        <v>20</v>
      </c>
      <c r="C149" s="3">
        <v>0</v>
      </c>
      <c r="D149" s="3">
        <v>20</v>
      </c>
      <c r="E149" s="3">
        <v>12</v>
      </c>
      <c r="F149" s="36"/>
    </row>
    <row r="150" spans="1:23" ht="18" x14ac:dyDescent="0.2">
      <c r="A150" s="2" t="s">
        <v>78</v>
      </c>
      <c r="B150" s="3">
        <v>30</v>
      </c>
      <c r="C150" s="3">
        <v>0</v>
      </c>
      <c r="D150" s="3">
        <v>30</v>
      </c>
      <c r="E150" s="3">
        <v>12</v>
      </c>
      <c r="F150" s="36"/>
    </row>
    <row r="151" spans="1:23" ht="18" x14ac:dyDescent="0.2">
      <c r="A151" s="2" t="s">
        <v>154</v>
      </c>
      <c r="B151" s="3">
        <v>2</v>
      </c>
      <c r="C151" s="3">
        <v>0</v>
      </c>
      <c r="D151" s="3">
        <v>2</v>
      </c>
      <c r="E151" s="3">
        <v>1</v>
      </c>
      <c r="F151" s="36"/>
    </row>
    <row r="152" spans="1:23" ht="18" x14ac:dyDescent="0.2">
      <c r="A152" s="2" t="s">
        <v>79</v>
      </c>
      <c r="B152" s="3">
        <v>50</v>
      </c>
      <c r="C152" s="3">
        <v>0</v>
      </c>
      <c r="D152" s="3">
        <v>50</v>
      </c>
      <c r="E152" s="3">
        <v>17</v>
      </c>
      <c r="F152" s="36"/>
    </row>
    <row r="153" spans="1:23" ht="18" x14ac:dyDescent="0.2">
      <c r="A153" s="2" t="s">
        <v>80</v>
      </c>
      <c r="B153" s="3">
        <v>40</v>
      </c>
      <c r="C153" s="3">
        <v>0</v>
      </c>
      <c r="D153" s="3">
        <v>40</v>
      </c>
      <c r="E153" s="3">
        <v>12</v>
      </c>
      <c r="F153" s="36"/>
    </row>
    <row r="154" spans="1:23" ht="18" x14ac:dyDescent="0.2">
      <c r="A154" s="1"/>
      <c r="B154" s="22"/>
      <c r="C154" s="22"/>
      <c r="D154" s="22"/>
      <c r="E154" s="22"/>
    </row>
    <row r="156" spans="1:23" ht="18" x14ac:dyDescent="0.2">
      <c r="A156" s="193" t="s">
        <v>173</v>
      </c>
      <c r="B156" s="193"/>
      <c r="C156" s="193"/>
      <c r="D156" s="193"/>
    </row>
    <row r="158" spans="1:23" ht="18" x14ac:dyDescent="0.2">
      <c r="A158" s="2" t="s">
        <v>103</v>
      </c>
      <c r="B158" s="2" t="s">
        <v>167</v>
      </c>
      <c r="C158" s="2" t="s">
        <v>161</v>
      </c>
      <c r="D158" s="2" t="s">
        <v>168</v>
      </c>
    </row>
    <row r="159" spans="1:23" ht="18" x14ac:dyDescent="0.2">
      <c r="A159" s="12" t="s">
        <v>69</v>
      </c>
      <c r="B159" s="3">
        <v>9151284</v>
      </c>
      <c r="C159" s="3">
        <v>24785460</v>
      </c>
      <c r="D159" s="20">
        <f>(C159/B159)</f>
        <v>2.7084133767458205</v>
      </c>
    </row>
    <row r="160" spans="1:23" ht="18" x14ac:dyDescent="0.2">
      <c r="A160" s="12" t="s">
        <v>70</v>
      </c>
      <c r="B160" s="3">
        <v>1503894</v>
      </c>
      <c r="C160" s="3">
        <v>1608768</v>
      </c>
      <c r="D160" s="20">
        <f t="shared" ref="D160:D172" si="14">(C160/B160)</f>
        <v>1.0697349680230122</v>
      </c>
    </row>
    <row r="161" spans="1:4" ht="18" x14ac:dyDescent="0.2">
      <c r="A161" s="12" t="s">
        <v>71</v>
      </c>
      <c r="B161" s="3">
        <v>536903782</v>
      </c>
      <c r="C161" s="3">
        <v>1610727554</v>
      </c>
      <c r="D161" s="20">
        <f t="shared" si="14"/>
        <v>3.0000301879043199</v>
      </c>
    </row>
    <row r="162" spans="1:4" ht="18" x14ac:dyDescent="0.2">
      <c r="A162" s="12" t="s">
        <v>72</v>
      </c>
      <c r="B162" s="3">
        <v>1921866</v>
      </c>
      <c r="C162" s="3">
        <v>3316631</v>
      </c>
      <c r="D162" s="20">
        <f t="shared" si="14"/>
        <v>1.7257347806766965</v>
      </c>
    </row>
    <row r="163" spans="1:4" ht="18" x14ac:dyDescent="0.2">
      <c r="A163" s="12" t="s">
        <v>73</v>
      </c>
      <c r="B163" s="3">
        <v>12569914</v>
      </c>
      <c r="C163" s="3">
        <v>1469501138</v>
      </c>
      <c r="D163" s="20">
        <f t="shared" si="14"/>
        <v>116.90622051988582</v>
      </c>
    </row>
    <row r="164" spans="1:4" ht="18" x14ac:dyDescent="0.2">
      <c r="A164" s="12" t="s">
        <v>74</v>
      </c>
      <c r="B164" s="3">
        <v>1438610487</v>
      </c>
      <c r="C164" s="3">
        <v>1469370062</v>
      </c>
      <c r="D164" s="20">
        <f t="shared" si="14"/>
        <v>1.0213814477775318</v>
      </c>
    </row>
    <row r="165" spans="1:4" ht="18" x14ac:dyDescent="0.2">
      <c r="A165" s="12" t="s">
        <v>75</v>
      </c>
      <c r="B165" s="3">
        <v>16786581</v>
      </c>
      <c r="C165" s="3">
        <v>16792209</v>
      </c>
      <c r="D165" s="20">
        <f t="shared" si="14"/>
        <v>1.0003352677951514</v>
      </c>
    </row>
    <row r="166" spans="1:4" ht="18" x14ac:dyDescent="0.2">
      <c r="A166" s="12" t="s">
        <v>76</v>
      </c>
      <c r="B166" s="3">
        <v>21394</v>
      </c>
      <c r="C166" s="3">
        <v>22208</v>
      </c>
      <c r="D166" s="20">
        <f t="shared" si="14"/>
        <v>1.03804805085538</v>
      </c>
    </row>
    <row r="167" spans="1:4" ht="18" x14ac:dyDescent="0.2">
      <c r="A167" s="12" t="s">
        <v>77</v>
      </c>
      <c r="B167" s="3">
        <v>22599085</v>
      </c>
      <c r="C167" s="3">
        <v>33546485</v>
      </c>
      <c r="D167" s="20">
        <f t="shared" si="14"/>
        <v>1.4844178425807948</v>
      </c>
    </row>
    <row r="168" spans="1:4" ht="18" x14ac:dyDescent="0.2">
      <c r="A168" s="12" t="s">
        <v>78</v>
      </c>
      <c r="B168" s="3">
        <v>276145915</v>
      </c>
      <c r="C168" s="3">
        <v>368194532</v>
      </c>
      <c r="D168" s="20">
        <f t="shared" si="14"/>
        <v>1.3333332560794897</v>
      </c>
    </row>
    <row r="169" spans="1:4" ht="18" x14ac:dyDescent="0.2">
      <c r="A169" s="12" t="s">
        <v>154</v>
      </c>
      <c r="B169" s="3">
        <v>149675846</v>
      </c>
      <c r="C169" s="3">
        <v>280617280</v>
      </c>
      <c r="D169" s="20">
        <f t="shared" si="14"/>
        <v>1.8748334317081461</v>
      </c>
    </row>
    <row r="170" spans="1:4" ht="18" x14ac:dyDescent="0.2">
      <c r="A170" s="12" t="s">
        <v>79</v>
      </c>
      <c r="B170" s="3">
        <v>115148051</v>
      </c>
      <c r="C170" s="3">
        <v>158703325</v>
      </c>
      <c r="D170" s="20">
        <f t="shared" si="14"/>
        <v>1.3782545481382051</v>
      </c>
    </row>
    <row r="171" spans="1:4" ht="18" x14ac:dyDescent="0.2">
      <c r="A171" s="12" t="s">
        <v>80</v>
      </c>
      <c r="B171" s="3">
        <v>19226156</v>
      </c>
      <c r="C171" s="3">
        <v>23740995</v>
      </c>
      <c r="D171" s="20">
        <f t="shared" si="14"/>
        <v>1.2348279604097667</v>
      </c>
    </row>
    <row r="172" spans="1:4" ht="18" x14ac:dyDescent="0.2">
      <c r="A172" s="12" t="s">
        <v>177</v>
      </c>
      <c r="B172" s="3">
        <v>16011</v>
      </c>
      <c r="C172" s="3">
        <v>20125</v>
      </c>
      <c r="D172" s="20">
        <f t="shared" si="14"/>
        <v>1.2569483480107426</v>
      </c>
    </row>
    <row r="174" spans="1:4" ht="18" x14ac:dyDescent="0.2">
      <c r="A174" s="193" t="s">
        <v>174</v>
      </c>
      <c r="B174" s="193"/>
      <c r="C174" s="193"/>
      <c r="D174" s="193"/>
    </row>
    <row r="175" spans="1:4" ht="18" x14ac:dyDescent="0.2">
      <c r="A175" s="2" t="s">
        <v>103</v>
      </c>
      <c r="B175" s="2" t="s">
        <v>167</v>
      </c>
      <c r="C175" s="2" t="s">
        <v>161</v>
      </c>
      <c r="D175" s="2" t="s">
        <v>168</v>
      </c>
    </row>
    <row r="176" spans="1:4" ht="18" x14ac:dyDescent="0.2">
      <c r="A176" s="12" t="s">
        <v>69</v>
      </c>
      <c r="B176" s="12">
        <v>11820</v>
      </c>
      <c r="C176" s="12">
        <v>11820</v>
      </c>
      <c r="D176" s="20">
        <f>(C176/B176)</f>
        <v>1</v>
      </c>
    </row>
    <row r="177" spans="1:4" ht="18" x14ac:dyDescent="0.2">
      <c r="A177" s="12" t="s">
        <v>70</v>
      </c>
      <c r="B177" s="12">
        <v>42</v>
      </c>
      <c r="C177" s="12">
        <v>42</v>
      </c>
      <c r="D177" s="20">
        <f t="shared" ref="D177:D189" si="15">(C177/B177)</f>
        <v>1</v>
      </c>
    </row>
    <row r="178" spans="1:4" ht="18" x14ac:dyDescent="0.2">
      <c r="A178" s="12" t="s">
        <v>71</v>
      </c>
      <c r="B178" s="12">
        <v>12</v>
      </c>
      <c r="C178" s="12">
        <v>12</v>
      </c>
      <c r="D178" s="20">
        <f t="shared" si="15"/>
        <v>1</v>
      </c>
    </row>
    <row r="179" spans="1:4" ht="18" x14ac:dyDescent="0.2">
      <c r="A179" s="12" t="s">
        <v>72</v>
      </c>
      <c r="B179" s="12">
        <v>23351</v>
      </c>
      <c r="C179" s="12">
        <v>23351</v>
      </c>
      <c r="D179" s="20">
        <f t="shared" si="15"/>
        <v>1</v>
      </c>
    </row>
    <row r="180" spans="1:4" ht="18" x14ac:dyDescent="0.2">
      <c r="A180" s="12" t="s">
        <v>73</v>
      </c>
      <c r="B180" s="12">
        <v>1028</v>
      </c>
      <c r="C180" s="12">
        <v>1028</v>
      </c>
      <c r="D180" s="20">
        <f t="shared" si="15"/>
        <v>1</v>
      </c>
    </row>
    <row r="181" spans="1:4" ht="18" x14ac:dyDescent="0.2">
      <c r="A181" s="12" t="s">
        <v>74</v>
      </c>
      <c r="B181" s="12">
        <v>518</v>
      </c>
      <c r="C181" s="12">
        <v>518</v>
      </c>
      <c r="D181" s="20">
        <f t="shared" si="15"/>
        <v>1</v>
      </c>
    </row>
    <row r="182" spans="1:4" ht="18" x14ac:dyDescent="0.2">
      <c r="A182" s="12" t="s">
        <v>75</v>
      </c>
      <c r="B182" s="12">
        <v>1324</v>
      </c>
      <c r="C182" s="12">
        <v>1324</v>
      </c>
      <c r="D182" s="20">
        <f t="shared" si="15"/>
        <v>1</v>
      </c>
    </row>
    <row r="183" spans="1:4" ht="18" x14ac:dyDescent="0.2">
      <c r="A183" s="12" t="s">
        <v>76</v>
      </c>
      <c r="B183" s="12">
        <v>1293</v>
      </c>
      <c r="C183" s="12">
        <v>1293</v>
      </c>
      <c r="D183" s="20">
        <f t="shared" si="15"/>
        <v>1</v>
      </c>
    </row>
    <row r="184" spans="1:4" ht="18" x14ac:dyDescent="0.2">
      <c r="A184" s="12" t="s">
        <v>77</v>
      </c>
      <c r="B184" s="12">
        <v>8</v>
      </c>
      <c r="C184" s="12">
        <v>8</v>
      </c>
      <c r="D184" s="20">
        <f t="shared" si="15"/>
        <v>1</v>
      </c>
    </row>
    <row r="185" spans="1:4" ht="18" x14ac:dyDescent="0.2">
      <c r="A185" s="12" t="s">
        <v>78</v>
      </c>
      <c r="B185" s="12">
        <v>26</v>
      </c>
      <c r="C185" s="12">
        <v>26</v>
      </c>
      <c r="D185" s="20">
        <f t="shared" si="15"/>
        <v>1</v>
      </c>
    </row>
    <row r="186" spans="1:4" ht="18" x14ac:dyDescent="0.2">
      <c r="A186" s="12" t="s">
        <v>154</v>
      </c>
      <c r="B186" s="12">
        <v>0</v>
      </c>
      <c r="C186" s="12">
        <v>0</v>
      </c>
      <c r="D186" s="20" t="e">
        <f t="shared" si="15"/>
        <v>#DIV/0!</v>
      </c>
    </row>
    <row r="187" spans="1:4" ht="18" x14ac:dyDescent="0.2">
      <c r="A187" s="12" t="s">
        <v>79</v>
      </c>
      <c r="B187" s="12">
        <v>42</v>
      </c>
      <c r="C187" s="12">
        <v>42</v>
      </c>
      <c r="D187" s="20">
        <f t="shared" si="15"/>
        <v>1</v>
      </c>
    </row>
    <row r="188" spans="1:4" ht="18" x14ac:dyDescent="0.2">
      <c r="A188" s="12" t="s">
        <v>80</v>
      </c>
      <c r="B188" s="12">
        <v>38</v>
      </c>
      <c r="C188" s="12">
        <v>38</v>
      </c>
      <c r="D188" s="20">
        <f t="shared" si="15"/>
        <v>1</v>
      </c>
    </row>
    <row r="189" spans="1:4" ht="18" x14ac:dyDescent="0.2">
      <c r="A189" s="12" t="s">
        <v>176</v>
      </c>
      <c r="B189" s="12">
        <v>16000</v>
      </c>
      <c r="C189" s="12">
        <v>16000</v>
      </c>
      <c r="D189" s="20">
        <f t="shared" si="15"/>
        <v>1</v>
      </c>
    </row>
    <row r="192" spans="1:4" ht="18" x14ac:dyDescent="0.2">
      <c r="A192" s="193" t="s">
        <v>175</v>
      </c>
      <c r="B192" s="193"/>
      <c r="C192" s="193"/>
      <c r="D192" s="193"/>
    </row>
    <row r="193" spans="1:4" ht="18" x14ac:dyDescent="0.2">
      <c r="A193" s="2" t="s">
        <v>103</v>
      </c>
      <c r="C193" s="2"/>
      <c r="D193" s="2"/>
    </row>
    <row r="194" spans="1:4" ht="18" x14ac:dyDescent="0.2">
      <c r="A194" s="12" t="s">
        <v>69</v>
      </c>
      <c r="B194" s="2">
        <v>16</v>
      </c>
      <c r="C194" s="12"/>
      <c r="D194" s="20"/>
    </row>
    <row r="195" spans="1:4" ht="18" x14ac:dyDescent="0.2">
      <c r="A195" s="12" t="s">
        <v>70</v>
      </c>
      <c r="B195" s="12">
        <v>9</v>
      </c>
      <c r="C195" s="12"/>
      <c r="D195" s="20"/>
    </row>
    <row r="196" spans="1:4" ht="18" x14ac:dyDescent="0.2">
      <c r="A196" s="12" t="s">
        <v>71</v>
      </c>
      <c r="B196" s="12">
        <v>14</v>
      </c>
      <c r="C196" s="12"/>
      <c r="D196" s="20"/>
    </row>
    <row r="197" spans="1:4" ht="18" x14ac:dyDescent="0.2">
      <c r="A197" s="12" t="s">
        <v>72</v>
      </c>
      <c r="B197" s="12">
        <v>36</v>
      </c>
      <c r="C197" s="12"/>
      <c r="D197" s="20"/>
    </row>
    <row r="198" spans="1:4" ht="18" x14ac:dyDescent="0.2">
      <c r="A198" s="12" t="s">
        <v>73</v>
      </c>
      <c r="B198" s="12">
        <v>14</v>
      </c>
      <c r="C198" s="12"/>
      <c r="D198" s="20"/>
    </row>
    <row r="199" spans="1:4" ht="18" x14ac:dyDescent="0.2">
      <c r="A199" s="12" t="s">
        <v>74</v>
      </c>
      <c r="B199" s="12">
        <v>12</v>
      </c>
      <c r="C199" s="12"/>
      <c r="D199" s="20"/>
    </row>
    <row r="200" spans="1:4" ht="18" x14ac:dyDescent="0.2">
      <c r="A200" s="12" t="s">
        <v>75</v>
      </c>
      <c r="B200" s="12">
        <v>94</v>
      </c>
      <c r="C200" s="12"/>
      <c r="D200" s="20"/>
    </row>
    <row r="201" spans="1:4" ht="18" x14ac:dyDescent="0.2">
      <c r="A201" s="12" t="s">
        <v>76</v>
      </c>
      <c r="B201" s="12">
        <v>100</v>
      </c>
      <c r="C201" s="12"/>
      <c r="D201" s="20"/>
    </row>
    <row r="202" spans="1:4" ht="18" x14ac:dyDescent="0.2">
      <c r="A202" s="12" t="s">
        <v>77</v>
      </c>
      <c r="B202" s="12">
        <v>14</v>
      </c>
      <c r="C202" s="12"/>
      <c r="D202" s="20"/>
    </row>
    <row r="203" spans="1:4" ht="18" x14ac:dyDescent="0.2">
      <c r="A203" s="12" t="s">
        <v>78</v>
      </c>
      <c r="B203" s="12">
        <v>14</v>
      </c>
      <c r="C203" s="12"/>
      <c r="D203" s="20"/>
    </row>
    <row r="204" spans="1:4" ht="18" x14ac:dyDescent="0.2">
      <c r="A204" s="12" t="s">
        <v>154</v>
      </c>
      <c r="B204" s="12">
        <v>2</v>
      </c>
      <c r="C204" s="12"/>
      <c r="D204" s="20"/>
    </row>
    <row r="205" spans="1:4" ht="18" x14ac:dyDescent="0.2">
      <c r="A205" s="12" t="s">
        <v>79</v>
      </c>
      <c r="B205" s="12">
        <v>26</v>
      </c>
      <c r="C205" s="12"/>
      <c r="D205" s="20"/>
    </row>
    <row r="206" spans="1:4" ht="18" x14ac:dyDescent="0.2">
      <c r="A206" s="12" t="s">
        <v>80</v>
      </c>
      <c r="B206" s="12">
        <v>24</v>
      </c>
      <c r="C206" s="12"/>
      <c r="D206" s="20"/>
    </row>
    <row r="207" spans="1:4" ht="18" x14ac:dyDescent="0.2">
      <c r="A207" s="12" t="s">
        <v>176</v>
      </c>
      <c r="B207" s="12">
        <v>4</v>
      </c>
      <c r="C207" s="12"/>
      <c r="D207" s="20"/>
    </row>
    <row r="216" spans="1:6" x14ac:dyDescent="0.2">
      <c r="A216" s="8" t="s">
        <v>218</v>
      </c>
      <c r="B216" s="8" t="s">
        <v>216</v>
      </c>
      <c r="C216" s="8" t="s">
        <v>217</v>
      </c>
    </row>
    <row r="217" spans="1:6" x14ac:dyDescent="0.2">
      <c r="A217" s="72" t="s">
        <v>178</v>
      </c>
      <c r="B217" s="8">
        <v>0</v>
      </c>
      <c r="C217" s="8">
        <v>0</v>
      </c>
    </row>
    <row r="218" spans="1:6" x14ac:dyDescent="0.2">
      <c r="A218" s="8" t="s">
        <v>179</v>
      </c>
      <c r="B218" s="8">
        <v>0</v>
      </c>
      <c r="C218" s="8">
        <v>0</v>
      </c>
    </row>
    <row r="219" spans="1:6" x14ac:dyDescent="0.2">
      <c r="A219" s="8" t="s">
        <v>180</v>
      </c>
      <c r="B219" s="8">
        <v>0</v>
      </c>
      <c r="C219" s="8">
        <v>0</v>
      </c>
      <c r="E219" t="s">
        <v>214</v>
      </c>
      <c r="F219" t="s">
        <v>215</v>
      </c>
    </row>
    <row r="220" spans="1:6" x14ac:dyDescent="0.2">
      <c r="A220" s="8" t="s">
        <v>181</v>
      </c>
      <c r="B220" s="8">
        <v>0</v>
      </c>
      <c r="C220" s="8">
        <v>0</v>
      </c>
      <c r="E220">
        <v>7959</v>
      </c>
      <c r="F220" s="73">
        <v>138072</v>
      </c>
    </row>
    <row r="221" spans="1:6" x14ac:dyDescent="0.2">
      <c r="A221" s="8" t="s">
        <v>182</v>
      </c>
      <c r="B221" s="8">
        <v>0</v>
      </c>
      <c r="C221" s="8">
        <v>0</v>
      </c>
    </row>
    <row r="222" spans="1:6" x14ac:dyDescent="0.2">
      <c r="A222" s="8" t="s">
        <v>183</v>
      </c>
      <c r="B222" s="8">
        <v>0</v>
      </c>
      <c r="C222" s="8">
        <v>0</v>
      </c>
    </row>
    <row r="223" spans="1:6" x14ac:dyDescent="0.2">
      <c r="A223" s="8" t="s">
        <v>184</v>
      </c>
      <c r="B223" s="8">
        <v>0</v>
      </c>
      <c r="C223" s="8">
        <v>1</v>
      </c>
    </row>
    <row r="224" spans="1:6" x14ac:dyDescent="0.2">
      <c r="A224" s="8" t="s">
        <v>185</v>
      </c>
      <c r="B224" s="8">
        <v>0</v>
      </c>
      <c r="C224" s="8">
        <v>1</v>
      </c>
    </row>
    <row r="225" spans="1:3" x14ac:dyDescent="0.2">
      <c r="A225" s="8" t="s">
        <v>186</v>
      </c>
      <c r="B225" s="8">
        <v>0</v>
      </c>
      <c r="C225" s="8">
        <v>1</v>
      </c>
    </row>
    <row r="226" spans="1:3" x14ac:dyDescent="0.2">
      <c r="A226" s="8" t="s">
        <v>187</v>
      </c>
      <c r="B226" s="8">
        <v>1</v>
      </c>
      <c r="C226" s="8">
        <v>1</v>
      </c>
    </row>
    <row r="227" spans="1:3" x14ac:dyDescent="0.2">
      <c r="A227" s="8" t="s">
        <v>188</v>
      </c>
      <c r="B227" s="8">
        <v>3</v>
      </c>
      <c r="C227" s="8">
        <v>1</v>
      </c>
    </row>
    <row r="228" spans="1:3" x14ac:dyDescent="0.2">
      <c r="A228" s="8" t="s">
        <v>189</v>
      </c>
      <c r="B228" s="8">
        <v>8</v>
      </c>
      <c r="C228" s="8">
        <v>1</v>
      </c>
    </row>
    <row r="229" spans="1:3" x14ac:dyDescent="0.2">
      <c r="A229" s="8" t="s">
        <v>190</v>
      </c>
      <c r="B229" s="8">
        <v>0</v>
      </c>
      <c r="C229" s="8">
        <v>5</v>
      </c>
    </row>
    <row r="230" spans="1:3" x14ac:dyDescent="0.2">
      <c r="A230" s="8" t="s">
        <v>191</v>
      </c>
      <c r="B230" s="8">
        <v>1</v>
      </c>
      <c r="C230" s="8">
        <v>5</v>
      </c>
    </row>
    <row r="231" spans="1:3" x14ac:dyDescent="0.2">
      <c r="A231" s="8" t="s">
        <v>192</v>
      </c>
      <c r="B231" s="8">
        <v>1</v>
      </c>
      <c r="C231" s="8">
        <v>5</v>
      </c>
    </row>
    <row r="232" spans="1:3" x14ac:dyDescent="0.2">
      <c r="A232" s="8" t="s">
        <v>193</v>
      </c>
      <c r="B232" s="8">
        <v>3</v>
      </c>
      <c r="C232" s="8">
        <v>5</v>
      </c>
    </row>
    <row r="233" spans="1:3" x14ac:dyDescent="0.2">
      <c r="A233" s="8" t="s">
        <v>194</v>
      </c>
      <c r="B233" s="8">
        <v>8</v>
      </c>
      <c r="C233" s="8">
        <v>5</v>
      </c>
    </row>
    <row r="234" spans="1:3" x14ac:dyDescent="0.2">
      <c r="A234" s="8" t="s">
        <v>195</v>
      </c>
      <c r="B234" s="8">
        <v>17</v>
      </c>
      <c r="C234" s="8">
        <v>5</v>
      </c>
    </row>
    <row r="235" spans="1:3" x14ac:dyDescent="0.2">
      <c r="A235" s="8" t="s">
        <v>196</v>
      </c>
      <c r="B235" s="8">
        <v>0</v>
      </c>
      <c r="C235" s="8">
        <v>19</v>
      </c>
    </row>
    <row r="236" spans="1:3" x14ac:dyDescent="0.2">
      <c r="A236" s="8" t="s">
        <v>197</v>
      </c>
      <c r="B236" s="8">
        <v>2</v>
      </c>
      <c r="C236" s="8">
        <v>20</v>
      </c>
    </row>
    <row r="237" spans="1:3" x14ac:dyDescent="0.2">
      <c r="A237" s="8" t="s">
        <v>198</v>
      </c>
      <c r="B237" s="8">
        <v>3</v>
      </c>
      <c r="C237" s="8">
        <v>20</v>
      </c>
    </row>
    <row r="238" spans="1:3" x14ac:dyDescent="0.2">
      <c r="A238" s="8" t="s">
        <v>199</v>
      </c>
      <c r="B238" s="8">
        <v>7</v>
      </c>
      <c r="C238" s="8">
        <v>19</v>
      </c>
    </row>
    <row r="239" spans="1:3" x14ac:dyDescent="0.2">
      <c r="A239" s="8" t="s">
        <v>200</v>
      </c>
      <c r="B239" s="8">
        <v>19</v>
      </c>
      <c r="C239" s="8">
        <v>19</v>
      </c>
    </row>
    <row r="240" spans="1:3" x14ac:dyDescent="0.2">
      <c r="A240" s="8" t="s">
        <v>201</v>
      </c>
      <c r="B240" s="8">
        <v>33</v>
      </c>
      <c r="C240" s="8">
        <v>20</v>
      </c>
    </row>
    <row r="241" spans="1:3" x14ac:dyDescent="0.2">
      <c r="A241" s="8" t="s">
        <v>202</v>
      </c>
      <c r="B241" s="8">
        <v>0</v>
      </c>
      <c r="C241" s="8">
        <v>85</v>
      </c>
    </row>
    <row r="242" spans="1:3" x14ac:dyDescent="0.2">
      <c r="A242" s="8" t="s">
        <v>203</v>
      </c>
      <c r="B242" s="8">
        <v>3</v>
      </c>
      <c r="C242" s="8">
        <v>85</v>
      </c>
    </row>
    <row r="243" spans="1:3" x14ac:dyDescent="0.2">
      <c r="A243" s="8" t="s">
        <v>204</v>
      </c>
      <c r="B243" s="8">
        <v>8</v>
      </c>
      <c r="C243" s="8">
        <v>85</v>
      </c>
    </row>
    <row r="244" spans="1:3" x14ac:dyDescent="0.2">
      <c r="A244" s="8" t="s">
        <v>205</v>
      </c>
      <c r="B244" s="8">
        <v>16</v>
      </c>
      <c r="C244" s="8">
        <v>85</v>
      </c>
    </row>
    <row r="245" spans="1:3" x14ac:dyDescent="0.2">
      <c r="A245" s="8" t="s">
        <v>206</v>
      </c>
      <c r="B245" s="8">
        <v>34</v>
      </c>
      <c r="C245" s="8">
        <v>85</v>
      </c>
    </row>
    <row r="246" spans="1:3" x14ac:dyDescent="0.2">
      <c r="A246" s="8" t="s">
        <v>207</v>
      </c>
      <c r="B246" s="8">
        <v>67</v>
      </c>
      <c r="C246" s="8">
        <v>85</v>
      </c>
    </row>
    <row r="247" spans="1:3" x14ac:dyDescent="0.2">
      <c r="A247" s="8" t="s">
        <v>208</v>
      </c>
      <c r="B247" s="8">
        <v>0</v>
      </c>
      <c r="C247" s="8">
        <v>350</v>
      </c>
    </row>
    <row r="248" spans="1:3" x14ac:dyDescent="0.2">
      <c r="A248" s="8" t="s">
        <v>209</v>
      </c>
      <c r="B248" s="8">
        <v>8</v>
      </c>
      <c r="C248" s="8">
        <v>350</v>
      </c>
    </row>
    <row r="249" spans="1:3" x14ac:dyDescent="0.2">
      <c r="A249" s="8" t="s">
        <v>210</v>
      </c>
      <c r="B249" s="8">
        <v>20</v>
      </c>
      <c r="C249" s="8">
        <v>348</v>
      </c>
    </row>
    <row r="250" spans="1:3" x14ac:dyDescent="0.2">
      <c r="A250" s="8" t="s">
        <v>211</v>
      </c>
      <c r="B250" s="8">
        <v>42</v>
      </c>
      <c r="C250" s="8">
        <v>350</v>
      </c>
    </row>
    <row r="251" spans="1:3" x14ac:dyDescent="0.2">
      <c r="A251" s="8" t="s">
        <v>212</v>
      </c>
      <c r="B251" s="8">
        <v>87</v>
      </c>
      <c r="C251" s="8">
        <v>355</v>
      </c>
    </row>
    <row r="252" spans="1:3" x14ac:dyDescent="0.2">
      <c r="A252" s="8" t="s">
        <v>213</v>
      </c>
      <c r="B252" s="8">
        <v>130</v>
      </c>
      <c r="C252" s="8">
        <v>350</v>
      </c>
    </row>
    <row r="257" spans="1:10" ht="38" x14ac:dyDescent="0.2">
      <c r="B257" s="19" t="s">
        <v>22</v>
      </c>
      <c r="C257" s="19" t="s">
        <v>130</v>
      </c>
      <c r="D257" s="19" t="s">
        <v>129</v>
      </c>
      <c r="E257" s="19" t="s">
        <v>131</v>
      </c>
      <c r="F257" s="19" t="s">
        <v>89</v>
      </c>
      <c r="G257" s="19" t="s">
        <v>90</v>
      </c>
      <c r="H257" s="30" t="s">
        <v>127</v>
      </c>
      <c r="I257" s="19" t="s">
        <v>125</v>
      </c>
      <c r="J257" s="19" t="s">
        <v>126</v>
      </c>
    </row>
    <row r="258" spans="1:10" ht="18" x14ac:dyDescent="0.2">
      <c r="A258" s="12" t="s">
        <v>116</v>
      </c>
      <c r="B258" s="3">
        <v>102</v>
      </c>
      <c r="C258" s="3">
        <v>2067</v>
      </c>
      <c r="D258" s="3">
        <v>1962</v>
      </c>
      <c r="E258" s="20">
        <f xml:space="preserve"> (D258/C258)</f>
        <v>0.94920174165457183</v>
      </c>
      <c r="F258" s="3">
        <v>66</v>
      </c>
      <c r="G258" s="3">
        <v>16077</v>
      </c>
      <c r="H258" s="26">
        <v>36</v>
      </c>
      <c r="I258" s="3">
        <v>662301863</v>
      </c>
      <c r="J258" s="3">
        <v>19</v>
      </c>
    </row>
    <row r="259" spans="1:10" ht="18" x14ac:dyDescent="0.2">
      <c r="A259" s="12" t="s">
        <v>117</v>
      </c>
      <c r="B259" s="3">
        <v>2226</v>
      </c>
      <c r="C259" s="3">
        <v>56033</v>
      </c>
      <c r="D259" s="3">
        <v>51337</v>
      </c>
      <c r="E259" s="20">
        <f xml:space="preserve"> (D259/C259)</f>
        <v>0.91619224385629894</v>
      </c>
      <c r="F259" s="3">
        <v>6729</v>
      </c>
      <c r="G259" s="3">
        <v>65117646</v>
      </c>
      <c r="H259" s="26">
        <v>179</v>
      </c>
      <c r="I259" s="3">
        <v>4555757974</v>
      </c>
      <c r="J259" s="3">
        <v>29333</v>
      </c>
    </row>
    <row r="260" spans="1:10" ht="18" x14ac:dyDescent="0.2">
      <c r="A260" s="12" t="s">
        <v>0</v>
      </c>
      <c r="B260" s="3">
        <v>25</v>
      </c>
      <c r="C260" s="3">
        <v>137</v>
      </c>
      <c r="D260" s="3">
        <v>113</v>
      </c>
      <c r="E260" s="20">
        <f t="shared" ref="E260:E279" si="16" xml:space="preserve"> (D260/C260)</f>
        <v>0.82481751824817517</v>
      </c>
      <c r="F260" s="3">
        <v>48</v>
      </c>
      <c r="G260" s="3">
        <v>188</v>
      </c>
      <c r="H260" s="26">
        <v>2.6</v>
      </c>
      <c r="I260" s="3">
        <v>20604088422</v>
      </c>
      <c r="J260" s="3">
        <v>34</v>
      </c>
    </row>
    <row r="261" spans="1:10" ht="18" x14ac:dyDescent="0.2">
      <c r="A261" s="12" t="s">
        <v>1</v>
      </c>
      <c r="B261" s="3">
        <v>25</v>
      </c>
      <c r="C261" s="3">
        <v>72</v>
      </c>
      <c r="D261" s="3">
        <v>44</v>
      </c>
      <c r="E261" s="20">
        <f t="shared" si="16"/>
        <v>0.61111111111111116</v>
      </c>
      <c r="F261" s="3">
        <v>0</v>
      </c>
      <c r="G261" s="3">
        <v>74</v>
      </c>
      <c r="H261" s="26">
        <v>1.2</v>
      </c>
      <c r="I261" s="3">
        <v>2651595</v>
      </c>
      <c r="J261" s="3">
        <v>39</v>
      </c>
    </row>
    <row r="262" spans="1:10" ht="18" x14ac:dyDescent="0.2">
      <c r="A262" s="12" t="s">
        <v>157</v>
      </c>
      <c r="B262" s="3">
        <v>4007</v>
      </c>
      <c r="C262" s="3">
        <v>170354</v>
      </c>
      <c r="D262" s="3">
        <v>24399</v>
      </c>
      <c r="E262" s="20">
        <f t="shared" si="16"/>
        <v>0.14322528382074973</v>
      </c>
      <c r="F262" s="3">
        <v>2977</v>
      </c>
      <c r="G262" s="3">
        <v>4484946004759</v>
      </c>
      <c r="H262" s="26">
        <v>18</v>
      </c>
      <c r="I262" s="5">
        <v>24879614388</v>
      </c>
      <c r="J262" s="5">
        <v>259</v>
      </c>
    </row>
    <row r="263" spans="1:10" ht="18" x14ac:dyDescent="0.2">
      <c r="A263" s="12" t="s">
        <v>2</v>
      </c>
      <c r="B263" s="3">
        <v>5444</v>
      </c>
      <c r="C263" s="3">
        <v>33617</v>
      </c>
      <c r="D263" s="3">
        <v>19288</v>
      </c>
      <c r="E263" s="20">
        <f t="shared" si="16"/>
        <v>0.57375732516286404</v>
      </c>
      <c r="F263" s="3">
        <v>60</v>
      </c>
      <c r="G263" s="3">
        <v>69077904007</v>
      </c>
      <c r="H263" s="26">
        <v>70</v>
      </c>
      <c r="I263" s="3">
        <v>9984356426</v>
      </c>
      <c r="J263" s="3">
        <v>76</v>
      </c>
    </row>
    <row r="264" spans="1:10" ht="18" x14ac:dyDescent="0.2">
      <c r="A264" s="12" t="s">
        <v>3</v>
      </c>
      <c r="B264" s="3">
        <v>398</v>
      </c>
      <c r="C264" s="3">
        <v>21323</v>
      </c>
      <c r="D264" s="3">
        <v>20926</v>
      </c>
      <c r="E264" s="20">
        <f t="shared" si="16"/>
        <v>0.98138160671575292</v>
      </c>
      <c r="F264" s="3">
        <v>17911</v>
      </c>
      <c r="G264" s="3">
        <v>18929528</v>
      </c>
      <c r="H264" s="26">
        <v>310</v>
      </c>
      <c r="I264" s="3">
        <v>3265253366</v>
      </c>
      <c r="J264" s="3">
        <v>12</v>
      </c>
    </row>
    <row r="265" spans="1:10" ht="18" x14ac:dyDescent="0.2">
      <c r="A265" s="12" t="s">
        <v>4</v>
      </c>
      <c r="B265" s="3">
        <v>115</v>
      </c>
      <c r="C265" s="3">
        <v>802</v>
      </c>
      <c r="D265" s="3">
        <v>680</v>
      </c>
      <c r="E265" s="20">
        <f t="shared" si="16"/>
        <v>0.84788029925187036</v>
      </c>
      <c r="F265" s="3">
        <v>0</v>
      </c>
      <c r="G265" s="3">
        <v>4925</v>
      </c>
      <c r="H265" s="26">
        <v>11</v>
      </c>
      <c r="I265" s="3">
        <v>11536625846</v>
      </c>
      <c r="J265" s="3">
        <v>134</v>
      </c>
    </row>
    <row r="266" spans="1:10" ht="18" x14ac:dyDescent="0.2">
      <c r="A266" s="12" t="s">
        <v>5</v>
      </c>
      <c r="B266" s="3">
        <v>151</v>
      </c>
      <c r="C266" s="3">
        <v>2042</v>
      </c>
      <c r="D266" s="3">
        <v>1672</v>
      </c>
      <c r="E266" s="20">
        <f t="shared" si="16"/>
        <v>0.81880509304603333</v>
      </c>
      <c r="F266" s="3">
        <v>1561</v>
      </c>
      <c r="G266" s="3">
        <v>304699440136</v>
      </c>
      <c r="H266" s="26">
        <v>31</v>
      </c>
      <c r="I266" s="3" t="s">
        <v>242</v>
      </c>
      <c r="J266" s="3">
        <v>42</v>
      </c>
    </row>
    <row r="267" spans="1:10" ht="18" x14ac:dyDescent="0.2">
      <c r="A267" s="2" t="s">
        <v>91</v>
      </c>
      <c r="B267" s="3">
        <v>73</v>
      </c>
      <c r="C267" s="3">
        <v>270</v>
      </c>
      <c r="D267" s="3">
        <v>198</v>
      </c>
      <c r="E267" s="20">
        <f t="shared" si="16"/>
        <v>0.73333333333333328</v>
      </c>
      <c r="F267" s="3">
        <v>0</v>
      </c>
      <c r="G267" s="3">
        <v>495</v>
      </c>
      <c r="H267" s="26">
        <v>5.4</v>
      </c>
      <c r="I267" s="3">
        <v>32342202</v>
      </c>
      <c r="J267" s="3">
        <v>17</v>
      </c>
    </row>
    <row r="268" spans="1:10" ht="18" x14ac:dyDescent="0.2">
      <c r="A268" s="2" t="s">
        <v>92</v>
      </c>
      <c r="B268" s="3">
        <v>155</v>
      </c>
      <c r="C268" s="3">
        <v>544</v>
      </c>
      <c r="D268" s="3">
        <v>390</v>
      </c>
      <c r="E268" s="20">
        <f t="shared" si="16"/>
        <v>0.71691176470588236</v>
      </c>
      <c r="F268" s="3">
        <v>0</v>
      </c>
      <c r="G268" s="3">
        <v>4835</v>
      </c>
      <c r="H268" s="26">
        <v>11</v>
      </c>
      <c r="I268" s="3">
        <v>2036518</v>
      </c>
      <c r="J268" s="3">
        <v>1783</v>
      </c>
    </row>
    <row r="269" spans="1:10" ht="18" x14ac:dyDescent="0.2">
      <c r="A269" s="2" t="s">
        <v>93</v>
      </c>
      <c r="B269" s="3">
        <v>39</v>
      </c>
      <c r="C269" s="3">
        <v>201</v>
      </c>
      <c r="D269" s="3">
        <v>163</v>
      </c>
      <c r="E269" s="20">
        <f t="shared" si="16"/>
        <v>0.81094527363184077</v>
      </c>
      <c r="F269" s="3">
        <v>0</v>
      </c>
      <c r="G269" s="3">
        <v>421</v>
      </c>
      <c r="H269" s="26">
        <v>4.2</v>
      </c>
      <c r="I269" s="3">
        <v>2684481412</v>
      </c>
      <c r="J269" s="3">
        <v>13</v>
      </c>
    </row>
    <row r="270" spans="1:10" ht="18" x14ac:dyDescent="0.2">
      <c r="A270" s="2" t="s">
        <v>94</v>
      </c>
      <c r="B270" s="3">
        <v>115</v>
      </c>
      <c r="C270" s="3">
        <v>562</v>
      </c>
      <c r="D270" s="3">
        <v>446</v>
      </c>
      <c r="E270" s="20">
        <f t="shared" si="16"/>
        <v>0.79359430604982206</v>
      </c>
      <c r="F270" s="3">
        <v>38</v>
      </c>
      <c r="G270" s="3">
        <v>14513</v>
      </c>
      <c r="H270" s="26">
        <v>12</v>
      </c>
      <c r="I270" s="3">
        <v>4142726</v>
      </c>
      <c r="J270" s="3">
        <v>18</v>
      </c>
    </row>
    <row r="271" spans="1:10" ht="18" x14ac:dyDescent="0.2">
      <c r="A271" s="2" t="s">
        <v>95</v>
      </c>
      <c r="B271" s="3">
        <v>39</v>
      </c>
      <c r="C271" s="3">
        <v>170</v>
      </c>
      <c r="D271" s="3">
        <v>132</v>
      </c>
      <c r="E271" s="20">
        <f t="shared" si="16"/>
        <v>0.77647058823529413</v>
      </c>
      <c r="F271" s="3">
        <v>0</v>
      </c>
      <c r="G271" s="3">
        <v>241</v>
      </c>
      <c r="H271" s="26">
        <v>3.7</v>
      </c>
      <c r="I271" s="3">
        <v>1503084843</v>
      </c>
      <c r="J271" s="3">
        <v>13</v>
      </c>
    </row>
    <row r="272" spans="1:10" ht="18" x14ac:dyDescent="0.2">
      <c r="A272" s="2" t="s">
        <v>96</v>
      </c>
      <c r="B272" s="3">
        <v>36</v>
      </c>
      <c r="C272" s="3">
        <v>158</v>
      </c>
      <c r="D272" s="3">
        <v>123</v>
      </c>
      <c r="E272" s="20">
        <f t="shared" si="16"/>
        <v>0.77848101265822789</v>
      </c>
      <c r="F272" s="3">
        <v>0</v>
      </c>
      <c r="G272" s="3">
        <v>228</v>
      </c>
      <c r="H272" s="26">
        <v>3.4</v>
      </c>
      <c r="I272" s="3">
        <v>1502953667</v>
      </c>
      <c r="J272" s="3">
        <v>13</v>
      </c>
    </row>
    <row r="273" spans="1:10" ht="18" x14ac:dyDescent="0.2">
      <c r="A273" s="2" t="s">
        <v>97</v>
      </c>
      <c r="B273" s="3">
        <v>43</v>
      </c>
      <c r="C273" s="3">
        <v>379</v>
      </c>
      <c r="D273" s="3">
        <v>337</v>
      </c>
      <c r="E273" s="20">
        <f t="shared" si="16"/>
        <v>0.8891820580474934</v>
      </c>
      <c r="F273" s="3">
        <v>0</v>
      </c>
      <c r="G273" s="3">
        <v>732</v>
      </c>
      <c r="H273" s="26">
        <v>8.1</v>
      </c>
      <c r="I273" s="3">
        <v>16827390</v>
      </c>
      <c r="J273" s="3">
        <v>13</v>
      </c>
    </row>
    <row r="274" spans="1:10" ht="18" x14ac:dyDescent="0.2">
      <c r="A274" s="2" t="s">
        <v>98</v>
      </c>
      <c r="B274" s="3">
        <v>35</v>
      </c>
      <c r="C274" s="3">
        <v>303</v>
      </c>
      <c r="D274" s="3">
        <v>269</v>
      </c>
      <c r="E274" s="20">
        <f t="shared" si="16"/>
        <v>0.88778877887788776</v>
      </c>
      <c r="F274" s="3">
        <v>0</v>
      </c>
      <c r="G274" s="3">
        <v>603</v>
      </c>
      <c r="H274" s="26">
        <v>6.5</v>
      </c>
      <c r="I274" s="3">
        <v>56543</v>
      </c>
      <c r="J274" s="3">
        <v>13</v>
      </c>
    </row>
    <row r="275" spans="1:10" ht="18" x14ac:dyDescent="0.2">
      <c r="A275" s="2" t="s">
        <v>99</v>
      </c>
      <c r="B275" s="3">
        <v>205</v>
      </c>
      <c r="C275" s="3">
        <v>845</v>
      </c>
      <c r="D275" s="3">
        <v>534</v>
      </c>
      <c r="E275" s="20">
        <f t="shared" si="16"/>
        <v>0.63195266272189354</v>
      </c>
      <c r="F275" s="3">
        <v>16</v>
      </c>
      <c r="G275" s="3">
        <v>315116</v>
      </c>
      <c r="H275" s="26">
        <v>13</v>
      </c>
      <c r="I275" s="3">
        <v>43807206</v>
      </c>
      <c r="J275" s="3">
        <v>69</v>
      </c>
    </row>
    <row r="276" spans="1:10" ht="18" x14ac:dyDescent="0.2">
      <c r="A276" s="2" t="s">
        <v>100</v>
      </c>
      <c r="B276" s="3">
        <v>30</v>
      </c>
      <c r="C276" s="3">
        <v>170</v>
      </c>
      <c r="D276" s="3">
        <v>141</v>
      </c>
      <c r="E276" s="20">
        <f t="shared" si="16"/>
        <v>0.8294117647058824</v>
      </c>
      <c r="F276" s="3">
        <v>0</v>
      </c>
      <c r="G276" s="3">
        <v>239</v>
      </c>
      <c r="H276" s="26">
        <v>3.7</v>
      </c>
      <c r="I276" s="3">
        <v>368206583</v>
      </c>
      <c r="J276" s="3">
        <v>13</v>
      </c>
    </row>
    <row r="277" spans="1:10" ht="18" x14ac:dyDescent="0.2">
      <c r="A277" s="2" t="s">
        <v>158</v>
      </c>
      <c r="B277" s="3">
        <v>143</v>
      </c>
      <c r="C277" s="3">
        <v>659</v>
      </c>
      <c r="D277" s="3">
        <v>515</v>
      </c>
      <c r="E277" s="20">
        <f t="shared" si="16"/>
        <v>0.78148710166919577</v>
      </c>
      <c r="F277" s="3">
        <v>90</v>
      </c>
      <c r="G277" s="3">
        <v>2450</v>
      </c>
      <c r="H277" s="26">
        <v>2</v>
      </c>
      <c r="I277" s="5">
        <v>6725176324</v>
      </c>
      <c r="J277" s="5">
        <v>19</v>
      </c>
    </row>
    <row r="278" spans="1:10" ht="18" x14ac:dyDescent="0.2">
      <c r="A278" s="2" t="s">
        <v>101</v>
      </c>
      <c r="B278" s="3">
        <v>42</v>
      </c>
      <c r="C278" s="3">
        <v>239</v>
      </c>
      <c r="D278" s="3">
        <v>198</v>
      </c>
      <c r="E278" s="20">
        <f t="shared" si="16"/>
        <v>0.82845188284518834</v>
      </c>
      <c r="F278" s="3">
        <v>0</v>
      </c>
      <c r="G278" s="3">
        <v>434</v>
      </c>
      <c r="H278" s="26">
        <v>4.8</v>
      </c>
      <c r="I278" s="3">
        <v>161904699</v>
      </c>
      <c r="J278" s="3">
        <v>13</v>
      </c>
    </row>
    <row r="279" spans="1:10" ht="18" x14ac:dyDescent="0.2">
      <c r="A279" s="2" t="s">
        <v>102</v>
      </c>
      <c r="B279" s="3">
        <v>42</v>
      </c>
      <c r="C279" s="3">
        <v>252</v>
      </c>
      <c r="D279" s="3">
        <v>211</v>
      </c>
      <c r="E279" s="20">
        <f t="shared" si="16"/>
        <v>0.83730158730158732</v>
      </c>
      <c r="F279" s="3">
        <v>0</v>
      </c>
      <c r="G279" s="3">
        <v>437</v>
      </c>
      <c r="H279" s="26">
        <v>5.0999999999999996</v>
      </c>
      <c r="I279" s="3">
        <v>27427576</v>
      </c>
      <c r="J279" s="3">
        <v>13</v>
      </c>
    </row>
    <row r="281" spans="1:10" ht="18" x14ac:dyDescent="0.2">
      <c r="A281" s="12"/>
      <c r="B281" s="3"/>
      <c r="C281" s="3"/>
      <c r="D281" s="3"/>
      <c r="E281" s="20"/>
      <c r="F281" s="3"/>
      <c r="G281" s="3"/>
      <c r="H281" s="26"/>
      <c r="I281" s="3"/>
    </row>
    <row r="282" spans="1:10" ht="18" x14ac:dyDescent="0.2">
      <c r="A282" s="12"/>
      <c r="B282" s="3"/>
      <c r="C282" s="3"/>
      <c r="D282" s="3"/>
      <c r="E282" s="20"/>
      <c r="F282" s="3"/>
      <c r="G282" s="3"/>
      <c r="H282" s="26"/>
      <c r="I282" s="3"/>
    </row>
    <row r="283" spans="1:10" ht="18" x14ac:dyDescent="0.2">
      <c r="A283" s="12"/>
      <c r="B283" s="3"/>
      <c r="C283" s="3"/>
      <c r="D283" s="3"/>
      <c r="E283" s="20"/>
      <c r="F283" s="3"/>
      <c r="G283" s="3"/>
      <c r="H283" s="26"/>
      <c r="I283" s="3"/>
    </row>
    <row r="284" spans="1:10" ht="18" x14ac:dyDescent="0.2">
      <c r="A284" s="12"/>
      <c r="B284" s="3"/>
      <c r="C284" s="3"/>
      <c r="D284" s="3"/>
      <c r="E284" s="20"/>
      <c r="F284" s="3"/>
      <c r="G284" s="3"/>
      <c r="H284" s="26"/>
      <c r="I284" s="3"/>
    </row>
    <row r="285" spans="1:10" ht="18" x14ac:dyDescent="0.2">
      <c r="A285" s="58"/>
      <c r="B285" s="3"/>
      <c r="C285" s="3"/>
      <c r="D285" s="3"/>
      <c r="E285" s="20"/>
      <c r="F285" s="3"/>
      <c r="G285" s="3"/>
      <c r="H285" s="26"/>
      <c r="I285" s="3"/>
    </row>
    <row r="286" spans="1:10" ht="18" x14ac:dyDescent="0.2">
      <c r="A286" s="12"/>
      <c r="B286" s="64"/>
      <c r="C286" s="3"/>
      <c r="D286" s="3"/>
      <c r="E286" s="20"/>
      <c r="F286" s="3"/>
      <c r="G286" s="3"/>
      <c r="H286" s="26"/>
      <c r="I286" s="3"/>
    </row>
    <row r="287" spans="1:10" ht="18" x14ac:dyDescent="0.2">
      <c r="A287" s="12"/>
      <c r="B287" s="3"/>
      <c r="C287" s="3"/>
      <c r="D287" s="3"/>
      <c r="E287" s="20"/>
      <c r="F287" s="3"/>
      <c r="G287" s="3"/>
      <c r="H287" s="26"/>
      <c r="I287" s="3"/>
    </row>
    <row r="288" spans="1:10" ht="18" x14ac:dyDescent="0.2">
      <c r="A288" s="12"/>
      <c r="B288" s="3"/>
      <c r="C288" s="3"/>
      <c r="D288" s="3"/>
      <c r="E288" s="20"/>
      <c r="F288" s="3"/>
      <c r="G288" s="3"/>
      <c r="H288" s="26"/>
      <c r="I288" s="3"/>
    </row>
    <row r="289" spans="1:2" ht="18" x14ac:dyDescent="0.2">
      <c r="B289" s="12"/>
    </row>
    <row r="290" spans="1:2" ht="18" x14ac:dyDescent="0.2">
      <c r="B290" s="12"/>
    </row>
    <row r="291" spans="1:2" ht="18" x14ac:dyDescent="0.2">
      <c r="B291" s="12"/>
    </row>
    <row r="292" spans="1:2" ht="18" x14ac:dyDescent="0.2">
      <c r="B292" s="12"/>
    </row>
    <row r="294" spans="1:2" x14ac:dyDescent="0.2">
      <c r="A294" t="s">
        <v>243</v>
      </c>
      <c r="B294" t="s">
        <v>21</v>
      </c>
    </row>
  </sheetData>
  <mergeCells count="5">
    <mergeCell ref="A156:D156"/>
    <mergeCell ref="A174:D174"/>
    <mergeCell ref="A192:D192"/>
    <mergeCell ref="A1:H1"/>
    <mergeCell ref="A60:I60"/>
  </mergeCells>
  <conditionalFormatting sqref="K258:K279">
    <cfRule type="cellIs" dxfId="0" priority="1" operator="equal">
      <formula>FALSE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14B5-86F8-624A-942A-92A6FD1E30BC}">
  <dimension ref="A1:AM212"/>
  <sheetViews>
    <sheetView topLeftCell="B101" zoomScale="95" zoomScaleNormal="95" workbookViewId="0">
      <pane ySplit="2640" topLeftCell="A158" activePane="bottomLeft"/>
      <selection activeCell="V97" sqref="V97"/>
      <selection pane="bottomLeft" activeCell="L177" sqref="L177"/>
    </sheetView>
  </sheetViews>
  <sheetFormatPr baseColWidth="10" defaultColWidth="23.1640625" defaultRowHeight="16" x14ac:dyDescent="0.2"/>
  <cols>
    <col min="1" max="1" width="6.6640625" customWidth="1"/>
    <col min="2" max="2" width="19.5" bestFit="1" customWidth="1"/>
    <col min="3" max="7" width="12.1640625" customWidth="1"/>
    <col min="8" max="8" width="18.1640625" bestFit="1" customWidth="1"/>
    <col min="9" max="9" width="18" bestFit="1" customWidth="1"/>
    <col min="10" max="10" width="13.33203125" bestFit="1" customWidth="1"/>
    <col min="11" max="11" width="15.5" bestFit="1" customWidth="1"/>
    <col min="12" max="12" width="19.5" bestFit="1" customWidth="1"/>
    <col min="13" max="13" width="16.6640625" bestFit="1" customWidth="1"/>
    <col min="14" max="14" width="16.83203125" bestFit="1" customWidth="1"/>
    <col min="15" max="16" width="16.6640625" bestFit="1" customWidth="1"/>
    <col min="17" max="17" width="16.83203125" bestFit="1" customWidth="1"/>
    <col min="18" max="18" width="13.1640625" bestFit="1" customWidth="1"/>
    <col min="19" max="19" width="13.33203125" bestFit="1" customWidth="1"/>
    <col min="20" max="27" width="8.33203125" bestFit="1" customWidth="1"/>
    <col min="28" max="28" width="14.6640625" bestFit="1" customWidth="1"/>
    <col min="29" max="30" width="12.83203125" bestFit="1" customWidth="1"/>
    <col min="31" max="31" width="11.5" bestFit="1" customWidth="1"/>
    <col min="32" max="32" width="12.83203125" bestFit="1" customWidth="1"/>
    <col min="33" max="33" width="14.1640625" bestFit="1" customWidth="1"/>
    <col min="34" max="34" width="11.5" bestFit="1" customWidth="1"/>
    <col min="35" max="35" width="9.6640625" bestFit="1" customWidth="1"/>
    <col min="36" max="36" width="6" bestFit="1" customWidth="1"/>
  </cols>
  <sheetData>
    <row r="1" spans="1:37" ht="26" x14ac:dyDescent="0.3">
      <c r="B1" s="199" t="s">
        <v>284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</row>
    <row r="2" spans="1:37" x14ac:dyDescent="0.2">
      <c r="B2" s="88"/>
      <c r="C2" s="216" t="s">
        <v>86</v>
      </c>
      <c r="D2" s="217"/>
      <c r="E2" s="217"/>
      <c r="F2" s="217"/>
      <c r="G2" s="218"/>
      <c r="H2" s="196" t="s">
        <v>233</v>
      </c>
      <c r="I2" s="197"/>
      <c r="J2" s="197"/>
      <c r="K2" s="197"/>
      <c r="L2" s="198"/>
      <c r="M2" s="196" t="s">
        <v>234</v>
      </c>
      <c r="N2" s="197"/>
      <c r="O2" s="197"/>
      <c r="P2" s="197"/>
      <c r="Q2" s="198"/>
      <c r="R2" s="216" t="s">
        <v>235</v>
      </c>
      <c r="S2" s="217"/>
      <c r="T2" s="217"/>
      <c r="U2" s="217"/>
      <c r="V2" s="218"/>
      <c r="W2" s="216" t="s">
        <v>236</v>
      </c>
      <c r="X2" s="217"/>
      <c r="Y2" s="217"/>
      <c r="Z2" s="217"/>
      <c r="AA2" s="218"/>
      <c r="AB2" s="196" t="s">
        <v>237</v>
      </c>
      <c r="AC2" s="197"/>
      <c r="AD2" s="197"/>
      <c r="AE2" s="197"/>
      <c r="AF2" s="198"/>
      <c r="AG2" s="196" t="s">
        <v>238</v>
      </c>
      <c r="AH2" s="197"/>
      <c r="AI2" s="197"/>
      <c r="AJ2" s="197"/>
      <c r="AK2" s="198"/>
    </row>
    <row r="3" spans="1:37" x14ac:dyDescent="0.2">
      <c r="B3" s="88"/>
      <c r="C3" s="89" t="s">
        <v>264</v>
      </c>
      <c r="D3" s="89" t="s">
        <v>265</v>
      </c>
      <c r="E3" s="89" t="s">
        <v>266</v>
      </c>
      <c r="F3" s="89" t="s">
        <v>267</v>
      </c>
      <c r="G3" s="89" t="s">
        <v>268</v>
      </c>
      <c r="H3" s="109" t="s">
        <v>264</v>
      </c>
      <c r="I3" s="109" t="s">
        <v>265</v>
      </c>
      <c r="J3" s="109" t="s">
        <v>266</v>
      </c>
      <c r="K3" s="109" t="s">
        <v>267</v>
      </c>
      <c r="L3" s="109" t="s">
        <v>280</v>
      </c>
      <c r="M3" s="109" t="s">
        <v>264</v>
      </c>
      <c r="N3" s="109" t="s">
        <v>265</v>
      </c>
      <c r="O3" s="109" t="s">
        <v>266</v>
      </c>
      <c r="P3" s="109" t="s">
        <v>267</v>
      </c>
      <c r="Q3" s="109" t="s">
        <v>268</v>
      </c>
      <c r="R3" s="89" t="s">
        <v>264</v>
      </c>
      <c r="S3" s="89" t="s">
        <v>265</v>
      </c>
      <c r="T3" s="89" t="s">
        <v>266</v>
      </c>
      <c r="U3" s="89" t="s">
        <v>267</v>
      </c>
      <c r="V3" s="89" t="s">
        <v>268</v>
      </c>
      <c r="W3" s="89" t="s">
        <v>264</v>
      </c>
      <c r="X3" s="89" t="s">
        <v>265</v>
      </c>
      <c r="Y3" s="89" t="s">
        <v>266</v>
      </c>
      <c r="Z3" s="89" t="s">
        <v>267</v>
      </c>
      <c r="AA3" s="89" t="s">
        <v>280</v>
      </c>
      <c r="AB3" s="109" t="s">
        <v>264</v>
      </c>
      <c r="AC3" s="109" t="s">
        <v>265</v>
      </c>
      <c r="AD3" s="109" t="s">
        <v>266</v>
      </c>
      <c r="AE3" s="109" t="s">
        <v>267</v>
      </c>
      <c r="AF3" s="109" t="s">
        <v>280</v>
      </c>
      <c r="AG3" s="109" t="s">
        <v>264</v>
      </c>
      <c r="AH3" s="109" t="s">
        <v>265</v>
      </c>
      <c r="AI3" s="109" t="s">
        <v>266</v>
      </c>
      <c r="AJ3" s="109" t="s">
        <v>267</v>
      </c>
      <c r="AK3" s="109" t="s">
        <v>280</v>
      </c>
    </row>
    <row r="4" spans="1:37" x14ac:dyDescent="0.2">
      <c r="A4" s="207" t="s">
        <v>271</v>
      </c>
      <c r="B4" s="99" t="s">
        <v>116</v>
      </c>
      <c r="C4" s="91">
        <v>25.97</v>
      </c>
      <c r="D4" s="91"/>
      <c r="E4" s="91"/>
      <c r="F4" s="91"/>
      <c r="G4" s="91"/>
      <c r="H4" s="110">
        <v>45.805999999999997</v>
      </c>
      <c r="I4" s="126"/>
      <c r="J4" s="37"/>
      <c r="K4" s="37"/>
      <c r="L4" s="122"/>
      <c r="M4" s="110">
        <v>45.543999999999997</v>
      </c>
      <c r="N4" s="126">
        <f>M4*L191</f>
        <v>52.919133891608041</v>
      </c>
      <c r="O4" s="37"/>
      <c r="P4" s="110"/>
      <c r="Q4" s="122"/>
      <c r="R4" s="94"/>
      <c r="S4" s="95"/>
      <c r="T4" s="95"/>
      <c r="U4" s="95"/>
      <c r="V4" s="95"/>
      <c r="W4" s="115"/>
      <c r="X4" s="115"/>
      <c r="Y4" s="115"/>
      <c r="Z4" s="115"/>
      <c r="AA4" s="123"/>
      <c r="AB4" s="110">
        <v>57.71</v>
      </c>
      <c r="AC4" s="126"/>
      <c r="AD4" s="116"/>
      <c r="AE4" s="116"/>
      <c r="AF4" s="122"/>
      <c r="AG4" s="110">
        <v>54.771000000000001</v>
      </c>
      <c r="AH4" s="116"/>
      <c r="AI4" s="116"/>
      <c r="AJ4" s="116"/>
      <c r="AK4" s="122"/>
    </row>
    <row r="5" spans="1:37" x14ac:dyDescent="0.2">
      <c r="A5" s="208"/>
      <c r="B5" s="101" t="s">
        <v>117</v>
      </c>
      <c r="C5" s="91">
        <v>39.798000000000002</v>
      </c>
      <c r="D5" s="91"/>
      <c r="E5" s="91"/>
      <c r="F5" s="91"/>
      <c r="G5" s="91"/>
      <c r="H5" s="110">
        <v>108.992</v>
      </c>
      <c r="I5" s="126"/>
      <c r="J5" s="37"/>
      <c r="K5" s="37"/>
      <c r="L5" s="122"/>
      <c r="M5" s="110">
        <v>108.491</v>
      </c>
      <c r="N5" s="126">
        <v>120</v>
      </c>
      <c r="O5" s="37"/>
      <c r="P5" s="110"/>
      <c r="Q5" s="122"/>
      <c r="R5" s="94"/>
      <c r="S5" s="95"/>
      <c r="T5" s="95"/>
      <c r="U5" s="95"/>
      <c r="V5" s="95"/>
      <c r="W5" s="92"/>
      <c r="X5" s="91"/>
      <c r="Y5" s="91"/>
      <c r="Z5" s="91"/>
      <c r="AA5" s="123"/>
      <c r="AB5" s="110">
        <v>172.54499999999999</v>
      </c>
      <c r="AC5" s="126"/>
      <c r="AD5" s="110"/>
      <c r="AE5" s="110"/>
      <c r="AF5" s="122"/>
      <c r="AG5" s="110">
        <v>142.46199999999999</v>
      </c>
      <c r="AH5" s="116"/>
      <c r="AI5" s="110"/>
      <c r="AJ5" s="110"/>
      <c r="AK5" s="122"/>
    </row>
    <row r="6" spans="1:37" x14ac:dyDescent="0.2">
      <c r="A6" s="208"/>
      <c r="B6" s="101" t="s">
        <v>115</v>
      </c>
      <c r="C6" s="91">
        <v>66.450999999999993</v>
      </c>
      <c r="D6" s="91"/>
      <c r="E6" s="91"/>
      <c r="F6" s="91"/>
      <c r="G6" s="91"/>
      <c r="H6" s="110">
        <v>131.286</v>
      </c>
      <c r="I6" s="126"/>
      <c r="J6" s="37"/>
      <c r="K6" s="37"/>
      <c r="L6" s="122"/>
      <c r="M6" s="110">
        <v>130.56700000000001</v>
      </c>
      <c r="N6" s="126">
        <v>180</v>
      </c>
      <c r="O6" s="37"/>
      <c r="P6" s="110"/>
      <c r="Q6" s="122"/>
      <c r="R6" s="94"/>
      <c r="S6" s="95"/>
      <c r="T6" s="95"/>
      <c r="U6" s="95"/>
      <c r="V6" s="95"/>
      <c r="W6" s="92"/>
      <c r="X6" s="91"/>
      <c r="Y6" s="91"/>
      <c r="Z6" s="91"/>
      <c r="AA6" s="123"/>
      <c r="AB6" s="110">
        <v>821.5</v>
      </c>
      <c r="AC6" s="126"/>
      <c r="AD6" s="110"/>
      <c r="AE6" s="110"/>
      <c r="AF6" s="122"/>
      <c r="AG6" s="110">
        <v>245.54300000000001</v>
      </c>
      <c r="AH6" s="116"/>
      <c r="AI6" s="110"/>
      <c r="AJ6" s="110"/>
      <c r="AK6" s="122"/>
    </row>
    <row r="7" spans="1:37" x14ac:dyDescent="0.2">
      <c r="A7" s="208"/>
      <c r="B7" s="101" t="s">
        <v>118</v>
      </c>
      <c r="C7" s="91">
        <v>116.294</v>
      </c>
      <c r="D7" s="91"/>
      <c r="E7" s="91"/>
      <c r="F7" s="91"/>
      <c r="G7" s="91"/>
      <c r="H7" s="110">
        <v>123.51</v>
      </c>
      <c r="I7" s="126"/>
      <c r="J7" s="37"/>
      <c r="K7" s="37"/>
      <c r="L7" s="122"/>
      <c r="M7" s="110">
        <v>123.43</v>
      </c>
      <c r="N7" s="126">
        <v>130</v>
      </c>
      <c r="O7" s="37"/>
      <c r="P7" s="110"/>
      <c r="Q7" s="122"/>
      <c r="R7" s="94"/>
      <c r="S7" s="95"/>
      <c r="T7" s="95"/>
      <c r="U7" s="95"/>
      <c r="V7" s="95"/>
      <c r="W7" s="92"/>
      <c r="X7" s="91"/>
      <c r="Y7" s="91"/>
      <c r="Z7" s="91"/>
      <c r="AA7" s="123"/>
      <c r="AB7" s="110">
        <v>131.83699999999999</v>
      </c>
      <c r="AC7" s="126"/>
      <c r="AD7" s="110"/>
      <c r="AE7" s="110"/>
      <c r="AF7" s="122"/>
      <c r="AG7" s="110">
        <v>148.05500000000001</v>
      </c>
      <c r="AH7" s="116"/>
      <c r="AI7" s="110"/>
      <c r="AJ7" s="110"/>
      <c r="AK7" s="122"/>
    </row>
    <row r="8" spans="1:37" x14ac:dyDescent="0.2">
      <c r="A8" s="208"/>
      <c r="B8" s="101" t="s">
        <v>156</v>
      </c>
      <c r="C8" s="95">
        <v>38.444000000000003</v>
      </c>
      <c r="D8" s="91"/>
      <c r="E8" s="91"/>
      <c r="F8" s="91"/>
      <c r="G8" s="91"/>
      <c r="H8" s="110">
        <v>53.665999999999997</v>
      </c>
      <c r="I8" s="126"/>
      <c r="J8" s="37"/>
      <c r="K8" s="37"/>
      <c r="L8" s="122"/>
      <c r="M8" s="110">
        <v>51.606000000000002</v>
      </c>
      <c r="N8" s="126">
        <v>60</v>
      </c>
      <c r="O8" s="37"/>
      <c r="P8" s="110"/>
      <c r="Q8" s="122"/>
      <c r="R8" s="94"/>
      <c r="S8" s="95"/>
      <c r="T8" s="95"/>
      <c r="U8" s="95"/>
      <c r="V8" s="95"/>
      <c r="W8" s="92"/>
      <c r="X8" s="91"/>
      <c r="Y8" s="91"/>
      <c r="Z8" s="91"/>
      <c r="AA8" s="123"/>
      <c r="AB8" s="110">
        <v>427.4</v>
      </c>
      <c r="AC8" s="126"/>
      <c r="AD8" s="110"/>
      <c r="AE8" s="110"/>
      <c r="AF8" s="122"/>
      <c r="AG8" s="110">
        <v>102.843</v>
      </c>
      <c r="AH8" s="116"/>
      <c r="AI8" s="110"/>
      <c r="AJ8" s="110"/>
      <c r="AK8" s="122"/>
    </row>
    <row r="9" spans="1:37" x14ac:dyDescent="0.2">
      <c r="A9" s="208"/>
      <c r="B9" s="101" t="s">
        <v>119</v>
      </c>
      <c r="C9" s="91">
        <v>29.341000000000001</v>
      </c>
      <c r="D9" s="91"/>
      <c r="E9" s="91"/>
      <c r="F9" s="91"/>
      <c r="G9" s="91"/>
      <c r="H9" s="110">
        <v>53.457000000000001</v>
      </c>
      <c r="I9" s="126"/>
      <c r="J9" s="37"/>
      <c r="K9" s="37"/>
      <c r="L9" s="122"/>
      <c r="M9" s="110">
        <v>52.753</v>
      </c>
      <c r="N9" s="126">
        <v>60</v>
      </c>
      <c r="O9" s="37"/>
      <c r="P9" s="110"/>
      <c r="Q9" s="122"/>
      <c r="R9" s="94"/>
      <c r="S9" s="95"/>
      <c r="T9" s="95"/>
      <c r="U9" s="95"/>
      <c r="V9" s="95"/>
      <c r="W9" s="92"/>
      <c r="X9" s="91"/>
      <c r="Y9" s="91"/>
      <c r="Z9" s="91"/>
      <c r="AA9" s="123"/>
      <c r="AB9" s="110">
        <v>258.36599999999999</v>
      </c>
      <c r="AC9" s="126"/>
      <c r="AD9" s="110"/>
      <c r="AE9" s="110"/>
      <c r="AF9" s="122"/>
      <c r="AG9" s="110">
        <v>80.608999999999995</v>
      </c>
      <c r="AH9" s="116"/>
      <c r="AI9" s="110"/>
      <c r="AJ9" s="110"/>
      <c r="AK9" s="122"/>
    </row>
    <row r="10" spans="1:37" x14ac:dyDescent="0.2">
      <c r="A10" s="208"/>
      <c r="B10" s="101" t="s">
        <v>120</v>
      </c>
      <c r="C10" s="91">
        <v>11.135999999999999</v>
      </c>
      <c r="D10" s="91"/>
      <c r="E10" s="91"/>
      <c r="F10" s="91"/>
      <c r="G10" s="91"/>
      <c r="H10" s="110">
        <v>21.411999999999999</v>
      </c>
      <c r="I10" s="126"/>
      <c r="J10" s="37"/>
      <c r="K10" s="37"/>
      <c r="L10" s="122"/>
      <c r="M10" s="110">
        <v>21.565000000000001</v>
      </c>
      <c r="N10" s="126">
        <v>24</v>
      </c>
      <c r="O10" s="37"/>
      <c r="P10" s="110"/>
      <c r="Q10" s="122"/>
      <c r="R10" s="94"/>
      <c r="S10" s="95"/>
      <c r="T10" s="95"/>
      <c r="U10" s="95"/>
      <c r="V10" s="95"/>
      <c r="W10" s="92"/>
      <c r="X10" s="91"/>
      <c r="Y10" s="91"/>
      <c r="Z10" s="91"/>
      <c r="AA10" s="123"/>
      <c r="AB10" s="110">
        <v>84.658000000000001</v>
      </c>
      <c r="AC10" s="126"/>
      <c r="AD10" s="110"/>
      <c r="AE10" s="110"/>
      <c r="AF10" s="122"/>
      <c r="AG10" s="110">
        <v>29.675999999999998</v>
      </c>
      <c r="AH10" s="116"/>
      <c r="AI10" s="110"/>
      <c r="AJ10" s="110"/>
      <c r="AK10" s="122"/>
    </row>
    <row r="11" spans="1:37" x14ac:dyDescent="0.2">
      <c r="A11" s="208"/>
      <c r="B11" s="101" t="s">
        <v>121</v>
      </c>
      <c r="C11" s="91">
        <v>38.180999999999997</v>
      </c>
      <c r="D11" s="91"/>
      <c r="E11" s="91"/>
      <c r="F11" s="91"/>
      <c r="G11" s="91"/>
      <c r="H11" s="110">
        <v>69.069999999999993</v>
      </c>
      <c r="I11" s="126"/>
      <c r="J11" s="37"/>
      <c r="K11" s="37"/>
      <c r="L11" s="122"/>
      <c r="M11" s="110">
        <v>70.081000000000003</v>
      </c>
      <c r="N11" s="126">
        <v>85</v>
      </c>
      <c r="O11" s="37"/>
      <c r="P11" s="110"/>
      <c r="Q11" s="122"/>
      <c r="R11" s="94"/>
      <c r="S11" s="95"/>
      <c r="T11" s="95"/>
      <c r="U11" s="95"/>
      <c r="V11" s="95"/>
      <c r="W11" s="92"/>
      <c r="X11" s="91"/>
      <c r="Y11" s="91"/>
      <c r="Z11" s="91"/>
      <c r="AA11" s="123"/>
      <c r="AB11" s="110">
        <v>284.53100000000001</v>
      </c>
      <c r="AC11" s="126"/>
      <c r="AD11" s="110"/>
      <c r="AE11" s="110"/>
      <c r="AF11" s="122"/>
      <c r="AG11" s="110">
        <v>98.882000000000005</v>
      </c>
      <c r="AH11" s="116"/>
      <c r="AI11" s="110"/>
      <c r="AJ11" s="110"/>
      <c r="AK11" s="122"/>
    </row>
    <row r="12" spans="1:37" ht="17" thickBot="1" x14ac:dyDescent="0.25">
      <c r="A12" s="209"/>
      <c r="B12" s="136" t="s">
        <v>122</v>
      </c>
      <c r="C12" s="137">
        <v>31.297999999999998</v>
      </c>
      <c r="D12" s="137"/>
      <c r="E12" s="137"/>
      <c r="F12" s="137"/>
      <c r="G12" s="137"/>
      <c r="H12" s="138">
        <v>63.173999999999999</v>
      </c>
      <c r="I12" s="139"/>
      <c r="J12" s="140"/>
      <c r="K12" s="140"/>
      <c r="L12" s="141"/>
      <c r="M12" s="138">
        <v>63.164000000000001</v>
      </c>
      <c r="N12" s="126">
        <v>75</v>
      </c>
      <c r="O12" s="140"/>
      <c r="P12" s="138"/>
      <c r="Q12" s="141"/>
      <c r="R12" s="166"/>
      <c r="S12" s="147"/>
      <c r="T12" s="147"/>
      <c r="U12" s="147"/>
      <c r="V12" s="147"/>
      <c r="W12" s="146"/>
      <c r="X12" s="137"/>
      <c r="Y12" s="137"/>
      <c r="Z12" s="137"/>
      <c r="AA12" s="144"/>
      <c r="AB12" s="138">
        <v>265.66199999999998</v>
      </c>
      <c r="AC12" s="139"/>
      <c r="AD12" s="138"/>
      <c r="AE12" s="138"/>
      <c r="AF12" s="141"/>
      <c r="AG12" s="138">
        <v>94.488</v>
      </c>
      <c r="AH12" s="168"/>
      <c r="AI12" s="138"/>
      <c r="AJ12" s="138"/>
      <c r="AK12" s="141"/>
    </row>
    <row r="13" spans="1:37" ht="17" thickTop="1" x14ac:dyDescent="0.2">
      <c r="A13" s="210" t="s">
        <v>272</v>
      </c>
      <c r="B13" s="128" t="s">
        <v>286</v>
      </c>
      <c r="C13" s="129">
        <v>35.4</v>
      </c>
      <c r="D13" s="129">
        <v>36.200000000000003</v>
      </c>
      <c r="E13" s="129">
        <v>35.299999999999997</v>
      </c>
      <c r="F13" s="129">
        <v>35.799999999999997</v>
      </c>
      <c r="G13" s="129">
        <v>35.700000000000003</v>
      </c>
      <c r="H13" s="130">
        <v>55.4</v>
      </c>
      <c r="I13" s="131">
        <v>56.3</v>
      </c>
      <c r="J13" s="131">
        <v>55.9</v>
      </c>
      <c r="K13" s="131">
        <v>55.3</v>
      </c>
      <c r="L13" s="132"/>
      <c r="M13" s="130">
        <v>64.3</v>
      </c>
      <c r="N13" s="126">
        <f t="shared" ref="N5:N25" si="0">M13*L200</f>
        <v>87.773163017136525</v>
      </c>
      <c r="O13" s="131"/>
      <c r="P13" s="131"/>
      <c r="Q13" s="132"/>
      <c r="R13" s="165">
        <v>59.7</v>
      </c>
      <c r="S13" s="157">
        <v>59.6</v>
      </c>
      <c r="T13" s="157">
        <v>59.5</v>
      </c>
      <c r="U13" s="157">
        <v>59.8</v>
      </c>
      <c r="V13" s="157"/>
      <c r="W13" s="134">
        <v>65.599999999999994</v>
      </c>
      <c r="X13" s="134">
        <v>64.400000000000006</v>
      </c>
      <c r="Y13" s="134">
        <v>63.8</v>
      </c>
      <c r="Z13" s="134">
        <v>65.5</v>
      </c>
      <c r="AA13" s="133"/>
      <c r="AB13" s="135">
        <v>14832</v>
      </c>
      <c r="AC13" s="135">
        <v>14661</v>
      </c>
      <c r="AD13" s="135">
        <v>13042</v>
      </c>
      <c r="AE13" s="135">
        <v>13051</v>
      </c>
      <c r="AF13" s="132"/>
      <c r="AG13" s="135">
        <v>4476</v>
      </c>
      <c r="AH13" s="135"/>
      <c r="AI13" s="135"/>
      <c r="AJ13" s="135"/>
      <c r="AK13" s="132"/>
    </row>
    <row r="14" spans="1:37" x14ac:dyDescent="0.2">
      <c r="A14" s="210"/>
      <c r="B14" s="100" t="s">
        <v>287</v>
      </c>
      <c r="C14" s="91">
        <v>0.3</v>
      </c>
      <c r="D14" s="91">
        <v>0.3</v>
      </c>
      <c r="E14" s="91">
        <v>0.3</v>
      </c>
      <c r="F14" s="91">
        <v>0.3</v>
      </c>
      <c r="G14" s="91">
        <v>0.3</v>
      </c>
      <c r="H14" s="111">
        <v>0.3</v>
      </c>
      <c r="I14" s="110">
        <v>0.4</v>
      </c>
      <c r="J14" s="110">
        <v>0.3</v>
      </c>
      <c r="K14" s="110">
        <v>0.2</v>
      </c>
      <c r="L14" s="122"/>
      <c r="M14" s="111">
        <v>0.3</v>
      </c>
      <c r="N14" s="126">
        <v>0.35</v>
      </c>
      <c r="O14" s="110"/>
      <c r="P14" s="110"/>
      <c r="Q14" s="122"/>
      <c r="R14" s="94">
        <v>0.3</v>
      </c>
      <c r="S14" s="94">
        <v>0.3</v>
      </c>
      <c r="T14" s="94">
        <v>0.3</v>
      </c>
      <c r="U14" s="95">
        <v>0.3</v>
      </c>
      <c r="V14" s="95"/>
      <c r="W14" s="92">
        <v>0.4</v>
      </c>
      <c r="X14" s="91">
        <v>0.3</v>
      </c>
      <c r="Y14" s="91">
        <v>0.3</v>
      </c>
      <c r="Z14" s="91">
        <v>0.3</v>
      </c>
      <c r="AA14" s="123"/>
      <c r="AB14" s="111">
        <v>0.8</v>
      </c>
      <c r="AC14" s="110">
        <v>0.9</v>
      </c>
      <c r="AD14" s="110">
        <v>0.8</v>
      </c>
      <c r="AE14" s="110">
        <v>0.8</v>
      </c>
      <c r="AF14" s="122"/>
      <c r="AG14" s="111">
        <v>0.4</v>
      </c>
      <c r="AH14" s="110"/>
      <c r="AI14" s="110"/>
      <c r="AJ14" s="110"/>
      <c r="AK14" s="122"/>
    </row>
    <row r="15" spans="1:37" x14ac:dyDescent="0.2">
      <c r="A15" s="210"/>
      <c r="B15" s="100" t="s">
        <v>288</v>
      </c>
      <c r="C15" s="91">
        <v>56.8</v>
      </c>
      <c r="D15" s="91">
        <v>56.9</v>
      </c>
      <c r="E15" s="91">
        <v>56.8</v>
      </c>
      <c r="F15" s="91">
        <v>56.4</v>
      </c>
      <c r="G15" s="91">
        <v>56.5</v>
      </c>
      <c r="H15" s="111">
        <v>60</v>
      </c>
      <c r="I15" s="110">
        <v>60.4</v>
      </c>
      <c r="J15" s="110">
        <v>60.1</v>
      </c>
      <c r="K15" s="110">
        <v>60.5</v>
      </c>
      <c r="L15" s="122"/>
      <c r="M15" s="111">
        <v>65.7</v>
      </c>
      <c r="N15" s="126">
        <f t="shared" si="0"/>
        <v>197.10197759391193</v>
      </c>
      <c r="O15" s="110"/>
      <c r="P15" s="110"/>
      <c r="Q15" s="122"/>
      <c r="R15" s="94">
        <v>59.9</v>
      </c>
      <c r="S15" s="95">
        <v>60.1</v>
      </c>
      <c r="T15" s="95">
        <v>61.3</v>
      </c>
      <c r="U15" s="95">
        <v>60.2</v>
      </c>
      <c r="V15" s="95"/>
      <c r="W15" s="92">
        <v>66</v>
      </c>
      <c r="X15" s="91">
        <v>67.400000000000006</v>
      </c>
      <c r="Y15" s="91">
        <v>66.8</v>
      </c>
      <c r="Z15" s="91">
        <v>65.900000000000006</v>
      </c>
      <c r="AA15" s="123"/>
      <c r="AB15" s="111">
        <v>389.5</v>
      </c>
      <c r="AC15" s="110">
        <v>382.4</v>
      </c>
      <c r="AD15" s="110">
        <v>384.8</v>
      </c>
      <c r="AE15" s="110">
        <v>387</v>
      </c>
      <c r="AF15" s="122"/>
      <c r="AG15" s="111">
        <v>229</v>
      </c>
      <c r="AH15" s="110"/>
      <c r="AI15" s="110"/>
      <c r="AJ15" s="110"/>
      <c r="AK15" s="122"/>
    </row>
    <row r="16" spans="1:37" x14ac:dyDescent="0.2">
      <c r="A16" s="210"/>
      <c r="B16" s="105" t="s">
        <v>289</v>
      </c>
      <c r="C16" s="91">
        <v>28.1</v>
      </c>
      <c r="D16" s="91">
        <v>28.1</v>
      </c>
      <c r="E16" s="91">
        <v>28.1</v>
      </c>
      <c r="F16" s="91">
        <v>28.1</v>
      </c>
      <c r="G16" s="91">
        <v>28.1</v>
      </c>
      <c r="H16" s="111">
        <v>28.9</v>
      </c>
      <c r="I16" s="110">
        <v>29.1</v>
      </c>
      <c r="J16" s="110">
        <v>29</v>
      </c>
      <c r="K16" s="110">
        <v>29</v>
      </c>
      <c r="L16" s="122"/>
      <c r="M16" s="111">
        <v>29.6</v>
      </c>
      <c r="N16" s="126">
        <f t="shared" si="0"/>
        <v>51.266075623932622</v>
      </c>
      <c r="O16" s="110"/>
      <c r="P16" s="110"/>
      <c r="Q16" s="122"/>
      <c r="R16" s="94">
        <v>30.5</v>
      </c>
      <c r="S16" s="95">
        <v>30.5</v>
      </c>
      <c r="T16" s="95">
        <v>30.5</v>
      </c>
      <c r="U16" s="95">
        <v>30.6</v>
      </c>
      <c r="V16" s="95"/>
      <c r="W16" s="92">
        <v>30</v>
      </c>
      <c r="X16" s="91">
        <v>29.9</v>
      </c>
      <c r="Y16" s="91">
        <v>29.8</v>
      </c>
      <c r="Z16" s="91">
        <v>29.9</v>
      </c>
      <c r="AA16" s="123"/>
      <c r="AB16" s="111">
        <v>303.3</v>
      </c>
      <c r="AC16" s="110">
        <v>301.8</v>
      </c>
      <c r="AD16" s="110">
        <v>269.5</v>
      </c>
      <c r="AE16" s="110">
        <v>303.5</v>
      </c>
      <c r="AF16" s="122"/>
      <c r="AG16" s="111">
        <v>121.5</v>
      </c>
      <c r="AH16" s="110"/>
      <c r="AI16" s="110"/>
      <c r="AJ16" s="110"/>
      <c r="AK16" s="122"/>
    </row>
    <row r="17" spans="1:37" x14ac:dyDescent="0.2">
      <c r="A17" s="210"/>
      <c r="B17" s="105" t="s">
        <v>290</v>
      </c>
      <c r="C17" s="91">
        <v>29.5</v>
      </c>
      <c r="D17" s="91">
        <v>29.9</v>
      </c>
      <c r="E17" s="91">
        <v>30.2</v>
      </c>
      <c r="F17" s="91">
        <v>29.7</v>
      </c>
      <c r="G17" s="91">
        <v>30.1</v>
      </c>
      <c r="H17" s="111">
        <v>36.5</v>
      </c>
      <c r="I17" s="110">
        <v>36.799999999999997</v>
      </c>
      <c r="J17" s="110">
        <v>36.299999999999997</v>
      </c>
      <c r="K17" s="110">
        <v>37.4</v>
      </c>
      <c r="L17" s="122"/>
      <c r="M17" s="111">
        <v>36.299999999999997</v>
      </c>
      <c r="N17" s="126">
        <f t="shared" si="0"/>
        <v>36.866111820791524</v>
      </c>
      <c r="O17" s="110"/>
      <c r="P17" s="110"/>
      <c r="Q17" s="122"/>
      <c r="R17" s="94">
        <v>37.4</v>
      </c>
      <c r="S17" s="95">
        <v>37.6</v>
      </c>
      <c r="T17" s="95">
        <v>37.6</v>
      </c>
      <c r="U17" s="95">
        <v>37.6</v>
      </c>
      <c r="V17" s="95"/>
      <c r="W17" s="92">
        <v>36.4</v>
      </c>
      <c r="X17" s="91">
        <v>36.700000000000003</v>
      </c>
      <c r="Y17" s="91">
        <v>36.6</v>
      </c>
      <c r="Z17" s="91">
        <v>36.5</v>
      </c>
      <c r="AA17" s="123"/>
      <c r="AB17" s="111">
        <v>949.8</v>
      </c>
      <c r="AC17" s="110">
        <v>951.5</v>
      </c>
      <c r="AD17" s="110">
        <v>949.4</v>
      </c>
      <c r="AE17" s="110">
        <v>929.6</v>
      </c>
      <c r="AF17" s="122"/>
      <c r="AG17" s="111">
        <v>593.4</v>
      </c>
      <c r="AH17" s="110"/>
      <c r="AI17" s="110"/>
      <c r="AJ17" s="110"/>
      <c r="AK17" s="122"/>
    </row>
    <row r="18" spans="1:37" x14ac:dyDescent="0.2">
      <c r="A18" s="210"/>
      <c r="B18" s="105" t="s">
        <v>291</v>
      </c>
      <c r="C18" s="91">
        <v>40.200000000000003</v>
      </c>
      <c r="D18" s="91">
        <v>40.700000000000003</v>
      </c>
      <c r="E18" s="91">
        <v>40.200000000000003</v>
      </c>
      <c r="F18" s="91">
        <v>41.1</v>
      </c>
      <c r="G18" s="91">
        <v>41.1</v>
      </c>
      <c r="H18" s="111">
        <v>50.7</v>
      </c>
      <c r="I18" s="110">
        <v>50.5</v>
      </c>
      <c r="J18" s="110">
        <v>49.1</v>
      </c>
      <c r="K18" s="110">
        <v>55.2</v>
      </c>
      <c r="L18" s="122"/>
      <c r="M18" s="111">
        <v>48.9</v>
      </c>
      <c r="N18" s="126">
        <f t="shared" si="0"/>
        <v>49.796443232141208</v>
      </c>
      <c r="O18" s="110"/>
      <c r="P18" s="110"/>
      <c r="Q18" s="122"/>
      <c r="R18" s="94">
        <v>53.2</v>
      </c>
      <c r="S18" s="95">
        <v>52.3</v>
      </c>
      <c r="T18" s="95">
        <v>53.1</v>
      </c>
      <c r="U18" s="95">
        <v>53.5</v>
      </c>
      <c r="V18" s="95"/>
      <c r="W18" s="92">
        <v>48.4</v>
      </c>
      <c r="X18" s="91">
        <v>48.2</v>
      </c>
      <c r="Y18" s="91">
        <v>50.7</v>
      </c>
      <c r="Z18" s="91">
        <v>50.6</v>
      </c>
      <c r="AA18" s="123"/>
      <c r="AB18" s="111">
        <v>1047.5999999999999</v>
      </c>
      <c r="AC18" s="110">
        <v>1005</v>
      </c>
      <c r="AD18" s="110">
        <v>1014.7</v>
      </c>
      <c r="AE18" s="110">
        <v>1017</v>
      </c>
      <c r="AF18" s="122"/>
      <c r="AG18" s="111">
        <v>548</v>
      </c>
      <c r="AH18" s="110"/>
      <c r="AI18" s="110"/>
      <c r="AJ18" s="110"/>
      <c r="AK18" s="122"/>
    </row>
    <row r="19" spans="1:37" x14ac:dyDescent="0.2">
      <c r="A19" s="210"/>
      <c r="B19" s="105" t="s">
        <v>292</v>
      </c>
      <c r="C19" s="91">
        <v>32.200000000000003</v>
      </c>
      <c r="D19" s="91">
        <v>33.5</v>
      </c>
      <c r="E19" s="91">
        <v>32.700000000000003</v>
      </c>
      <c r="F19" s="91">
        <v>40.799999999999997</v>
      </c>
      <c r="G19" s="91">
        <v>38.6</v>
      </c>
      <c r="H19" s="111">
        <v>36.4</v>
      </c>
      <c r="I19" s="110">
        <v>38.200000000000003</v>
      </c>
      <c r="J19" s="110">
        <v>37.700000000000003</v>
      </c>
      <c r="K19" s="110">
        <v>38.5</v>
      </c>
      <c r="L19" s="122"/>
      <c r="M19" s="111">
        <v>39.700000000000003</v>
      </c>
      <c r="N19" s="126">
        <f t="shared" si="0"/>
        <v>39.703600990453879</v>
      </c>
      <c r="O19" s="110"/>
      <c r="P19" s="110"/>
      <c r="Q19" s="122"/>
      <c r="R19" s="125">
        <v>39</v>
      </c>
      <c r="S19" s="125">
        <v>39.5</v>
      </c>
      <c r="T19" s="95">
        <v>39.299999999999997</v>
      </c>
      <c r="U19" s="95">
        <v>39.4</v>
      </c>
      <c r="V19" s="95"/>
      <c r="W19" s="92">
        <v>38.6</v>
      </c>
      <c r="X19" s="91">
        <v>37.700000000000003</v>
      </c>
      <c r="Y19" s="91">
        <v>39.9</v>
      </c>
      <c r="Z19" s="91">
        <v>38.700000000000003</v>
      </c>
      <c r="AA19" s="123"/>
      <c r="AB19" s="112">
        <v>38.4</v>
      </c>
      <c r="AC19" s="112">
        <v>40.5</v>
      </c>
      <c r="AD19" s="112">
        <v>35.1</v>
      </c>
      <c r="AE19" s="112">
        <v>37.700000000000003</v>
      </c>
      <c r="AF19" s="174"/>
      <c r="AG19" s="112">
        <v>39.4</v>
      </c>
      <c r="AH19" s="110"/>
      <c r="AI19" s="110"/>
      <c r="AJ19" s="110"/>
      <c r="AK19" s="122"/>
    </row>
    <row r="20" spans="1:37" x14ac:dyDescent="0.2">
      <c r="A20" s="210"/>
      <c r="B20" s="105" t="s">
        <v>293</v>
      </c>
      <c r="C20" s="91">
        <v>58</v>
      </c>
      <c r="D20" s="91">
        <v>59.7</v>
      </c>
      <c r="E20" s="91">
        <v>57</v>
      </c>
      <c r="F20" s="91">
        <v>57.1</v>
      </c>
      <c r="G20" s="91">
        <v>54.2</v>
      </c>
      <c r="H20" s="111">
        <v>59.3</v>
      </c>
      <c r="I20" s="110">
        <v>56.4</v>
      </c>
      <c r="J20" s="110">
        <v>58.2</v>
      </c>
      <c r="K20" s="110">
        <v>58.3</v>
      </c>
      <c r="L20" s="122"/>
      <c r="M20" s="111">
        <v>57.7</v>
      </c>
      <c r="N20" s="126">
        <v>58</v>
      </c>
      <c r="O20" s="110"/>
      <c r="P20" s="110"/>
      <c r="Q20" s="122"/>
      <c r="R20" s="125">
        <v>58</v>
      </c>
      <c r="S20" s="125">
        <v>57.5</v>
      </c>
      <c r="T20" s="95">
        <v>59.2</v>
      </c>
      <c r="U20" s="95">
        <v>59.4</v>
      </c>
      <c r="V20" s="95"/>
      <c r="W20" s="92">
        <v>59.3</v>
      </c>
      <c r="X20" s="91">
        <v>57.7</v>
      </c>
      <c r="Y20" s="91">
        <v>57</v>
      </c>
      <c r="Z20" s="91">
        <v>57.1</v>
      </c>
      <c r="AA20" s="123"/>
      <c r="AB20" s="112">
        <v>60.1</v>
      </c>
      <c r="AC20" s="112">
        <v>68.3</v>
      </c>
      <c r="AD20" s="112">
        <v>66.599999999999994</v>
      </c>
      <c r="AE20" s="112">
        <v>67.599999999999994</v>
      </c>
      <c r="AF20" s="174"/>
      <c r="AG20" s="112">
        <v>60.8</v>
      </c>
      <c r="AH20" s="110"/>
      <c r="AI20" s="110"/>
      <c r="AJ20" s="110"/>
      <c r="AK20" s="122"/>
    </row>
    <row r="21" spans="1:37" x14ac:dyDescent="0.2">
      <c r="A21" s="210"/>
      <c r="B21" s="105" t="s">
        <v>294</v>
      </c>
      <c r="C21" s="91">
        <v>19.399999999999999</v>
      </c>
      <c r="D21" s="91">
        <v>19.399999999999999</v>
      </c>
      <c r="E21" s="91">
        <v>19.399999999999999</v>
      </c>
      <c r="F21" s="91">
        <v>19.399999999999999</v>
      </c>
      <c r="G21" s="91">
        <v>19.399999999999999</v>
      </c>
      <c r="H21" s="111">
        <v>31.9</v>
      </c>
      <c r="I21" s="110">
        <v>32.4</v>
      </c>
      <c r="J21" s="110">
        <v>33.299999999999997</v>
      </c>
      <c r="K21" s="110">
        <v>32</v>
      </c>
      <c r="L21" s="122"/>
      <c r="M21" s="111">
        <v>37.299999999999997</v>
      </c>
      <c r="N21" s="126">
        <f t="shared" si="0"/>
        <v>51.756928753278792</v>
      </c>
      <c r="O21" s="110"/>
      <c r="P21" s="110"/>
      <c r="Q21" s="122"/>
      <c r="R21" s="125">
        <v>32.1</v>
      </c>
      <c r="S21" s="125">
        <v>32.1</v>
      </c>
      <c r="T21" s="95">
        <v>33.5</v>
      </c>
      <c r="U21" s="95">
        <v>32.5</v>
      </c>
      <c r="V21" s="95"/>
      <c r="W21" s="92">
        <v>38.799999999999997</v>
      </c>
      <c r="X21" s="91">
        <v>36.9</v>
      </c>
      <c r="Y21" s="91">
        <v>37.299999999999997</v>
      </c>
      <c r="Z21" s="91">
        <v>38.5</v>
      </c>
      <c r="AA21" s="123"/>
      <c r="AB21" s="111">
        <v>10311</v>
      </c>
      <c r="AC21" s="110">
        <v>10238</v>
      </c>
      <c r="AD21" s="110">
        <v>9521</v>
      </c>
      <c r="AE21" s="110">
        <v>10249</v>
      </c>
      <c r="AF21" s="122"/>
      <c r="AG21" s="111">
        <v>3043.4</v>
      </c>
      <c r="AH21" s="110"/>
      <c r="AI21" s="110"/>
      <c r="AJ21" s="110"/>
      <c r="AK21" s="122"/>
    </row>
    <row r="22" spans="1:37" x14ac:dyDescent="0.2">
      <c r="A22" s="210"/>
      <c r="B22" s="105" t="s">
        <v>295</v>
      </c>
      <c r="C22" s="91">
        <v>10.5</v>
      </c>
      <c r="D22" s="91">
        <v>10.7</v>
      </c>
      <c r="E22" s="91">
        <v>10.6</v>
      </c>
      <c r="F22" s="91">
        <v>10.5</v>
      </c>
      <c r="G22" s="91">
        <v>10.7</v>
      </c>
      <c r="H22" s="111">
        <v>10.6</v>
      </c>
      <c r="I22" s="110">
        <v>11</v>
      </c>
      <c r="J22" s="110">
        <v>11</v>
      </c>
      <c r="K22" s="110">
        <v>11.3</v>
      </c>
      <c r="L22" s="122"/>
      <c r="M22" s="111">
        <v>11.7</v>
      </c>
      <c r="N22" s="126">
        <f t="shared" si="0"/>
        <v>15.599998757179019</v>
      </c>
      <c r="O22" s="110"/>
      <c r="P22" s="110"/>
      <c r="Q22" s="122"/>
      <c r="R22" s="125">
        <v>11.1</v>
      </c>
      <c r="S22" s="125">
        <v>10.9</v>
      </c>
      <c r="T22" s="95">
        <v>11</v>
      </c>
      <c r="U22" s="95">
        <v>10.9</v>
      </c>
      <c r="V22" s="95"/>
      <c r="W22" s="92">
        <v>11.4</v>
      </c>
      <c r="X22" s="91">
        <v>11</v>
      </c>
      <c r="Y22" s="91">
        <v>11.5</v>
      </c>
      <c r="Z22" s="91">
        <v>11.8</v>
      </c>
      <c r="AA22" s="123"/>
      <c r="AB22" s="111">
        <v>300.7</v>
      </c>
      <c r="AC22" s="110">
        <v>236.2</v>
      </c>
      <c r="AD22" s="110">
        <v>233.6</v>
      </c>
      <c r="AE22" s="110">
        <v>222.8</v>
      </c>
      <c r="AF22" s="122"/>
      <c r="AG22" s="111">
        <v>119.5</v>
      </c>
      <c r="AH22" s="110"/>
      <c r="AI22" s="110"/>
      <c r="AJ22" s="110"/>
      <c r="AK22" s="122"/>
    </row>
    <row r="23" spans="1:37" x14ac:dyDescent="0.2">
      <c r="A23" s="210"/>
      <c r="B23" s="105" t="s">
        <v>296</v>
      </c>
      <c r="C23" s="91">
        <v>59.7</v>
      </c>
      <c r="D23" s="91">
        <v>58.8</v>
      </c>
      <c r="E23" s="91">
        <v>59.3</v>
      </c>
      <c r="F23" s="91">
        <v>59.2</v>
      </c>
      <c r="G23" s="91">
        <v>59.4</v>
      </c>
      <c r="H23" s="111">
        <v>68.599999999999994</v>
      </c>
      <c r="I23" s="110">
        <v>68.2</v>
      </c>
      <c r="J23" s="110">
        <v>68.2</v>
      </c>
      <c r="K23" s="110">
        <v>68.3</v>
      </c>
      <c r="L23" s="122"/>
      <c r="M23" s="111">
        <v>61.8</v>
      </c>
      <c r="N23" s="126">
        <f t="shared" si="0"/>
        <v>131.64380193001844</v>
      </c>
      <c r="O23" s="110"/>
      <c r="P23" s="110"/>
      <c r="Q23" s="122"/>
      <c r="R23" s="125">
        <v>72.349999999999994</v>
      </c>
      <c r="S23" s="125">
        <v>72.2</v>
      </c>
      <c r="T23" s="167"/>
      <c r="U23" s="167"/>
      <c r="V23" s="167"/>
      <c r="W23" s="92">
        <v>62.6</v>
      </c>
      <c r="X23" s="91">
        <v>62.3</v>
      </c>
      <c r="Y23" s="91">
        <v>62.7</v>
      </c>
      <c r="Z23" s="91">
        <v>62.6</v>
      </c>
      <c r="AA23" s="123"/>
      <c r="AB23" s="111">
        <v>4535</v>
      </c>
      <c r="AC23" s="110">
        <v>4529</v>
      </c>
      <c r="AD23" s="110">
        <v>4525</v>
      </c>
      <c r="AE23" s="110">
        <v>4535</v>
      </c>
      <c r="AF23" s="122"/>
      <c r="AG23" s="111">
        <v>3181.7</v>
      </c>
      <c r="AH23" s="110"/>
      <c r="AI23" s="110"/>
      <c r="AJ23" s="110"/>
      <c r="AK23" s="122"/>
    </row>
    <row r="24" spans="1:37" x14ac:dyDescent="0.2">
      <c r="A24" s="210"/>
      <c r="B24" s="105" t="s">
        <v>297</v>
      </c>
      <c r="C24" s="91">
        <v>17.899999999999999</v>
      </c>
      <c r="D24" s="91">
        <v>17.8</v>
      </c>
      <c r="E24" s="91">
        <v>17.8</v>
      </c>
      <c r="F24" s="91">
        <v>17.8</v>
      </c>
      <c r="G24" s="91">
        <v>17.7</v>
      </c>
      <c r="H24" s="110">
        <v>20.5</v>
      </c>
      <c r="I24" s="110">
        <v>20.399999999999999</v>
      </c>
      <c r="J24" s="110">
        <v>20.399999999999999</v>
      </c>
      <c r="K24" s="110">
        <v>20.6</v>
      </c>
      <c r="L24" s="122"/>
      <c r="M24" s="110">
        <v>21.3</v>
      </c>
      <c r="N24" s="126">
        <f t="shared" si="0"/>
        <v>29.267505546885772</v>
      </c>
      <c r="O24" s="110"/>
      <c r="P24" s="110"/>
      <c r="Q24" s="122"/>
      <c r="R24" s="94">
        <v>21.2</v>
      </c>
      <c r="S24" s="95">
        <v>21.3</v>
      </c>
      <c r="T24" s="95">
        <v>21.2</v>
      </c>
      <c r="U24" s="95">
        <v>21.2</v>
      </c>
      <c r="V24" s="95"/>
      <c r="W24" s="92">
        <v>22</v>
      </c>
      <c r="X24" s="91">
        <v>22.1</v>
      </c>
      <c r="Y24" s="91">
        <v>22</v>
      </c>
      <c r="Z24" s="91">
        <v>22.1</v>
      </c>
      <c r="AA24" s="123"/>
      <c r="AB24" s="111">
        <v>385.7</v>
      </c>
      <c r="AC24" s="110">
        <v>385</v>
      </c>
      <c r="AD24" s="110">
        <v>385.9</v>
      </c>
      <c r="AE24" s="110"/>
      <c r="AF24" s="122"/>
      <c r="AG24" s="111">
        <v>176.1</v>
      </c>
      <c r="AH24" s="110">
        <v>171.9</v>
      </c>
      <c r="AI24" s="110"/>
      <c r="AJ24" s="110"/>
      <c r="AK24" s="122"/>
    </row>
    <row r="25" spans="1:37" x14ac:dyDescent="0.2">
      <c r="A25" s="205"/>
      <c r="B25" s="105" t="s">
        <v>298</v>
      </c>
      <c r="C25" s="91">
        <v>62.8</v>
      </c>
      <c r="D25" s="91">
        <v>62.9</v>
      </c>
      <c r="E25" s="91">
        <v>62.7</v>
      </c>
      <c r="F25" s="91">
        <v>61.8</v>
      </c>
      <c r="G25" s="91">
        <v>62.4</v>
      </c>
      <c r="H25" s="110">
        <v>70.7</v>
      </c>
      <c r="I25" s="110">
        <v>69.8</v>
      </c>
      <c r="J25" s="110">
        <v>70.2</v>
      </c>
      <c r="K25" s="110">
        <v>69.8</v>
      </c>
      <c r="L25" s="122"/>
      <c r="M25" s="110">
        <v>73.2</v>
      </c>
      <c r="N25" s="126">
        <f t="shared" si="0"/>
        <v>90.986988298929987</v>
      </c>
      <c r="O25" s="110"/>
      <c r="P25" s="110"/>
      <c r="Q25" s="122"/>
      <c r="R25" s="94">
        <v>70.400000000000006</v>
      </c>
      <c r="S25" s="95">
        <v>70.3</v>
      </c>
      <c r="T25" s="95">
        <v>79.3</v>
      </c>
      <c r="U25" s="95">
        <v>70.2</v>
      </c>
      <c r="V25" s="95"/>
      <c r="W25" s="92">
        <v>74.599999999999994</v>
      </c>
      <c r="X25" s="91">
        <v>72.2</v>
      </c>
      <c r="Y25" s="91">
        <v>73.099999999999994</v>
      </c>
      <c r="Z25" s="91">
        <v>73</v>
      </c>
      <c r="AA25" s="123"/>
      <c r="AB25" s="111">
        <v>238</v>
      </c>
      <c r="AC25" s="110">
        <v>212.4</v>
      </c>
      <c r="AD25" s="110">
        <v>222</v>
      </c>
      <c r="AE25" s="110"/>
      <c r="AF25" s="122"/>
      <c r="AG25" s="111">
        <v>128.80000000000001</v>
      </c>
      <c r="AH25" s="110">
        <v>127.9</v>
      </c>
      <c r="AI25" s="110"/>
      <c r="AJ25" s="110"/>
      <c r="AK25" s="122"/>
    </row>
    <row r="26" spans="1:37" x14ac:dyDescent="0.2">
      <c r="P26" s="34"/>
      <c r="Q26" s="34"/>
      <c r="R26" s="34"/>
    </row>
    <row r="28" spans="1:37" ht="26" x14ac:dyDescent="0.3">
      <c r="B28" s="229" t="s">
        <v>283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</row>
    <row r="29" spans="1:37" x14ac:dyDescent="0.2">
      <c r="A29" s="8"/>
      <c r="B29" s="88"/>
      <c r="C29" s="231" t="s">
        <v>285</v>
      </c>
      <c r="D29" s="231"/>
      <c r="E29" s="231"/>
      <c r="F29" s="231"/>
      <c r="G29" s="231"/>
      <c r="H29" s="232" t="s">
        <v>306</v>
      </c>
      <c r="I29" s="232"/>
      <c r="J29" s="232"/>
      <c r="K29" s="232"/>
      <c r="L29" s="232"/>
      <c r="M29" s="232" t="s">
        <v>234</v>
      </c>
      <c r="N29" s="232"/>
      <c r="O29" s="232"/>
      <c r="P29" s="232"/>
      <c r="Q29" s="232"/>
      <c r="R29" s="231" t="s">
        <v>235</v>
      </c>
      <c r="S29" s="231"/>
      <c r="T29" s="231"/>
      <c r="U29" s="231"/>
      <c r="V29" s="231"/>
      <c r="W29" s="231" t="s">
        <v>236</v>
      </c>
      <c r="X29" s="231"/>
      <c r="Y29" s="231"/>
      <c r="Z29" s="231"/>
      <c r="AA29" s="231"/>
      <c r="AB29" s="232" t="s">
        <v>241</v>
      </c>
      <c r="AC29" s="232"/>
      <c r="AD29" s="232"/>
      <c r="AE29" s="232"/>
      <c r="AF29" s="232"/>
      <c r="AG29" s="232" t="s">
        <v>238</v>
      </c>
      <c r="AH29" s="232"/>
      <c r="AI29" s="232"/>
      <c r="AJ29" s="232"/>
      <c r="AK29" s="232"/>
    </row>
    <row r="30" spans="1:37" x14ac:dyDescent="0.2">
      <c r="A30" s="8"/>
      <c r="B30" s="88"/>
      <c r="C30" s="89" t="s">
        <v>264</v>
      </c>
      <c r="D30" s="89" t="s">
        <v>265</v>
      </c>
      <c r="E30" s="89" t="s">
        <v>266</v>
      </c>
      <c r="F30" s="89" t="s">
        <v>267</v>
      </c>
      <c r="G30" s="89" t="s">
        <v>268</v>
      </c>
      <c r="H30" s="109" t="s">
        <v>264</v>
      </c>
      <c r="I30" s="109" t="s">
        <v>265</v>
      </c>
      <c r="J30" s="109" t="s">
        <v>266</v>
      </c>
      <c r="K30" s="109" t="s">
        <v>267</v>
      </c>
      <c r="L30" s="109" t="s">
        <v>280</v>
      </c>
      <c r="M30" s="109" t="s">
        <v>264</v>
      </c>
      <c r="N30" s="109" t="s">
        <v>265</v>
      </c>
      <c r="O30" s="109" t="s">
        <v>266</v>
      </c>
      <c r="P30" s="109" t="s">
        <v>267</v>
      </c>
      <c r="Q30" s="109" t="s">
        <v>268</v>
      </c>
      <c r="R30" s="89" t="s">
        <v>264</v>
      </c>
      <c r="S30" s="89" t="s">
        <v>265</v>
      </c>
      <c r="T30" s="89" t="s">
        <v>266</v>
      </c>
      <c r="U30" s="89" t="s">
        <v>267</v>
      </c>
      <c r="V30" s="89" t="s">
        <v>268</v>
      </c>
      <c r="W30" s="89" t="s">
        <v>264</v>
      </c>
      <c r="X30" s="89" t="s">
        <v>265</v>
      </c>
      <c r="Y30" s="89" t="s">
        <v>266</v>
      </c>
      <c r="Z30" s="89" t="s">
        <v>267</v>
      </c>
      <c r="AA30" s="89" t="s">
        <v>280</v>
      </c>
      <c r="AB30" s="109" t="s">
        <v>264</v>
      </c>
      <c r="AC30" s="109" t="s">
        <v>265</v>
      </c>
      <c r="AD30" s="109" t="s">
        <v>266</v>
      </c>
      <c r="AE30" s="109" t="s">
        <v>267</v>
      </c>
      <c r="AF30" s="109" t="s">
        <v>280</v>
      </c>
      <c r="AG30" s="109" t="s">
        <v>264</v>
      </c>
      <c r="AH30" s="109" t="s">
        <v>265</v>
      </c>
      <c r="AI30" s="109" t="s">
        <v>266</v>
      </c>
      <c r="AJ30" s="109" t="s">
        <v>267</v>
      </c>
      <c r="AK30" s="109" t="s">
        <v>280</v>
      </c>
    </row>
    <row r="31" spans="1:37" ht="16" customHeight="1" x14ac:dyDescent="0.2">
      <c r="A31" s="214" t="s">
        <v>271</v>
      </c>
      <c r="B31" s="99" t="s">
        <v>116</v>
      </c>
      <c r="C31" s="92">
        <v>45.112000000000002</v>
      </c>
      <c r="D31" s="127"/>
      <c r="E31" s="8"/>
      <c r="F31" s="8"/>
      <c r="G31" s="8"/>
      <c r="H31" s="111">
        <v>58.866</v>
      </c>
      <c r="I31" s="126"/>
      <c r="J31" s="37"/>
      <c r="K31" s="37"/>
      <c r="L31" s="113"/>
      <c r="M31" s="111">
        <v>52.843000000000004</v>
      </c>
      <c r="N31" s="126"/>
      <c r="O31" s="37"/>
      <c r="P31" s="110"/>
      <c r="Q31" s="113"/>
      <c r="R31" s="94"/>
      <c r="S31" s="95"/>
      <c r="T31" s="95"/>
      <c r="U31" s="95"/>
      <c r="V31" s="95"/>
      <c r="W31" s="120"/>
      <c r="X31" s="120"/>
      <c r="Y31" s="120"/>
      <c r="Z31" s="120"/>
      <c r="AA31" s="121"/>
      <c r="AB31" s="111">
        <v>824.12400000000002</v>
      </c>
      <c r="AC31" s="126"/>
      <c r="AD31" s="116"/>
      <c r="AE31" s="116"/>
      <c r="AF31" s="113"/>
      <c r="AG31" s="124">
        <v>211.37200000000001</v>
      </c>
      <c r="AH31" s="116"/>
      <c r="AI31" s="116"/>
      <c r="AJ31" s="116"/>
      <c r="AK31" s="113"/>
    </row>
    <row r="32" spans="1:37" x14ac:dyDescent="0.2">
      <c r="A32" s="214"/>
      <c r="B32" s="101" t="s">
        <v>117</v>
      </c>
      <c r="C32" s="92">
        <v>104.03</v>
      </c>
      <c r="D32" s="127"/>
      <c r="E32" s="8"/>
      <c r="F32" s="8"/>
      <c r="G32" s="8"/>
      <c r="H32" s="111">
        <v>195.83099999999999</v>
      </c>
      <c r="I32" s="126"/>
      <c r="J32" s="37"/>
      <c r="K32" s="37"/>
      <c r="L32" s="113"/>
      <c r="M32" s="111">
        <v>157.595</v>
      </c>
      <c r="N32" s="126"/>
      <c r="O32" s="37"/>
      <c r="P32" s="110"/>
      <c r="Q32" s="113"/>
      <c r="R32" s="94"/>
      <c r="S32" s="95"/>
      <c r="T32" s="95"/>
      <c r="U32" s="95"/>
      <c r="V32" s="95"/>
      <c r="W32" s="94"/>
      <c r="X32" s="95"/>
      <c r="Y32" s="95"/>
      <c r="Z32" s="95"/>
      <c r="AA32" s="121"/>
      <c r="AB32" s="111">
        <v>4714.7009800000005</v>
      </c>
      <c r="AC32" s="126"/>
      <c r="AD32" s="110"/>
      <c r="AE32" s="110"/>
      <c r="AF32" s="113"/>
      <c r="AG32" s="124">
        <v>1084.04448</v>
      </c>
      <c r="AH32" s="116"/>
      <c r="AI32" s="110"/>
      <c r="AJ32" s="110"/>
      <c r="AK32" s="113"/>
    </row>
    <row r="33" spans="1:39" x14ac:dyDescent="0.2">
      <c r="A33" s="214"/>
      <c r="B33" s="101" t="s">
        <v>115</v>
      </c>
      <c r="C33" s="92">
        <v>124.253</v>
      </c>
      <c r="D33" s="127"/>
      <c r="E33" s="8"/>
      <c r="F33" s="8"/>
      <c r="G33" s="8"/>
      <c r="H33" s="111">
        <v>881.1</v>
      </c>
      <c r="I33" s="126"/>
      <c r="J33" s="37"/>
      <c r="K33" s="37"/>
      <c r="L33" s="113"/>
      <c r="M33" s="111">
        <v>754.6</v>
      </c>
      <c r="N33" s="126"/>
      <c r="O33" s="37"/>
      <c r="P33" s="110"/>
      <c r="Q33" s="113"/>
      <c r="R33" s="94"/>
      <c r="S33" s="95"/>
      <c r="T33" s="95"/>
      <c r="U33" s="95"/>
      <c r="V33" s="95"/>
      <c r="W33" s="94"/>
      <c r="X33" s="95"/>
      <c r="Y33" s="95"/>
      <c r="Z33" s="95"/>
      <c r="AA33" s="121"/>
      <c r="AB33" s="111">
        <v>9593.7999999999993</v>
      </c>
      <c r="AC33" s="126"/>
      <c r="AD33" s="110"/>
      <c r="AE33" s="110"/>
      <c r="AF33" s="113"/>
      <c r="AG33" s="124">
        <v>2347.5459999999998</v>
      </c>
      <c r="AH33" s="116"/>
      <c r="AI33" s="110"/>
      <c r="AJ33" s="110"/>
      <c r="AK33" s="113"/>
    </row>
    <row r="34" spans="1:39" x14ac:dyDescent="0.2">
      <c r="A34" s="214"/>
      <c r="B34" s="101" t="s">
        <v>118</v>
      </c>
      <c r="C34" s="92">
        <v>117.11</v>
      </c>
      <c r="D34" s="127"/>
      <c r="E34" s="8"/>
      <c r="F34" s="8"/>
      <c r="G34" s="8"/>
      <c r="H34" s="111">
        <v>118.09</v>
      </c>
      <c r="I34" s="126"/>
      <c r="J34" s="37"/>
      <c r="K34" s="37"/>
      <c r="L34" s="113"/>
      <c r="M34" s="111">
        <v>118.523</v>
      </c>
      <c r="N34" s="126"/>
      <c r="O34" s="37"/>
      <c r="P34" s="110"/>
      <c r="Q34" s="113"/>
      <c r="R34" s="94"/>
      <c r="S34" s="95"/>
      <c r="T34" s="95"/>
      <c r="U34" s="95"/>
      <c r="V34" s="95"/>
      <c r="W34" s="94"/>
      <c r="X34" s="95"/>
      <c r="Y34" s="95"/>
      <c r="Z34" s="95"/>
      <c r="AA34" s="121"/>
      <c r="AB34" s="111">
        <v>826.63</v>
      </c>
      <c r="AC34" s="126"/>
      <c r="AD34" s="110"/>
      <c r="AE34" s="110"/>
      <c r="AF34" s="113"/>
      <c r="AG34" s="124">
        <v>237.04599999999999</v>
      </c>
      <c r="AH34" s="116"/>
      <c r="AI34" s="110"/>
      <c r="AJ34" s="110"/>
      <c r="AK34" s="113"/>
    </row>
    <row r="35" spans="1:39" x14ac:dyDescent="0.2">
      <c r="A35" s="214"/>
      <c r="B35" s="101" t="s">
        <v>156</v>
      </c>
      <c r="C35" s="92">
        <v>60.526000000000003</v>
      </c>
      <c r="D35" s="127"/>
      <c r="E35" s="8"/>
      <c r="F35" s="8"/>
      <c r="G35" s="8"/>
      <c r="H35" s="111">
        <v>566.70000000000005</v>
      </c>
      <c r="I35" s="126"/>
      <c r="J35" s="37"/>
      <c r="K35" s="37"/>
      <c r="L35" s="113"/>
      <c r="M35" s="111">
        <v>560.70000000000005</v>
      </c>
      <c r="N35" s="126"/>
      <c r="O35" s="37"/>
      <c r="P35" s="110"/>
      <c r="Q35" s="113"/>
      <c r="R35" s="94"/>
      <c r="S35" s="95"/>
      <c r="T35" s="95"/>
      <c r="U35" s="95"/>
      <c r="V35" s="95"/>
      <c r="W35" s="94"/>
      <c r="X35" s="95"/>
      <c r="Y35" s="95"/>
      <c r="Z35" s="95"/>
      <c r="AA35" s="121"/>
      <c r="AB35" s="111">
        <v>7450.9030000000002</v>
      </c>
      <c r="AC35" s="126"/>
      <c r="AD35" s="110"/>
      <c r="AE35" s="110"/>
      <c r="AF35" s="113"/>
      <c r="AG35" s="124">
        <v>2106.29</v>
      </c>
      <c r="AH35" s="116"/>
      <c r="AI35" s="110"/>
      <c r="AJ35" s="110"/>
      <c r="AK35" s="113"/>
    </row>
    <row r="36" spans="1:39" x14ac:dyDescent="0.2">
      <c r="A36" s="214"/>
      <c r="B36" s="101" t="s">
        <v>119</v>
      </c>
      <c r="C36" s="92">
        <v>54.89</v>
      </c>
      <c r="D36" s="127"/>
      <c r="E36" s="8"/>
      <c r="F36" s="8"/>
      <c r="G36" s="8"/>
      <c r="H36" s="111">
        <v>260.33</v>
      </c>
      <c r="I36" s="126"/>
      <c r="J36" s="37"/>
      <c r="K36" s="37"/>
      <c r="L36" s="113"/>
      <c r="M36" s="111">
        <v>174.995</v>
      </c>
      <c r="N36" s="126"/>
      <c r="O36" s="37"/>
      <c r="P36" s="110"/>
      <c r="Q36" s="113"/>
      <c r="R36" s="94"/>
      <c r="S36" s="95"/>
      <c r="T36" s="95"/>
      <c r="U36" s="95"/>
      <c r="V36" s="95"/>
      <c r="W36" s="94"/>
      <c r="X36" s="95"/>
      <c r="Y36" s="95"/>
      <c r="Z36" s="95"/>
      <c r="AA36" s="121"/>
      <c r="AB36" s="111">
        <v>1373.587</v>
      </c>
      <c r="AC36" s="126"/>
      <c r="AD36" s="110"/>
      <c r="AE36" s="110"/>
      <c r="AF36" s="113"/>
      <c r="AG36" s="124">
        <v>463.80900000000003</v>
      </c>
      <c r="AH36" s="116"/>
      <c r="AI36" s="110"/>
      <c r="AJ36" s="110"/>
      <c r="AK36" s="113"/>
    </row>
    <row r="37" spans="1:39" x14ac:dyDescent="0.2">
      <c r="A37" s="214"/>
      <c r="B37" s="101" t="s">
        <v>120</v>
      </c>
      <c r="C37" s="92">
        <v>23.056999999999999</v>
      </c>
      <c r="D37" s="127"/>
      <c r="E37" s="8"/>
      <c r="F37" s="8"/>
      <c r="G37" s="8"/>
      <c r="H37" s="111">
        <v>91.965999999999994</v>
      </c>
      <c r="I37" s="126"/>
      <c r="J37" s="37"/>
      <c r="K37" s="37"/>
      <c r="L37" s="113"/>
      <c r="M37" s="111">
        <v>73.369</v>
      </c>
      <c r="N37" s="126"/>
      <c r="O37" s="37"/>
      <c r="P37" s="110"/>
      <c r="Q37" s="113"/>
      <c r="R37" s="94"/>
      <c r="S37" s="95"/>
      <c r="T37" s="95"/>
      <c r="U37" s="95"/>
      <c r="V37" s="95"/>
      <c r="W37" s="94"/>
      <c r="X37" s="95"/>
      <c r="Y37" s="95"/>
      <c r="Z37" s="95"/>
      <c r="AA37" s="121"/>
      <c r="AB37" s="111">
        <v>1586.92445</v>
      </c>
      <c r="AC37" s="126"/>
      <c r="AD37" s="110"/>
      <c r="AE37" s="110"/>
      <c r="AF37" s="113"/>
      <c r="AG37" s="124">
        <v>361.72082</v>
      </c>
      <c r="AH37" s="116"/>
      <c r="AI37" s="110"/>
      <c r="AJ37" s="110"/>
      <c r="AK37" s="113"/>
    </row>
    <row r="38" spans="1:39" x14ac:dyDescent="0.2">
      <c r="A38" s="214"/>
      <c r="B38" s="101" t="s">
        <v>121</v>
      </c>
      <c r="C38" s="92">
        <v>71.13</v>
      </c>
      <c r="D38" s="127"/>
      <c r="E38" s="8"/>
      <c r="F38" s="8"/>
      <c r="G38" s="8"/>
      <c r="H38" s="111">
        <v>316.95800000000003</v>
      </c>
      <c r="I38" s="126"/>
      <c r="J38" s="37"/>
      <c r="K38" s="37"/>
      <c r="L38" s="113"/>
      <c r="M38" s="111">
        <v>197.495</v>
      </c>
      <c r="N38" s="126"/>
      <c r="O38" s="37"/>
      <c r="P38" s="110"/>
      <c r="Q38" s="113"/>
      <c r="R38" s="94"/>
      <c r="S38" s="95"/>
      <c r="T38" s="95"/>
      <c r="U38" s="95"/>
      <c r="V38" s="95"/>
      <c r="W38" s="94"/>
      <c r="X38" s="95"/>
      <c r="Y38" s="95"/>
      <c r="Z38" s="95"/>
      <c r="AA38" s="121"/>
      <c r="AB38" s="111">
        <v>1932.38</v>
      </c>
      <c r="AC38" s="126"/>
      <c r="AD38" s="110"/>
      <c r="AE38" s="110"/>
      <c r="AF38" s="113"/>
      <c r="AG38" s="124">
        <v>344.01600000000002</v>
      </c>
      <c r="AH38" s="116"/>
      <c r="AI38" s="110"/>
      <c r="AJ38" s="110"/>
      <c r="AK38" s="113"/>
    </row>
    <row r="39" spans="1:39" ht="17" thickBot="1" x14ac:dyDescent="0.25">
      <c r="A39" s="215"/>
      <c r="B39" s="136" t="s">
        <v>122</v>
      </c>
      <c r="C39" s="146">
        <v>64.617999999999995</v>
      </c>
      <c r="D39" s="142"/>
      <c r="E39" s="143"/>
      <c r="F39" s="143"/>
      <c r="G39" s="143"/>
      <c r="H39" s="145">
        <v>85.929000000000002</v>
      </c>
      <c r="I39" s="139"/>
      <c r="J39" s="140"/>
      <c r="K39" s="140"/>
      <c r="L39" s="150"/>
      <c r="M39" s="145">
        <v>80.177999999999997</v>
      </c>
      <c r="N39" s="126"/>
      <c r="O39" s="140"/>
      <c r="P39" s="138"/>
      <c r="Q39" s="150"/>
      <c r="R39" s="166"/>
      <c r="S39" s="147"/>
      <c r="T39" s="147"/>
      <c r="U39" s="147"/>
      <c r="V39" s="147"/>
      <c r="W39" s="166"/>
      <c r="X39" s="147"/>
      <c r="Y39" s="147"/>
      <c r="Z39" s="147"/>
      <c r="AA39" s="169"/>
      <c r="AB39" s="145">
        <v>1816.4013500000001</v>
      </c>
      <c r="AC39" s="139"/>
      <c r="AD39" s="138"/>
      <c r="AE39" s="138"/>
      <c r="AF39" s="150"/>
      <c r="AG39" s="151">
        <v>484.23840999999999</v>
      </c>
      <c r="AH39" s="168"/>
      <c r="AI39" s="138"/>
      <c r="AJ39" s="138"/>
      <c r="AK39" s="150"/>
    </row>
    <row r="40" spans="1:39" ht="16" customHeight="1" thickTop="1" x14ac:dyDescent="0.2">
      <c r="A40" s="205" t="s">
        <v>272</v>
      </c>
      <c r="B40" s="128" t="s">
        <v>286</v>
      </c>
      <c r="C40" s="157">
        <v>39.5</v>
      </c>
      <c r="D40" s="129"/>
      <c r="E40" s="129"/>
      <c r="F40" s="129"/>
      <c r="G40" s="129"/>
      <c r="H40" s="130">
        <v>500.2</v>
      </c>
      <c r="I40" s="131"/>
      <c r="J40" s="131"/>
      <c r="K40" s="131"/>
      <c r="L40" s="149"/>
      <c r="M40" s="130">
        <v>419.7</v>
      </c>
      <c r="N40" s="126"/>
      <c r="O40" s="131"/>
      <c r="P40" s="131"/>
      <c r="Q40" s="149"/>
      <c r="R40" s="153" t="s">
        <v>309</v>
      </c>
      <c r="S40" s="157"/>
      <c r="T40" s="157"/>
      <c r="U40" s="157"/>
      <c r="V40" s="157"/>
      <c r="W40" s="153" t="s">
        <v>309</v>
      </c>
      <c r="X40" s="170"/>
      <c r="Y40" s="170"/>
      <c r="Z40" s="170"/>
      <c r="AA40" s="171"/>
      <c r="AB40" s="156">
        <f>AG40*AM40</f>
        <v>20051.338930997488</v>
      </c>
      <c r="AC40" s="135"/>
      <c r="AD40" s="135"/>
      <c r="AE40" s="135"/>
      <c r="AF40" s="149"/>
      <c r="AG40" s="135">
        <v>7890</v>
      </c>
      <c r="AH40" s="135"/>
      <c r="AI40" s="135"/>
      <c r="AJ40" s="135"/>
      <c r="AK40" s="149"/>
      <c r="AM40">
        <v>2.5413610812417602</v>
      </c>
    </row>
    <row r="41" spans="1:39" x14ac:dyDescent="0.2">
      <c r="A41" s="206"/>
      <c r="B41" s="100" t="s">
        <v>287</v>
      </c>
      <c r="C41" s="95">
        <v>0.3</v>
      </c>
      <c r="D41" s="91"/>
      <c r="E41" s="91"/>
      <c r="F41" s="91"/>
      <c r="G41" s="91"/>
      <c r="H41" s="111">
        <v>0.9</v>
      </c>
      <c r="I41" s="110"/>
      <c r="J41" s="110"/>
      <c r="K41" s="110"/>
      <c r="L41" s="113"/>
      <c r="M41" s="111">
        <v>0.7</v>
      </c>
      <c r="N41" s="126"/>
      <c r="O41" s="110"/>
      <c r="P41" s="110"/>
      <c r="Q41" s="113"/>
      <c r="R41" s="154"/>
      <c r="S41" s="95"/>
      <c r="T41" s="95"/>
      <c r="U41" s="95"/>
      <c r="V41" s="95"/>
      <c r="W41" s="154"/>
      <c r="X41" s="95"/>
      <c r="Y41" s="95"/>
      <c r="Z41" s="95"/>
      <c r="AA41" s="121"/>
      <c r="AB41" s="156">
        <f t="shared" ref="AB41:AB52" si="1">AG41*AM41</f>
        <v>88.673736814182149</v>
      </c>
      <c r="AC41" s="110">
        <v>195</v>
      </c>
      <c r="AD41" s="110"/>
      <c r="AE41" s="110"/>
      <c r="AF41" s="113"/>
      <c r="AG41" s="111">
        <v>23.8</v>
      </c>
      <c r="AH41" s="110"/>
      <c r="AI41" s="110"/>
      <c r="AJ41" s="110"/>
      <c r="AK41" s="113"/>
      <c r="AM41">
        <v>3.72578726110009</v>
      </c>
    </row>
    <row r="42" spans="1:39" x14ac:dyDescent="0.2">
      <c r="A42" s="206"/>
      <c r="B42" s="100" t="s">
        <v>288</v>
      </c>
      <c r="C42" s="95">
        <v>87.3</v>
      </c>
      <c r="D42" s="91"/>
      <c r="E42" s="91"/>
      <c r="F42" s="91"/>
      <c r="G42" s="91"/>
      <c r="H42" s="111">
        <v>532</v>
      </c>
      <c r="I42" s="110"/>
      <c r="J42" s="110"/>
      <c r="K42" s="110"/>
      <c r="L42" s="113"/>
      <c r="M42" s="111">
        <v>352.8</v>
      </c>
      <c r="N42" s="126"/>
      <c r="O42" s="110"/>
      <c r="P42" s="110"/>
      <c r="Q42" s="113"/>
      <c r="R42" s="154"/>
      <c r="S42" s="95"/>
      <c r="T42" s="95"/>
      <c r="U42" s="95"/>
      <c r="V42" s="95"/>
      <c r="W42" s="154"/>
      <c r="X42" s="95"/>
      <c r="Y42" s="95"/>
      <c r="Z42" s="95"/>
      <c r="AA42" s="121"/>
      <c r="AB42" s="156">
        <f t="shared" si="1"/>
        <v>17317.663193485801</v>
      </c>
      <c r="AC42" s="110"/>
      <c r="AD42" s="110"/>
      <c r="AE42" s="110"/>
      <c r="AF42" s="113"/>
      <c r="AG42" s="111">
        <v>4471</v>
      </c>
      <c r="AH42" s="110"/>
      <c r="AI42" s="110"/>
      <c r="AJ42" s="110"/>
      <c r="AK42" s="113"/>
      <c r="AM42">
        <v>3.8733310654184301</v>
      </c>
    </row>
    <row r="43" spans="1:39" x14ac:dyDescent="0.2">
      <c r="A43" s="206"/>
      <c r="B43" s="105" t="s">
        <v>289</v>
      </c>
      <c r="C43" s="95">
        <v>28.8</v>
      </c>
      <c r="D43" s="91"/>
      <c r="E43" s="91"/>
      <c r="F43" s="91"/>
      <c r="G43" s="91"/>
      <c r="H43" s="111">
        <v>70.3</v>
      </c>
      <c r="I43" s="110"/>
      <c r="J43" s="110"/>
      <c r="K43" s="110"/>
      <c r="L43" s="113"/>
      <c r="M43" s="111">
        <v>57.7</v>
      </c>
      <c r="N43" s="126"/>
      <c r="O43" s="110"/>
      <c r="P43" s="110"/>
      <c r="Q43" s="113"/>
      <c r="R43" s="154"/>
      <c r="S43" s="95"/>
      <c r="T43" s="95"/>
      <c r="U43" s="95"/>
      <c r="V43" s="95"/>
      <c r="W43" s="154"/>
      <c r="X43" s="95"/>
      <c r="Y43" s="95"/>
      <c r="Z43" s="95"/>
      <c r="AA43" s="121"/>
      <c r="AB43" s="156">
        <f t="shared" si="1"/>
        <v>21766.828887055228</v>
      </c>
      <c r="AC43" s="110"/>
      <c r="AD43" s="110"/>
      <c r="AE43" s="110"/>
      <c r="AF43" s="113"/>
      <c r="AG43" s="111">
        <v>7286</v>
      </c>
      <c r="AH43" s="110"/>
      <c r="AI43" s="110"/>
      <c r="AJ43" s="110"/>
      <c r="AK43" s="113"/>
      <c r="AM43">
        <v>2.9874868085444999</v>
      </c>
    </row>
    <row r="44" spans="1:39" x14ac:dyDescent="0.2">
      <c r="A44" s="206"/>
      <c r="B44" s="105" t="s">
        <v>290</v>
      </c>
      <c r="C44" s="95">
        <v>31.4</v>
      </c>
      <c r="D44" s="91"/>
      <c r="E44" s="91"/>
      <c r="F44" s="91"/>
      <c r="G44" s="91"/>
      <c r="H44" s="111">
        <v>185.1</v>
      </c>
      <c r="I44" s="110"/>
      <c r="J44" s="110"/>
      <c r="K44" s="110"/>
      <c r="L44" s="113"/>
      <c r="M44" s="111">
        <v>158.30000000000001</v>
      </c>
      <c r="N44" s="126"/>
      <c r="O44" s="110"/>
      <c r="P44" s="110"/>
      <c r="Q44" s="113"/>
      <c r="R44" s="154"/>
      <c r="S44" s="95"/>
      <c r="T44" s="95"/>
      <c r="U44" s="95"/>
      <c r="V44" s="95"/>
      <c r="W44" s="154"/>
      <c r="X44" s="95"/>
      <c r="Y44" s="95"/>
      <c r="Z44" s="95"/>
      <c r="AA44" s="121"/>
      <c r="AB44" s="156">
        <f t="shared" si="1"/>
        <v>9544.6549063615203</v>
      </c>
      <c r="AC44" s="110"/>
      <c r="AD44" s="110"/>
      <c r="AE44" s="110"/>
      <c r="AF44" s="113"/>
      <c r="AG44" s="111">
        <v>2993.8</v>
      </c>
      <c r="AH44" s="110"/>
      <c r="AI44" s="110"/>
      <c r="AJ44" s="110"/>
      <c r="AK44" s="113"/>
      <c r="AM44">
        <v>3.1881404590692499</v>
      </c>
    </row>
    <row r="45" spans="1:39" x14ac:dyDescent="0.2">
      <c r="A45" s="206"/>
      <c r="B45" s="105" t="s">
        <v>291</v>
      </c>
      <c r="C45" s="95">
        <v>41.3</v>
      </c>
      <c r="D45" s="91"/>
      <c r="E45" s="91"/>
      <c r="F45" s="91"/>
      <c r="G45" s="91"/>
      <c r="H45" s="111">
        <v>211.5</v>
      </c>
      <c r="I45" s="110"/>
      <c r="J45" s="110"/>
      <c r="K45" s="110"/>
      <c r="L45" s="113"/>
      <c r="M45" s="111">
        <v>189.6</v>
      </c>
      <c r="N45" s="126"/>
      <c r="O45" s="110"/>
      <c r="P45" s="110"/>
      <c r="Q45" s="113"/>
      <c r="R45" s="154"/>
      <c r="S45" s="95"/>
      <c r="T45" s="95"/>
      <c r="U45" s="95"/>
      <c r="V45" s="95"/>
      <c r="W45" s="154"/>
      <c r="X45" s="95"/>
      <c r="Y45" s="95"/>
      <c r="Z45" s="95"/>
      <c r="AA45" s="121"/>
      <c r="AB45" s="156">
        <f t="shared" si="1"/>
        <v>17508.044841976407</v>
      </c>
      <c r="AC45" s="110"/>
      <c r="AD45" s="110"/>
      <c r="AE45" s="110"/>
      <c r="AF45" s="113"/>
      <c r="AG45" s="111">
        <v>3651</v>
      </c>
      <c r="AH45" s="110"/>
      <c r="AI45" s="110"/>
      <c r="AJ45" s="110"/>
      <c r="AK45" s="113"/>
      <c r="AM45">
        <v>4.7954108030611904</v>
      </c>
    </row>
    <row r="46" spans="1:39" x14ac:dyDescent="0.2">
      <c r="A46" s="206"/>
      <c r="B46" s="105" t="s">
        <v>292</v>
      </c>
      <c r="C46" s="95">
        <v>34.9</v>
      </c>
      <c r="D46" s="91"/>
      <c r="E46" s="91"/>
      <c r="F46" s="91"/>
      <c r="G46" s="91"/>
      <c r="H46" s="111">
        <v>37.799999999999997</v>
      </c>
      <c r="I46" s="110"/>
      <c r="J46" s="110"/>
      <c r="K46" s="110"/>
      <c r="L46" s="113"/>
      <c r="M46" s="111">
        <v>36.1</v>
      </c>
      <c r="N46" s="126"/>
      <c r="O46" s="110"/>
      <c r="P46" s="110"/>
      <c r="Q46" s="113"/>
      <c r="R46" s="154"/>
      <c r="S46" s="95"/>
      <c r="T46" s="95"/>
      <c r="U46" s="95"/>
      <c r="V46" s="95"/>
      <c r="W46" s="154"/>
      <c r="X46" s="95"/>
      <c r="Y46" s="95"/>
      <c r="Z46" s="95"/>
      <c r="AA46" s="121"/>
      <c r="AB46" s="156">
        <f t="shared" si="1"/>
        <v>5133.6231037997013</v>
      </c>
      <c r="AC46" s="110"/>
      <c r="AD46" s="110"/>
      <c r="AE46" s="110"/>
      <c r="AF46" s="113"/>
      <c r="AG46" s="111">
        <v>1819.9</v>
      </c>
      <c r="AH46" s="110"/>
      <c r="AI46" s="110"/>
      <c r="AJ46" s="110"/>
      <c r="AK46" s="113"/>
      <c r="AM46">
        <v>2.82082702555069</v>
      </c>
    </row>
    <row r="47" spans="1:39" x14ac:dyDescent="0.2">
      <c r="A47" s="206"/>
      <c r="B47" s="105" t="s">
        <v>293</v>
      </c>
      <c r="C47" s="95">
        <v>56.1</v>
      </c>
      <c r="D47" s="91"/>
      <c r="E47" s="91"/>
      <c r="F47" s="91"/>
      <c r="G47" s="91"/>
      <c r="H47" s="111">
        <v>57.2</v>
      </c>
      <c r="I47" s="110"/>
      <c r="J47" s="110"/>
      <c r="K47" s="110"/>
      <c r="L47" s="113"/>
      <c r="M47" s="111">
        <v>57.4</v>
      </c>
      <c r="N47" s="126"/>
      <c r="O47" s="110"/>
      <c r="P47" s="110"/>
      <c r="Q47" s="113"/>
      <c r="R47" s="154"/>
      <c r="S47" s="95"/>
      <c r="T47" s="95"/>
      <c r="U47" s="95"/>
      <c r="V47" s="95"/>
      <c r="W47" s="154"/>
      <c r="X47" s="95"/>
      <c r="Y47" s="95"/>
      <c r="Z47" s="95"/>
      <c r="AA47" s="121"/>
      <c r="AB47" s="156">
        <f t="shared" si="1"/>
        <v>8257.003443941454</v>
      </c>
      <c r="AC47" s="110"/>
      <c r="AD47" s="110"/>
      <c r="AE47" s="110"/>
      <c r="AF47" s="113"/>
      <c r="AG47" s="111">
        <v>2623.8</v>
      </c>
      <c r="AH47" s="110"/>
      <c r="AI47" s="110"/>
      <c r="AJ47" s="110"/>
      <c r="AK47" s="113"/>
      <c r="AM47">
        <v>3.1469637334939602</v>
      </c>
    </row>
    <row r="48" spans="1:39" x14ac:dyDescent="0.2">
      <c r="A48" s="206"/>
      <c r="B48" s="105" t="s">
        <v>294</v>
      </c>
      <c r="C48" s="95">
        <v>21.7</v>
      </c>
      <c r="D48" s="91"/>
      <c r="E48" s="91"/>
      <c r="F48" s="91"/>
      <c r="G48" s="91"/>
      <c r="H48" s="111">
        <v>254.5</v>
      </c>
      <c r="I48" s="110"/>
      <c r="J48" s="110"/>
      <c r="K48" s="110"/>
      <c r="L48" s="113"/>
      <c r="M48" s="111">
        <v>198.9</v>
      </c>
      <c r="N48" s="126"/>
      <c r="O48" s="110"/>
      <c r="P48" s="110"/>
      <c r="Q48" s="113"/>
      <c r="R48" s="154"/>
      <c r="S48" s="95"/>
      <c r="T48" s="95"/>
      <c r="U48" s="95"/>
      <c r="V48" s="95"/>
      <c r="W48" s="154"/>
      <c r="X48" s="95"/>
      <c r="Y48" s="95"/>
      <c r="Z48" s="95"/>
      <c r="AA48" s="121"/>
      <c r="AB48" s="156">
        <f t="shared" si="1"/>
        <v>16222.974578117368</v>
      </c>
      <c r="AC48" s="110"/>
      <c r="AD48" s="110"/>
      <c r="AE48" s="110"/>
      <c r="AF48" s="113"/>
      <c r="AG48" s="111">
        <v>3536.3</v>
      </c>
      <c r="AH48" s="110"/>
      <c r="AI48" s="110"/>
      <c r="AJ48" s="110"/>
      <c r="AK48" s="113"/>
      <c r="AM48">
        <v>4.58755608351027</v>
      </c>
    </row>
    <row r="49" spans="1:39" x14ac:dyDescent="0.2">
      <c r="A49" s="206"/>
      <c r="B49" s="105" t="s">
        <v>295</v>
      </c>
      <c r="C49" s="95">
        <v>9.9</v>
      </c>
      <c r="D49" s="91"/>
      <c r="E49" s="91"/>
      <c r="F49" s="91"/>
      <c r="G49" s="91"/>
      <c r="H49" s="111">
        <v>56</v>
      </c>
      <c r="I49" s="110"/>
      <c r="J49" s="110"/>
      <c r="K49" s="110"/>
      <c r="L49" s="113"/>
      <c r="M49" s="111">
        <v>40.4</v>
      </c>
      <c r="N49" s="126"/>
      <c r="O49" s="110"/>
      <c r="P49" s="110"/>
      <c r="Q49" s="113"/>
      <c r="R49" s="154"/>
      <c r="S49" s="95"/>
      <c r="T49" s="95"/>
      <c r="U49" s="95"/>
      <c r="V49" s="95"/>
      <c r="W49" s="154"/>
      <c r="X49" s="95"/>
      <c r="Y49" s="95"/>
      <c r="Z49" s="95"/>
      <c r="AA49" s="121"/>
      <c r="AB49" s="156">
        <f t="shared" si="1"/>
        <v>1900.1598858443119</v>
      </c>
      <c r="AC49" s="110"/>
      <c r="AD49" s="110"/>
      <c r="AE49" s="110"/>
      <c r="AF49" s="113"/>
      <c r="AG49" s="111">
        <v>437.5</v>
      </c>
      <c r="AH49" s="110"/>
      <c r="AI49" s="110"/>
      <c r="AJ49" s="110"/>
      <c r="AK49" s="113"/>
      <c r="AM49">
        <v>4.3432225962155702</v>
      </c>
    </row>
    <row r="50" spans="1:39" x14ac:dyDescent="0.2">
      <c r="A50" s="206"/>
      <c r="B50" s="105" t="s">
        <v>296</v>
      </c>
      <c r="C50" s="95">
        <v>71.3</v>
      </c>
      <c r="D50" s="91"/>
      <c r="E50" s="91"/>
      <c r="F50" s="91"/>
      <c r="G50" s="91"/>
      <c r="H50" s="111">
        <v>842.1</v>
      </c>
      <c r="I50" s="110"/>
      <c r="J50" s="110"/>
      <c r="K50" s="110"/>
      <c r="L50" s="113"/>
      <c r="M50" s="111">
        <v>839.7</v>
      </c>
      <c r="N50" s="126"/>
      <c r="O50" s="110"/>
      <c r="P50" s="110"/>
      <c r="Q50" s="113"/>
      <c r="R50" s="155"/>
      <c r="S50" s="167"/>
      <c r="T50" s="167"/>
      <c r="U50" s="167"/>
      <c r="V50" s="167"/>
      <c r="W50" s="154"/>
      <c r="X50" s="95"/>
      <c r="Y50" s="95"/>
      <c r="Z50" s="95"/>
      <c r="AA50" s="121"/>
      <c r="AB50" s="156">
        <f t="shared" si="1"/>
        <v>14551.805383269084</v>
      </c>
      <c r="AC50" s="110"/>
      <c r="AD50" s="110"/>
      <c r="AE50" s="110"/>
      <c r="AF50" s="113"/>
      <c r="AG50" s="111">
        <v>5602</v>
      </c>
      <c r="AH50" s="110"/>
      <c r="AI50" s="110"/>
      <c r="AJ50" s="110"/>
      <c r="AK50" s="113"/>
      <c r="AM50">
        <v>2.5976089580987298</v>
      </c>
    </row>
    <row r="51" spans="1:39" x14ac:dyDescent="0.2">
      <c r="A51" s="206"/>
      <c r="B51" s="105" t="s">
        <v>297</v>
      </c>
      <c r="C51" s="95">
        <v>18.8</v>
      </c>
      <c r="D51" s="91"/>
      <c r="E51" s="91"/>
      <c r="F51" s="91"/>
      <c r="G51" s="91"/>
      <c r="H51" s="110">
        <v>84.8</v>
      </c>
      <c r="I51" s="110"/>
      <c r="J51" s="110"/>
      <c r="K51" s="110"/>
      <c r="L51" s="113"/>
      <c r="M51" s="110">
        <v>73</v>
      </c>
      <c r="N51" s="126"/>
      <c r="O51" s="110"/>
      <c r="P51" s="110"/>
      <c r="Q51" s="113"/>
      <c r="R51" s="154"/>
      <c r="S51" s="95"/>
      <c r="T51" s="95"/>
      <c r="U51" s="95"/>
      <c r="V51" s="95"/>
      <c r="W51" s="154"/>
      <c r="X51" s="95"/>
      <c r="Y51" s="95"/>
      <c r="Z51" s="95"/>
      <c r="AA51" s="121"/>
      <c r="AB51" s="156">
        <f t="shared" si="1"/>
        <v>8749.8873159427367</v>
      </c>
      <c r="AC51" s="110"/>
      <c r="AD51" s="110"/>
      <c r="AE51" s="110"/>
      <c r="AF51" s="113"/>
      <c r="AG51" s="111">
        <v>2152.6</v>
      </c>
      <c r="AH51" s="110"/>
      <c r="AI51" s="110"/>
      <c r="AJ51" s="110"/>
      <c r="AK51" s="113"/>
      <c r="AM51">
        <v>4.0647994592319696</v>
      </c>
    </row>
    <row r="52" spans="1:39" x14ac:dyDescent="0.2">
      <c r="A52" s="206"/>
      <c r="B52" s="105" t="s">
        <v>298</v>
      </c>
      <c r="C52" s="95">
        <v>72.2</v>
      </c>
      <c r="D52" s="91"/>
      <c r="E52" s="91"/>
      <c r="F52" s="91"/>
      <c r="G52" s="91"/>
      <c r="H52" s="110">
        <v>82.5</v>
      </c>
      <c r="I52" s="110"/>
      <c r="J52" s="110"/>
      <c r="K52" s="110"/>
      <c r="L52" s="113"/>
      <c r="M52" s="110">
        <v>78.7</v>
      </c>
      <c r="N52" s="126"/>
      <c r="O52" s="110"/>
      <c r="P52" s="110"/>
      <c r="Q52" s="113"/>
      <c r="R52" s="154"/>
      <c r="S52" s="95"/>
      <c r="T52" s="95"/>
      <c r="U52" s="95"/>
      <c r="V52" s="95"/>
      <c r="W52" s="154"/>
      <c r="X52" s="95"/>
      <c r="Y52" s="95"/>
      <c r="Z52" s="95"/>
      <c r="AA52" s="121"/>
      <c r="AB52" s="156">
        <f t="shared" si="1"/>
        <v>113481.69667516707</v>
      </c>
      <c r="AC52" s="110"/>
      <c r="AD52" s="110"/>
      <c r="AE52" s="110"/>
      <c r="AF52" s="113"/>
      <c r="AG52" s="111">
        <v>23273</v>
      </c>
      <c r="AH52" s="110"/>
      <c r="AI52" s="110"/>
      <c r="AJ52" s="110"/>
      <c r="AK52" s="113"/>
      <c r="AM52">
        <v>4.8761095121027402</v>
      </c>
    </row>
    <row r="53" spans="1:39" x14ac:dyDescent="0.2">
      <c r="AG53" s="87">
        <f>SUM(AG40:AG51)/3600</f>
        <v>11.802138888888889</v>
      </c>
    </row>
    <row r="54" spans="1:39" x14ac:dyDescent="0.2">
      <c r="A54" s="159" t="s">
        <v>302</v>
      </c>
      <c r="B54" s="160"/>
      <c r="C54" s="224" t="s">
        <v>300</v>
      </c>
      <c r="D54" s="225"/>
      <c r="E54" s="225"/>
      <c r="F54" s="225"/>
      <c r="G54" s="225"/>
      <c r="H54" s="225"/>
      <c r="I54" s="226"/>
      <c r="J54" s="223" t="s">
        <v>301</v>
      </c>
      <c r="K54" s="223"/>
      <c r="L54" s="223"/>
      <c r="M54" s="223"/>
      <c r="N54" s="223"/>
      <c r="O54" s="223"/>
      <c r="P54" s="223"/>
    </row>
    <row r="55" spans="1:39" x14ac:dyDescent="0.2">
      <c r="A55" s="161"/>
      <c r="B55" s="162"/>
      <c r="C55" s="86" t="s">
        <v>86</v>
      </c>
      <c r="D55" s="86" t="s">
        <v>233</v>
      </c>
      <c r="E55" s="86" t="s">
        <v>234</v>
      </c>
      <c r="F55" s="89" t="s">
        <v>263</v>
      </c>
      <c r="G55" s="89" t="s">
        <v>262</v>
      </c>
      <c r="H55" s="89" t="s">
        <v>237</v>
      </c>
      <c r="I55" s="89" t="s">
        <v>238</v>
      </c>
      <c r="J55" s="86" t="s">
        <v>285</v>
      </c>
      <c r="K55" s="86" t="s">
        <v>306</v>
      </c>
      <c r="L55" s="86" t="s">
        <v>234</v>
      </c>
      <c r="M55" s="89" t="s">
        <v>261</v>
      </c>
      <c r="N55" s="89" t="s">
        <v>262</v>
      </c>
      <c r="O55" s="89" t="s">
        <v>241</v>
      </c>
      <c r="P55" s="89" t="s">
        <v>238</v>
      </c>
    </row>
    <row r="56" spans="1:39" ht="16" customHeight="1" x14ac:dyDescent="0.2">
      <c r="A56" s="212" t="s">
        <v>271</v>
      </c>
      <c r="B56" s="99" t="s">
        <v>116</v>
      </c>
      <c r="C56" s="117">
        <f t="shared" ref="C56:C64" si="2">AVERAGE(C4:G4)</f>
        <v>25.97</v>
      </c>
      <c r="D56" s="114">
        <f t="shared" ref="D56:D64" si="3">AVERAGE(H4:L4)</f>
        <v>45.805999999999997</v>
      </c>
      <c r="E56" s="114">
        <f t="shared" ref="E56:E64" si="4">AVERAGE(M4:Q4)</f>
        <v>49.231566945804019</v>
      </c>
      <c r="F56" s="114" t="s">
        <v>153</v>
      </c>
      <c r="G56" s="114" t="s">
        <v>153</v>
      </c>
      <c r="H56" s="114">
        <f t="shared" ref="H56:H64" si="5">AVERAGE(AB4:AF4)</f>
        <v>57.71</v>
      </c>
      <c r="I56" s="114">
        <f t="shared" ref="I56:I64" si="6">AVERAGE(AG4:AK4)</f>
        <v>54.771000000000001</v>
      </c>
      <c r="J56" s="117">
        <f>AVERAGE(C31:G31)</f>
        <v>45.112000000000002</v>
      </c>
      <c r="K56" s="114">
        <f t="shared" ref="K56:K64" si="7">AVERAGE(H31:L31)</f>
        <v>58.866</v>
      </c>
      <c r="L56" s="114">
        <f t="shared" ref="L56:L64" si="8">AVERAGE(M31:Q31)</f>
        <v>52.843000000000004</v>
      </c>
      <c r="M56" s="114" t="s">
        <v>153</v>
      </c>
      <c r="N56" s="114" t="s">
        <v>153</v>
      </c>
      <c r="O56" s="114">
        <f t="shared" ref="O56:O64" si="9">AVERAGE(AB31:AF31)</f>
        <v>824.12400000000002</v>
      </c>
      <c r="P56" s="114">
        <f t="shared" ref="P56:P64" si="10">AVERAGE(AG31:AK31)</f>
        <v>211.37200000000001</v>
      </c>
    </row>
    <row r="57" spans="1:39" ht="16" customHeight="1" x14ac:dyDescent="0.2">
      <c r="A57" s="213"/>
      <c r="B57" s="101" t="s">
        <v>117</v>
      </c>
      <c r="C57" s="117">
        <f t="shared" si="2"/>
        <v>39.798000000000002</v>
      </c>
      <c r="D57" s="114">
        <f t="shared" si="3"/>
        <v>108.992</v>
      </c>
      <c r="E57" s="114">
        <f t="shared" si="4"/>
        <v>114.24549999999999</v>
      </c>
      <c r="F57" s="114" t="s">
        <v>153</v>
      </c>
      <c r="G57" s="114" t="s">
        <v>153</v>
      </c>
      <c r="H57" s="114">
        <f t="shared" si="5"/>
        <v>172.54499999999999</v>
      </c>
      <c r="I57" s="114">
        <f t="shared" si="6"/>
        <v>142.46199999999999</v>
      </c>
      <c r="J57" s="117">
        <f t="shared" ref="J57:J64" si="11">AVERAGE(C32:G32)</f>
        <v>104.03</v>
      </c>
      <c r="K57" s="114">
        <f t="shared" si="7"/>
        <v>195.83099999999999</v>
      </c>
      <c r="L57" s="114">
        <f t="shared" si="8"/>
        <v>157.595</v>
      </c>
      <c r="M57" s="114" t="s">
        <v>153</v>
      </c>
      <c r="N57" s="114" t="s">
        <v>153</v>
      </c>
      <c r="O57" s="114">
        <f t="shared" si="9"/>
        <v>4714.7009800000005</v>
      </c>
      <c r="P57" s="114">
        <f t="shared" si="10"/>
        <v>1084.04448</v>
      </c>
    </row>
    <row r="58" spans="1:39" x14ac:dyDescent="0.2">
      <c r="A58" s="213"/>
      <c r="B58" s="101" t="s">
        <v>115</v>
      </c>
      <c r="C58" s="117">
        <f t="shared" si="2"/>
        <v>66.450999999999993</v>
      </c>
      <c r="D58" s="114">
        <f t="shared" si="3"/>
        <v>131.286</v>
      </c>
      <c r="E58" s="114">
        <f t="shared" si="4"/>
        <v>155.2835</v>
      </c>
      <c r="F58" s="114" t="s">
        <v>153</v>
      </c>
      <c r="G58" s="114" t="s">
        <v>153</v>
      </c>
      <c r="H58" s="114">
        <f t="shared" si="5"/>
        <v>821.5</v>
      </c>
      <c r="I58" s="114">
        <f t="shared" si="6"/>
        <v>245.54300000000001</v>
      </c>
      <c r="J58" s="117">
        <f t="shared" si="11"/>
        <v>124.253</v>
      </c>
      <c r="K58" s="114">
        <f t="shared" si="7"/>
        <v>881.1</v>
      </c>
      <c r="L58" s="114">
        <f t="shared" si="8"/>
        <v>754.6</v>
      </c>
      <c r="M58" s="114" t="s">
        <v>153</v>
      </c>
      <c r="N58" s="114" t="s">
        <v>153</v>
      </c>
      <c r="O58" s="114">
        <f t="shared" si="9"/>
        <v>9593.7999999999993</v>
      </c>
      <c r="P58" s="114">
        <f t="shared" si="10"/>
        <v>2347.5459999999998</v>
      </c>
    </row>
    <row r="59" spans="1:39" x14ac:dyDescent="0.2">
      <c r="A59" s="213"/>
      <c r="B59" s="101" t="s">
        <v>118</v>
      </c>
      <c r="C59" s="117">
        <f t="shared" si="2"/>
        <v>116.294</v>
      </c>
      <c r="D59" s="114">
        <f t="shared" si="3"/>
        <v>123.51</v>
      </c>
      <c r="E59" s="114">
        <f t="shared" si="4"/>
        <v>126.715</v>
      </c>
      <c r="F59" s="114" t="s">
        <v>153</v>
      </c>
      <c r="G59" s="114" t="s">
        <v>153</v>
      </c>
      <c r="H59" s="114">
        <f t="shared" si="5"/>
        <v>131.83699999999999</v>
      </c>
      <c r="I59" s="114">
        <f t="shared" si="6"/>
        <v>148.05500000000001</v>
      </c>
      <c r="J59" s="117">
        <f t="shared" si="11"/>
        <v>117.11</v>
      </c>
      <c r="K59" s="114">
        <f t="shared" si="7"/>
        <v>118.09</v>
      </c>
      <c r="L59" s="114">
        <f t="shared" si="8"/>
        <v>118.523</v>
      </c>
      <c r="M59" s="114" t="s">
        <v>153</v>
      </c>
      <c r="N59" s="114" t="s">
        <v>153</v>
      </c>
      <c r="O59" s="114">
        <f t="shared" si="9"/>
        <v>826.63</v>
      </c>
      <c r="P59" s="114">
        <f t="shared" si="10"/>
        <v>237.04599999999999</v>
      </c>
    </row>
    <row r="60" spans="1:39" x14ac:dyDescent="0.2">
      <c r="A60" s="213"/>
      <c r="B60" s="101" t="s">
        <v>156</v>
      </c>
      <c r="C60" s="117">
        <f t="shared" si="2"/>
        <v>38.444000000000003</v>
      </c>
      <c r="D60" s="114">
        <f t="shared" si="3"/>
        <v>53.665999999999997</v>
      </c>
      <c r="E60" s="114">
        <f t="shared" si="4"/>
        <v>55.802999999999997</v>
      </c>
      <c r="F60" s="114" t="s">
        <v>153</v>
      </c>
      <c r="G60" s="114" t="s">
        <v>153</v>
      </c>
      <c r="H60" s="114">
        <f t="shared" si="5"/>
        <v>427.4</v>
      </c>
      <c r="I60" s="114">
        <f t="shared" si="6"/>
        <v>102.843</v>
      </c>
      <c r="J60" s="117">
        <f t="shared" si="11"/>
        <v>60.526000000000003</v>
      </c>
      <c r="K60" s="114">
        <f t="shared" si="7"/>
        <v>566.70000000000005</v>
      </c>
      <c r="L60" s="114">
        <f t="shared" si="8"/>
        <v>560.70000000000005</v>
      </c>
      <c r="M60" s="114" t="s">
        <v>153</v>
      </c>
      <c r="N60" s="114" t="s">
        <v>153</v>
      </c>
      <c r="O60" s="114">
        <f t="shared" si="9"/>
        <v>7450.9030000000002</v>
      </c>
      <c r="P60" s="114">
        <f t="shared" si="10"/>
        <v>2106.29</v>
      </c>
    </row>
    <row r="61" spans="1:39" x14ac:dyDescent="0.2">
      <c r="A61" s="213"/>
      <c r="B61" s="101" t="s">
        <v>119</v>
      </c>
      <c r="C61" s="117">
        <f t="shared" si="2"/>
        <v>29.341000000000001</v>
      </c>
      <c r="D61" s="114">
        <f t="shared" si="3"/>
        <v>53.457000000000001</v>
      </c>
      <c r="E61" s="114">
        <f t="shared" si="4"/>
        <v>56.3765</v>
      </c>
      <c r="F61" s="114" t="s">
        <v>153</v>
      </c>
      <c r="G61" s="114" t="s">
        <v>153</v>
      </c>
      <c r="H61" s="114">
        <f t="shared" si="5"/>
        <v>258.36599999999999</v>
      </c>
      <c r="I61" s="114">
        <f t="shared" si="6"/>
        <v>80.608999999999995</v>
      </c>
      <c r="J61" s="117">
        <f t="shared" si="11"/>
        <v>54.89</v>
      </c>
      <c r="K61" s="114">
        <f t="shared" si="7"/>
        <v>260.33</v>
      </c>
      <c r="L61" s="114">
        <f t="shared" si="8"/>
        <v>174.995</v>
      </c>
      <c r="M61" s="114" t="s">
        <v>153</v>
      </c>
      <c r="N61" s="114" t="s">
        <v>153</v>
      </c>
      <c r="O61" s="114">
        <f t="shared" si="9"/>
        <v>1373.587</v>
      </c>
      <c r="P61" s="114">
        <f t="shared" si="10"/>
        <v>463.80900000000003</v>
      </c>
      <c r="T61" t="s">
        <v>313</v>
      </c>
      <c r="V61" t="s">
        <v>314</v>
      </c>
    </row>
    <row r="62" spans="1:39" x14ac:dyDescent="0.2">
      <c r="A62" s="213"/>
      <c r="B62" s="101" t="s">
        <v>120</v>
      </c>
      <c r="C62" s="117">
        <f t="shared" si="2"/>
        <v>11.135999999999999</v>
      </c>
      <c r="D62" s="114">
        <f t="shared" si="3"/>
        <v>21.411999999999999</v>
      </c>
      <c r="E62" s="114">
        <f t="shared" si="4"/>
        <v>22.782499999999999</v>
      </c>
      <c r="F62" s="114" t="s">
        <v>153</v>
      </c>
      <c r="G62" s="114" t="s">
        <v>153</v>
      </c>
      <c r="H62" s="114">
        <f t="shared" si="5"/>
        <v>84.658000000000001</v>
      </c>
      <c r="I62" s="114">
        <f t="shared" si="6"/>
        <v>29.675999999999998</v>
      </c>
      <c r="J62" s="117">
        <f t="shared" si="11"/>
        <v>23.056999999999999</v>
      </c>
      <c r="K62" s="114">
        <f t="shared" si="7"/>
        <v>91.965999999999994</v>
      </c>
      <c r="L62" s="114">
        <f t="shared" si="8"/>
        <v>73.369</v>
      </c>
      <c r="M62" s="114" t="s">
        <v>153</v>
      </c>
      <c r="N62" s="114" t="s">
        <v>153</v>
      </c>
      <c r="O62" s="114">
        <f t="shared" si="9"/>
        <v>1586.92445</v>
      </c>
      <c r="P62" s="114">
        <f t="shared" si="10"/>
        <v>361.72082</v>
      </c>
      <c r="T62" t="s">
        <v>316</v>
      </c>
      <c r="U62" t="s">
        <v>315</v>
      </c>
      <c r="V62" t="s">
        <v>317</v>
      </c>
      <c r="W62" t="s">
        <v>315</v>
      </c>
    </row>
    <row r="63" spans="1:39" x14ac:dyDescent="0.2">
      <c r="A63" s="213"/>
      <c r="B63" s="101" t="s">
        <v>121</v>
      </c>
      <c r="C63" s="117">
        <f t="shared" si="2"/>
        <v>38.180999999999997</v>
      </c>
      <c r="D63" s="114">
        <f t="shared" si="3"/>
        <v>69.069999999999993</v>
      </c>
      <c r="E63" s="114">
        <f t="shared" si="4"/>
        <v>77.540500000000009</v>
      </c>
      <c r="F63" s="114" t="s">
        <v>153</v>
      </c>
      <c r="G63" s="114" t="s">
        <v>153</v>
      </c>
      <c r="H63" s="114">
        <f t="shared" si="5"/>
        <v>284.53100000000001</v>
      </c>
      <c r="I63" s="114">
        <f t="shared" si="6"/>
        <v>98.882000000000005</v>
      </c>
      <c r="J63" s="117">
        <f t="shared" si="11"/>
        <v>71.13</v>
      </c>
      <c r="K63" s="114">
        <f t="shared" si="7"/>
        <v>316.95800000000003</v>
      </c>
      <c r="L63" s="114">
        <f t="shared" si="8"/>
        <v>197.495</v>
      </c>
      <c r="M63" s="114" t="s">
        <v>153</v>
      </c>
      <c r="N63" s="114" t="s">
        <v>153</v>
      </c>
      <c r="O63" s="114">
        <f t="shared" si="9"/>
        <v>1932.38</v>
      </c>
      <c r="P63" s="114">
        <f t="shared" si="10"/>
        <v>344.01600000000002</v>
      </c>
      <c r="R63" s="238" t="s">
        <v>318</v>
      </c>
      <c r="S63" t="s">
        <v>271</v>
      </c>
      <c r="T63" s="87">
        <f>H66</f>
        <v>5.7004855330384316</v>
      </c>
      <c r="U63" s="87">
        <f>I66</f>
        <v>2.6004717491992952</v>
      </c>
      <c r="V63" s="87">
        <f>O66</f>
        <v>62.547436076140784</v>
      </c>
      <c r="W63" s="87">
        <f>P66</f>
        <v>15.835238211838549</v>
      </c>
    </row>
    <row r="64" spans="1:39" x14ac:dyDescent="0.2">
      <c r="A64" s="213"/>
      <c r="B64" s="101" t="s">
        <v>122</v>
      </c>
      <c r="C64" s="117">
        <f t="shared" si="2"/>
        <v>31.297999999999998</v>
      </c>
      <c r="D64" s="114">
        <f t="shared" si="3"/>
        <v>63.173999999999999</v>
      </c>
      <c r="E64" s="114">
        <f t="shared" si="4"/>
        <v>69.081999999999994</v>
      </c>
      <c r="F64" s="114" t="s">
        <v>153</v>
      </c>
      <c r="G64" s="114" t="s">
        <v>153</v>
      </c>
      <c r="H64" s="114">
        <f t="shared" si="5"/>
        <v>265.66199999999998</v>
      </c>
      <c r="I64" s="114">
        <f t="shared" si="6"/>
        <v>94.488</v>
      </c>
      <c r="J64" s="117">
        <f t="shared" si="11"/>
        <v>64.617999999999995</v>
      </c>
      <c r="K64" s="114">
        <f t="shared" si="7"/>
        <v>85.929000000000002</v>
      </c>
      <c r="L64" s="114">
        <f t="shared" si="8"/>
        <v>80.177999999999997</v>
      </c>
      <c r="M64" s="114" t="s">
        <v>153</v>
      </c>
      <c r="N64" s="114" t="s">
        <v>153</v>
      </c>
      <c r="O64" s="114">
        <f t="shared" si="9"/>
        <v>1816.4013500000001</v>
      </c>
      <c r="P64" s="114">
        <f t="shared" si="10"/>
        <v>484.23840999999999</v>
      </c>
      <c r="R64" s="238"/>
      <c r="S64" t="s">
        <v>305</v>
      </c>
      <c r="T64" s="87">
        <f>H83</f>
        <v>16.217694720521266</v>
      </c>
      <c r="U64" s="87">
        <f>I83</f>
        <v>8.7470148804949286</v>
      </c>
      <c r="V64" s="87">
        <f>O83</f>
        <v>371.24784525334616</v>
      </c>
      <c r="W64" s="87">
        <f>P83</f>
        <v>97.230929064848638</v>
      </c>
    </row>
    <row r="65" spans="1:22" x14ac:dyDescent="0.2">
      <c r="A65" s="158"/>
      <c r="B65" s="101" t="s">
        <v>66</v>
      </c>
      <c r="C65" s="117">
        <f>GEOMEAN(C56:C64)</f>
        <v>36.669910164318871</v>
      </c>
      <c r="D65" s="117">
        <f>GEOMEAN(D56:D64)</f>
        <v>65.336894655578377</v>
      </c>
      <c r="E65" s="117">
        <f>GEOMEAN(E56:E64)</f>
        <v>70.402390225376735</v>
      </c>
      <c r="F65" s="114" t="s">
        <v>153</v>
      </c>
      <c r="G65" s="114" t="s">
        <v>153</v>
      </c>
      <c r="H65" s="117">
        <f>GEOMEAN(H56:H64)</f>
        <v>209.03629238951865</v>
      </c>
      <c r="I65" s="117">
        <f>GEOMEAN(I56:I64)</f>
        <v>95.359065427987304</v>
      </c>
      <c r="J65" s="117">
        <f>GEOMEAN(J56:J64)</f>
        <v>66.086180480459262</v>
      </c>
      <c r="K65" s="117">
        <f>GEOMEAN(K56:K64)</f>
        <v>196.82037506493862</v>
      </c>
      <c r="L65" s="117">
        <f>GEOMEAN(L56:L64)</f>
        <v>163.80437429128131</v>
      </c>
      <c r="M65" s="114" t="s">
        <v>153</v>
      </c>
      <c r="N65" s="114" t="s">
        <v>153</v>
      </c>
      <c r="O65" s="117">
        <f>GEOMEAN(O56:O64)</f>
        <v>2293.6088619205598</v>
      </c>
      <c r="P65" s="117">
        <f>GEOMEAN(P56:P64)</f>
        <v>580.67676265870898</v>
      </c>
    </row>
    <row r="66" spans="1:22" x14ac:dyDescent="0.2">
      <c r="A66" s="158"/>
      <c r="B66" s="163" t="s">
        <v>281</v>
      </c>
      <c r="C66" s="113"/>
      <c r="D66" s="113">
        <f>D65/$C$65</f>
        <v>1.7817576962365591</v>
      </c>
      <c r="E66" s="113">
        <f>E65/$C$65</f>
        <v>1.9198953558899299</v>
      </c>
      <c r="F66" s="113"/>
      <c r="G66" s="113"/>
      <c r="H66" s="113">
        <f>H65/$C$65</f>
        <v>5.7004855330384316</v>
      </c>
      <c r="I66" s="113">
        <f>I65/$C$65</f>
        <v>2.6004717491992952</v>
      </c>
      <c r="J66" s="113"/>
      <c r="K66" s="113">
        <f>K65/$C$65</f>
        <v>5.3673536199838265</v>
      </c>
      <c r="L66" s="113">
        <f>L65/$C$65</f>
        <v>4.4669968799287867</v>
      </c>
      <c r="M66" s="113"/>
      <c r="N66" s="113"/>
      <c r="O66" s="113">
        <f>O65/$C$65</f>
        <v>62.547436076140784</v>
      </c>
      <c r="P66" s="113">
        <f>P65/$C$65</f>
        <v>15.835238211838549</v>
      </c>
    </row>
    <row r="67" spans="1:22" ht="17" thickBot="1" x14ac:dyDescent="0.25">
      <c r="A67" s="158"/>
      <c r="B67" s="164" t="s">
        <v>282</v>
      </c>
      <c r="C67" s="150"/>
      <c r="D67" s="150"/>
      <c r="E67" s="150">
        <f>D66/E66</f>
        <v>0.92804938080110111</v>
      </c>
      <c r="F67" s="150"/>
      <c r="G67" s="150"/>
      <c r="H67" s="150"/>
      <c r="I67" s="150">
        <f>H66/I66</f>
        <v>2.1920966973756411</v>
      </c>
      <c r="J67" s="150"/>
      <c r="K67" s="150"/>
      <c r="L67" s="150">
        <f>K66/L66</f>
        <v>1.2015575036778161</v>
      </c>
      <c r="M67" s="150"/>
      <c r="N67" s="150"/>
      <c r="O67" s="150"/>
      <c r="P67" s="150">
        <f>O66/P66</f>
        <v>3.9498891800301323</v>
      </c>
      <c r="T67" t="s">
        <v>319</v>
      </c>
      <c r="U67" t="s">
        <v>320</v>
      </c>
      <c r="V67" t="s">
        <v>320</v>
      </c>
    </row>
    <row r="68" spans="1:22" ht="17" thickTop="1" x14ac:dyDescent="0.2">
      <c r="A68" s="118"/>
      <c r="B68" s="103"/>
      <c r="C68" s="86" t="s">
        <v>86</v>
      </c>
      <c r="D68" s="86" t="s">
        <v>233</v>
      </c>
      <c r="E68" s="86" t="s">
        <v>234</v>
      </c>
      <c r="F68" s="89" t="s">
        <v>263</v>
      </c>
      <c r="G68" s="89" t="s">
        <v>262</v>
      </c>
      <c r="H68" s="89" t="s">
        <v>237</v>
      </c>
      <c r="I68" s="89" t="s">
        <v>238</v>
      </c>
      <c r="J68" s="178" t="s">
        <v>285</v>
      </c>
      <c r="K68" s="184" t="s">
        <v>306</v>
      </c>
      <c r="L68" s="178" t="s">
        <v>234</v>
      </c>
      <c r="M68" s="179" t="s">
        <v>261</v>
      </c>
      <c r="N68" s="179" t="s">
        <v>262</v>
      </c>
      <c r="O68" s="90" t="s">
        <v>241</v>
      </c>
      <c r="P68" s="179" t="s">
        <v>238</v>
      </c>
      <c r="R68" s="238"/>
      <c r="S68" t="s">
        <v>271</v>
      </c>
      <c r="T68" s="87">
        <f>I67</f>
        <v>2.1920966973756411</v>
      </c>
      <c r="U68" s="87">
        <f>P67</f>
        <v>3.9498891800301323</v>
      </c>
      <c r="V68" s="87"/>
    </row>
    <row r="69" spans="1:22" ht="17" customHeight="1" x14ac:dyDescent="0.2">
      <c r="A69" s="211" t="s">
        <v>272</v>
      </c>
      <c r="B69" s="128" t="s">
        <v>286</v>
      </c>
      <c r="C69" s="148">
        <f t="shared" ref="C69:C81" si="12">AVERAGE(C13:G13)</f>
        <v>35.679999999999993</v>
      </c>
      <c r="D69" s="107">
        <f t="shared" ref="D69:D81" si="13">AVERAGE(H13:L13)</f>
        <v>55.724999999999994</v>
      </c>
      <c r="E69" s="107">
        <f t="shared" ref="E69:E81" si="14">AVERAGE(M13:Q13)</f>
        <v>76.036581508568261</v>
      </c>
      <c r="F69" s="107">
        <f t="shared" ref="F69:F81" si="15">AVERAGE(R13:V13)</f>
        <v>59.650000000000006</v>
      </c>
      <c r="G69" s="107">
        <f t="shared" ref="G69:G81" si="16">AVERAGE(W13:AA13)</f>
        <v>64.825000000000003</v>
      </c>
      <c r="H69" s="107">
        <f t="shared" ref="H69:H81" si="17">AVERAGE(AB13:AF13)</f>
        <v>13896.5</v>
      </c>
      <c r="I69" s="107">
        <f t="shared" ref="I69:I81" si="18">AVERAGE(AG13:AK13)</f>
        <v>4476</v>
      </c>
      <c r="J69" s="180">
        <f t="shared" ref="J69:J81" si="19">AVERAGE(C40:G40)</f>
        <v>39.5</v>
      </c>
      <c r="K69" s="185">
        <f t="shared" ref="K69:K81" si="20">AVERAGE(H40:L40)</f>
        <v>500.2</v>
      </c>
      <c r="L69" s="181">
        <f t="shared" ref="L69:L81" si="21">AVERAGE(M40:Q40)</f>
        <v>419.7</v>
      </c>
      <c r="M69" s="181" t="e">
        <f t="shared" ref="M69:M81" si="22">AVERAGE(R40:V40)</f>
        <v>#DIV/0!</v>
      </c>
      <c r="N69" s="181" t="e">
        <f t="shared" ref="N69:N81" si="23">AVERAGE(W40:AA40)</f>
        <v>#DIV/0!</v>
      </c>
      <c r="O69" s="185">
        <f t="shared" ref="O69:O81" si="24">AVERAGE(AB40:AF40)</f>
        <v>20051.338930997488</v>
      </c>
      <c r="P69" s="181">
        <f t="shared" ref="P69:P81" si="25">AVERAGE(AG40:AK40)</f>
        <v>7890</v>
      </c>
      <c r="R69" s="238"/>
      <c r="S69" t="s">
        <v>305</v>
      </c>
      <c r="T69" s="87">
        <f>I84</f>
        <v>1.8540833578190536</v>
      </c>
      <c r="U69" s="87">
        <f>P84</f>
        <v>3.8182073217231172</v>
      </c>
      <c r="V69" s="87"/>
    </row>
    <row r="70" spans="1:22" ht="16" customHeight="1" x14ac:dyDescent="0.2">
      <c r="A70" s="211"/>
      <c r="B70" s="100" t="s">
        <v>287</v>
      </c>
      <c r="C70" s="117">
        <f t="shared" si="12"/>
        <v>0.3</v>
      </c>
      <c r="D70" s="98">
        <f t="shared" si="13"/>
        <v>0.3</v>
      </c>
      <c r="E70" s="98">
        <f t="shared" si="14"/>
        <v>0.32499999999999996</v>
      </c>
      <c r="F70" s="98">
        <f t="shared" si="15"/>
        <v>0.3</v>
      </c>
      <c r="G70" s="98">
        <f t="shared" si="16"/>
        <v>0.32500000000000001</v>
      </c>
      <c r="H70" s="98">
        <f t="shared" si="17"/>
        <v>0.82499999999999996</v>
      </c>
      <c r="I70" s="98">
        <f t="shared" si="18"/>
        <v>0.4</v>
      </c>
      <c r="J70" s="182">
        <f t="shared" si="19"/>
        <v>0.3</v>
      </c>
      <c r="K70" s="186">
        <f t="shared" si="20"/>
        <v>0.9</v>
      </c>
      <c r="L70" s="183">
        <f t="shared" si="21"/>
        <v>0.7</v>
      </c>
      <c r="M70" s="183" t="e">
        <f t="shared" si="22"/>
        <v>#DIV/0!</v>
      </c>
      <c r="N70" s="183" t="e">
        <f t="shared" si="23"/>
        <v>#DIV/0!</v>
      </c>
      <c r="O70" s="186">
        <f t="shared" si="24"/>
        <v>141.83686840709106</v>
      </c>
      <c r="P70" s="183">
        <f t="shared" si="25"/>
        <v>23.8</v>
      </c>
    </row>
    <row r="71" spans="1:22" x14ac:dyDescent="0.2">
      <c r="A71" s="211"/>
      <c r="B71" s="100" t="s">
        <v>288</v>
      </c>
      <c r="C71" s="117">
        <f t="shared" si="12"/>
        <v>56.679999999999993</v>
      </c>
      <c r="D71" s="98">
        <f t="shared" si="13"/>
        <v>60.25</v>
      </c>
      <c r="E71" s="98">
        <f t="shared" si="14"/>
        <v>131.40098879695597</v>
      </c>
      <c r="F71" s="98">
        <f t="shared" si="15"/>
        <v>60.375</v>
      </c>
      <c r="G71" s="98">
        <f t="shared" si="16"/>
        <v>66.525000000000006</v>
      </c>
      <c r="H71" s="98">
        <f t="shared" si="17"/>
        <v>385.92500000000001</v>
      </c>
      <c r="I71" s="98">
        <f t="shared" si="18"/>
        <v>229</v>
      </c>
      <c r="J71" s="182">
        <f t="shared" si="19"/>
        <v>87.3</v>
      </c>
      <c r="K71" s="186">
        <f t="shared" si="20"/>
        <v>532</v>
      </c>
      <c r="L71" s="183">
        <f t="shared" si="21"/>
        <v>352.8</v>
      </c>
      <c r="M71" s="183" t="e">
        <f t="shared" si="22"/>
        <v>#DIV/0!</v>
      </c>
      <c r="N71" s="183" t="e">
        <f t="shared" si="23"/>
        <v>#DIV/0!</v>
      </c>
      <c r="O71" s="186">
        <f t="shared" si="24"/>
        <v>17317.663193485801</v>
      </c>
      <c r="P71" s="183">
        <f t="shared" si="25"/>
        <v>4471</v>
      </c>
    </row>
    <row r="72" spans="1:22" x14ac:dyDescent="0.2">
      <c r="A72" s="211"/>
      <c r="B72" s="105" t="s">
        <v>289</v>
      </c>
      <c r="C72" s="117">
        <f t="shared" si="12"/>
        <v>28.1</v>
      </c>
      <c r="D72" s="98">
        <f t="shared" si="13"/>
        <v>29</v>
      </c>
      <c r="E72" s="98">
        <f t="shared" si="14"/>
        <v>40.433037811966315</v>
      </c>
      <c r="F72" s="98">
        <f t="shared" si="15"/>
        <v>30.524999999999999</v>
      </c>
      <c r="G72" s="98">
        <f t="shared" si="16"/>
        <v>29.9</v>
      </c>
      <c r="H72" s="98">
        <f t="shared" si="17"/>
        <v>294.52499999999998</v>
      </c>
      <c r="I72" s="98">
        <f t="shared" si="18"/>
        <v>121.5</v>
      </c>
      <c r="J72" s="182">
        <f t="shared" si="19"/>
        <v>28.8</v>
      </c>
      <c r="K72" s="186">
        <f t="shared" si="20"/>
        <v>70.3</v>
      </c>
      <c r="L72" s="183">
        <f t="shared" si="21"/>
        <v>57.7</v>
      </c>
      <c r="M72" s="183" t="e">
        <f t="shared" si="22"/>
        <v>#DIV/0!</v>
      </c>
      <c r="N72" s="183" t="e">
        <f t="shared" si="23"/>
        <v>#DIV/0!</v>
      </c>
      <c r="O72" s="186">
        <f t="shared" si="24"/>
        <v>21766.828887055228</v>
      </c>
      <c r="P72" s="183">
        <f t="shared" si="25"/>
        <v>7286</v>
      </c>
    </row>
    <row r="73" spans="1:22" x14ac:dyDescent="0.2">
      <c r="A73" s="211"/>
      <c r="B73" s="105" t="s">
        <v>290</v>
      </c>
      <c r="C73" s="117">
        <f t="shared" si="12"/>
        <v>29.880000000000003</v>
      </c>
      <c r="D73" s="98">
        <f t="shared" si="13"/>
        <v>36.75</v>
      </c>
      <c r="E73" s="98">
        <f t="shared" si="14"/>
        <v>36.583055910395757</v>
      </c>
      <c r="F73" s="98">
        <f t="shared" si="15"/>
        <v>37.549999999999997</v>
      </c>
      <c r="G73" s="98">
        <f t="shared" si="16"/>
        <v>36.549999999999997</v>
      </c>
      <c r="H73" s="98">
        <f t="shared" si="17"/>
        <v>945.07499999999993</v>
      </c>
      <c r="I73" s="98">
        <f t="shared" si="18"/>
        <v>593.4</v>
      </c>
      <c r="J73" s="182">
        <f t="shared" si="19"/>
        <v>31.4</v>
      </c>
      <c r="K73" s="186">
        <f t="shared" si="20"/>
        <v>185.1</v>
      </c>
      <c r="L73" s="183">
        <f t="shared" si="21"/>
        <v>158.30000000000001</v>
      </c>
      <c r="M73" s="183" t="e">
        <f t="shared" si="22"/>
        <v>#DIV/0!</v>
      </c>
      <c r="N73" s="183" t="e">
        <f t="shared" si="23"/>
        <v>#DIV/0!</v>
      </c>
      <c r="O73" s="186">
        <f t="shared" si="24"/>
        <v>9544.6549063615203</v>
      </c>
      <c r="P73" s="183">
        <f t="shared" si="25"/>
        <v>2993.8</v>
      </c>
    </row>
    <row r="74" spans="1:22" x14ac:dyDescent="0.2">
      <c r="A74" s="211"/>
      <c r="B74" s="105" t="s">
        <v>291</v>
      </c>
      <c r="C74" s="117">
        <f t="shared" si="12"/>
        <v>40.660000000000004</v>
      </c>
      <c r="D74" s="98">
        <f t="shared" si="13"/>
        <v>51.375</v>
      </c>
      <c r="E74" s="98">
        <f t="shared" si="14"/>
        <v>49.348221616070603</v>
      </c>
      <c r="F74" s="98">
        <f t="shared" si="15"/>
        <v>53.024999999999999</v>
      </c>
      <c r="G74" s="98">
        <f t="shared" si="16"/>
        <v>49.475000000000001</v>
      </c>
      <c r="H74" s="98">
        <f t="shared" si="17"/>
        <v>1021.075</v>
      </c>
      <c r="I74" s="98">
        <f t="shared" si="18"/>
        <v>548</v>
      </c>
      <c r="J74" s="182">
        <f t="shared" si="19"/>
        <v>41.3</v>
      </c>
      <c r="K74" s="186">
        <f t="shared" si="20"/>
        <v>211.5</v>
      </c>
      <c r="L74" s="183">
        <f t="shared" si="21"/>
        <v>189.6</v>
      </c>
      <c r="M74" s="183" t="e">
        <f t="shared" si="22"/>
        <v>#DIV/0!</v>
      </c>
      <c r="N74" s="183" t="e">
        <f t="shared" si="23"/>
        <v>#DIV/0!</v>
      </c>
      <c r="O74" s="186">
        <f t="shared" si="24"/>
        <v>17508.044841976407</v>
      </c>
      <c r="P74" s="183">
        <f t="shared" si="25"/>
        <v>3651</v>
      </c>
      <c r="R74" s="34">
        <f>GEOMEAN(H70:H81)</f>
        <v>278.82582306184219</v>
      </c>
      <c r="S74" s="34">
        <f>GEOMEAN(I70:I81)</f>
        <v>156.98599573893128</v>
      </c>
    </row>
    <row r="75" spans="1:22" x14ac:dyDescent="0.2">
      <c r="A75" s="211"/>
      <c r="B75" s="175" t="s">
        <v>292</v>
      </c>
      <c r="C75" s="176">
        <f t="shared" si="12"/>
        <v>35.559999999999995</v>
      </c>
      <c r="D75" s="103">
        <f t="shared" si="13"/>
        <v>37.700000000000003</v>
      </c>
      <c r="E75" s="103">
        <f t="shared" si="14"/>
        <v>39.701800495226941</v>
      </c>
      <c r="F75" s="103">
        <f t="shared" si="15"/>
        <v>39.299999999999997</v>
      </c>
      <c r="G75" s="103">
        <f t="shared" si="16"/>
        <v>38.725000000000009</v>
      </c>
      <c r="H75" s="103">
        <f t="shared" si="17"/>
        <v>37.924999999999997</v>
      </c>
      <c r="I75" s="103">
        <f t="shared" si="18"/>
        <v>39.4</v>
      </c>
      <c r="J75" s="182">
        <f t="shared" si="19"/>
        <v>34.9</v>
      </c>
      <c r="K75" s="186">
        <f t="shared" si="20"/>
        <v>37.799999999999997</v>
      </c>
      <c r="L75" s="183">
        <f t="shared" si="21"/>
        <v>36.1</v>
      </c>
      <c r="M75" s="183" t="e">
        <f t="shared" si="22"/>
        <v>#DIV/0!</v>
      </c>
      <c r="N75" s="183" t="e">
        <f t="shared" si="23"/>
        <v>#DIV/0!</v>
      </c>
      <c r="O75" s="186">
        <f t="shared" si="24"/>
        <v>5133.6231037997013</v>
      </c>
      <c r="P75" s="183">
        <f t="shared" si="25"/>
        <v>1819.9</v>
      </c>
      <c r="R75" s="34"/>
      <c r="S75" s="34">
        <f>R74/S74</f>
        <v>1.7761190846954993</v>
      </c>
    </row>
    <row r="76" spans="1:22" x14ac:dyDescent="0.2">
      <c r="A76" s="211"/>
      <c r="B76" s="175" t="s">
        <v>293</v>
      </c>
      <c r="C76" s="176">
        <f t="shared" si="12"/>
        <v>57.2</v>
      </c>
      <c r="D76" s="103">
        <f t="shared" si="13"/>
        <v>58.05</v>
      </c>
      <c r="E76" s="103">
        <f t="shared" si="14"/>
        <v>57.85</v>
      </c>
      <c r="F76" s="103">
        <f t="shared" si="15"/>
        <v>58.524999999999999</v>
      </c>
      <c r="G76" s="103">
        <f t="shared" si="16"/>
        <v>57.774999999999999</v>
      </c>
      <c r="H76" s="103">
        <f t="shared" si="17"/>
        <v>65.650000000000006</v>
      </c>
      <c r="I76" s="103">
        <f t="shared" si="18"/>
        <v>60.8</v>
      </c>
      <c r="J76" s="182">
        <f t="shared" si="19"/>
        <v>56.1</v>
      </c>
      <c r="K76" s="186">
        <f t="shared" si="20"/>
        <v>57.2</v>
      </c>
      <c r="L76" s="183">
        <f t="shared" si="21"/>
        <v>57.4</v>
      </c>
      <c r="M76" s="183" t="e">
        <f t="shared" si="22"/>
        <v>#DIV/0!</v>
      </c>
      <c r="N76" s="183" t="e">
        <f t="shared" si="23"/>
        <v>#DIV/0!</v>
      </c>
      <c r="O76" s="186">
        <f t="shared" si="24"/>
        <v>8257.003443941454</v>
      </c>
      <c r="P76" s="183">
        <f t="shared" si="25"/>
        <v>2623.8</v>
      </c>
    </row>
    <row r="77" spans="1:22" x14ac:dyDescent="0.2">
      <c r="A77" s="211"/>
      <c r="B77" s="175" t="s">
        <v>294</v>
      </c>
      <c r="C77" s="176">
        <f t="shared" si="12"/>
        <v>19.399999999999999</v>
      </c>
      <c r="D77" s="103">
        <f t="shared" si="13"/>
        <v>32.4</v>
      </c>
      <c r="E77" s="103">
        <f t="shared" si="14"/>
        <v>44.528464376639391</v>
      </c>
      <c r="F77" s="103">
        <f t="shared" si="15"/>
        <v>32.549999999999997</v>
      </c>
      <c r="G77" s="103">
        <f t="shared" si="16"/>
        <v>37.875</v>
      </c>
      <c r="H77" s="103">
        <f t="shared" si="17"/>
        <v>10079.75</v>
      </c>
      <c r="I77" s="103">
        <f t="shared" si="18"/>
        <v>3043.4</v>
      </c>
      <c r="J77" s="182">
        <f t="shared" si="19"/>
        <v>21.7</v>
      </c>
      <c r="K77" s="186">
        <f t="shared" si="20"/>
        <v>254.5</v>
      </c>
      <c r="L77" s="183">
        <f t="shared" si="21"/>
        <v>198.9</v>
      </c>
      <c r="M77" s="183" t="e">
        <f t="shared" si="22"/>
        <v>#DIV/0!</v>
      </c>
      <c r="N77" s="183" t="e">
        <f t="shared" si="23"/>
        <v>#DIV/0!</v>
      </c>
      <c r="O77" s="186">
        <f t="shared" si="24"/>
        <v>16222.974578117368</v>
      </c>
      <c r="P77" s="183">
        <f t="shared" si="25"/>
        <v>3536.3</v>
      </c>
    </row>
    <row r="78" spans="1:22" x14ac:dyDescent="0.2">
      <c r="A78" s="211"/>
      <c r="B78" s="175" t="s">
        <v>295</v>
      </c>
      <c r="C78" s="176">
        <f t="shared" si="12"/>
        <v>10.6</v>
      </c>
      <c r="D78" s="103">
        <f t="shared" si="13"/>
        <v>10.975000000000001</v>
      </c>
      <c r="E78" s="103">
        <f t="shared" si="14"/>
        <v>13.649999378589509</v>
      </c>
      <c r="F78" s="103">
        <f t="shared" si="15"/>
        <v>10.975</v>
      </c>
      <c r="G78" s="103">
        <f t="shared" si="16"/>
        <v>11.425000000000001</v>
      </c>
      <c r="H78" s="103">
        <f t="shared" si="17"/>
        <v>248.32499999999999</v>
      </c>
      <c r="I78" s="103">
        <f t="shared" si="18"/>
        <v>119.5</v>
      </c>
      <c r="J78" s="182">
        <f t="shared" si="19"/>
        <v>9.9</v>
      </c>
      <c r="K78" s="186">
        <f t="shared" si="20"/>
        <v>56</v>
      </c>
      <c r="L78" s="183">
        <f t="shared" si="21"/>
        <v>40.4</v>
      </c>
      <c r="M78" s="183" t="e">
        <f t="shared" si="22"/>
        <v>#DIV/0!</v>
      </c>
      <c r="N78" s="183" t="e">
        <f t="shared" si="23"/>
        <v>#DIV/0!</v>
      </c>
      <c r="O78" s="186">
        <f t="shared" si="24"/>
        <v>1900.1598858443119</v>
      </c>
      <c r="P78" s="183">
        <f t="shared" si="25"/>
        <v>437.5</v>
      </c>
    </row>
    <row r="79" spans="1:22" x14ac:dyDescent="0.2">
      <c r="A79" s="211"/>
      <c r="B79" s="175" t="s">
        <v>296</v>
      </c>
      <c r="C79" s="176">
        <f t="shared" si="12"/>
        <v>59.279999999999994</v>
      </c>
      <c r="D79" s="103">
        <f t="shared" si="13"/>
        <v>68.325000000000003</v>
      </c>
      <c r="E79" s="103">
        <f t="shared" si="14"/>
        <v>96.721900965009212</v>
      </c>
      <c r="F79" s="177">
        <f t="shared" si="15"/>
        <v>72.275000000000006</v>
      </c>
      <c r="G79" s="177">
        <f t="shared" si="16"/>
        <v>62.550000000000004</v>
      </c>
      <c r="H79" s="103">
        <f t="shared" si="17"/>
        <v>4531</v>
      </c>
      <c r="I79" s="103">
        <f t="shared" si="18"/>
        <v>3181.7</v>
      </c>
      <c r="J79" s="182">
        <f t="shared" si="19"/>
        <v>71.3</v>
      </c>
      <c r="K79" s="186">
        <f t="shared" si="20"/>
        <v>842.1</v>
      </c>
      <c r="L79" s="183">
        <f t="shared" si="21"/>
        <v>839.7</v>
      </c>
      <c r="M79" s="183" t="e">
        <f t="shared" si="22"/>
        <v>#DIV/0!</v>
      </c>
      <c r="N79" s="183" t="e">
        <f t="shared" si="23"/>
        <v>#DIV/0!</v>
      </c>
      <c r="O79" s="186">
        <f t="shared" si="24"/>
        <v>14551.805383269084</v>
      </c>
      <c r="P79" s="183">
        <f t="shared" si="25"/>
        <v>5602</v>
      </c>
    </row>
    <row r="80" spans="1:22" x14ac:dyDescent="0.2">
      <c r="A80" s="211"/>
      <c r="B80" s="175" t="s">
        <v>297</v>
      </c>
      <c r="C80" s="176">
        <f t="shared" si="12"/>
        <v>17.8</v>
      </c>
      <c r="D80" s="103">
        <f t="shared" si="13"/>
        <v>20.475000000000001</v>
      </c>
      <c r="E80" s="103">
        <f t="shared" si="14"/>
        <v>25.283752773442885</v>
      </c>
      <c r="F80" s="177">
        <f t="shared" si="15"/>
        <v>21.225000000000001</v>
      </c>
      <c r="G80" s="177">
        <f t="shared" si="16"/>
        <v>22.049999999999997</v>
      </c>
      <c r="H80" s="103">
        <f t="shared" si="17"/>
        <v>385.5333333333333</v>
      </c>
      <c r="I80" s="103">
        <f t="shared" si="18"/>
        <v>174</v>
      </c>
      <c r="J80" s="182">
        <f t="shared" si="19"/>
        <v>18.8</v>
      </c>
      <c r="K80" s="186">
        <f t="shared" si="20"/>
        <v>84.8</v>
      </c>
      <c r="L80" s="183">
        <f t="shared" si="21"/>
        <v>73</v>
      </c>
      <c r="M80" s="183" t="e">
        <f t="shared" si="22"/>
        <v>#DIV/0!</v>
      </c>
      <c r="N80" s="183" t="e">
        <f t="shared" si="23"/>
        <v>#DIV/0!</v>
      </c>
      <c r="O80" s="186">
        <f t="shared" si="24"/>
        <v>8749.8873159427367</v>
      </c>
      <c r="P80" s="183">
        <f t="shared" si="25"/>
        <v>2152.6</v>
      </c>
    </row>
    <row r="81" spans="1:22" x14ac:dyDescent="0.2">
      <c r="A81" s="211"/>
      <c r="B81" s="105" t="s">
        <v>298</v>
      </c>
      <c r="C81" s="117">
        <f t="shared" si="12"/>
        <v>62.519999999999996</v>
      </c>
      <c r="D81" s="98">
        <f t="shared" si="13"/>
        <v>70.125</v>
      </c>
      <c r="E81" s="98">
        <f t="shared" si="14"/>
        <v>82.093494149464988</v>
      </c>
      <c r="F81" s="172">
        <f t="shared" si="15"/>
        <v>72.55</v>
      </c>
      <c r="G81" s="172">
        <f t="shared" si="16"/>
        <v>73.224999999999994</v>
      </c>
      <c r="H81" s="98">
        <f t="shared" si="17"/>
        <v>224.13333333333333</v>
      </c>
      <c r="I81" s="98">
        <f t="shared" si="18"/>
        <v>128.35000000000002</v>
      </c>
      <c r="J81" s="182">
        <f t="shared" si="19"/>
        <v>72.2</v>
      </c>
      <c r="K81" s="186">
        <f t="shared" si="20"/>
        <v>82.5</v>
      </c>
      <c r="L81" s="183">
        <f t="shared" si="21"/>
        <v>78.7</v>
      </c>
      <c r="M81" s="183" t="e">
        <f t="shared" si="22"/>
        <v>#DIV/0!</v>
      </c>
      <c r="N81" s="183" t="e">
        <f t="shared" si="23"/>
        <v>#DIV/0!</v>
      </c>
      <c r="O81" s="186">
        <f t="shared" si="24"/>
        <v>113481.69667516707</v>
      </c>
      <c r="P81" s="183">
        <f t="shared" si="25"/>
        <v>23273</v>
      </c>
    </row>
    <row r="82" spans="1:22" x14ac:dyDescent="0.2">
      <c r="A82" s="211"/>
      <c r="B82" s="103" t="s">
        <v>66</v>
      </c>
      <c r="C82" s="98">
        <f>GEOMEAN(C69:C81)</f>
        <v>23.22343018950146</v>
      </c>
      <c r="D82" s="98">
        <f t="shared" ref="D82:I82" si="26">GEOMEAN(D69:D81)</f>
        <v>27.079388542501079</v>
      </c>
      <c r="E82" s="98">
        <f t="shared" si="26"/>
        <v>33.480833839521722</v>
      </c>
      <c r="F82" s="98">
        <f t="shared" si="26"/>
        <v>27.829143132104864</v>
      </c>
      <c r="G82" s="98">
        <f t="shared" si="26"/>
        <v>28.282797141138214</v>
      </c>
      <c r="H82" s="98">
        <f t="shared" si="26"/>
        <v>376.630501176672</v>
      </c>
      <c r="I82" s="98">
        <f t="shared" si="26"/>
        <v>203.13568944370442</v>
      </c>
      <c r="J82" s="183">
        <f t="shared" ref="J82" si="27">GEOMEAN(J70:J81)</f>
        <v>24.173504913238883</v>
      </c>
      <c r="K82" s="186">
        <f t="shared" ref="K82" si="28">GEOMEAN(K70:K81)</f>
        <v>88.763335587324903</v>
      </c>
      <c r="L82" s="183">
        <f t="shared" ref="L82" si="29">GEOMEAN(L70:L81)</f>
        <v>75.508913657302685</v>
      </c>
      <c r="M82" s="183" t="e">
        <f t="shared" ref="M82" si="30">GEOMEAN(M70:M81)</f>
        <v>#DIV/0!</v>
      </c>
      <c r="N82" s="183" t="e">
        <f t="shared" ref="N82" si="31">GEOMEAN(N70:N81)</f>
        <v>#DIV/0!</v>
      </c>
      <c r="O82" s="186">
        <f t="shared" ref="O82" si="32">GEOMEAN(O70:O81)</f>
        <v>8621.648417243925</v>
      </c>
      <c r="P82" s="183">
        <f t="shared" ref="P82" si="33">GEOMEAN(P70:P81)</f>
        <v>2258.035693397881</v>
      </c>
    </row>
    <row r="83" spans="1:22" x14ac:dyDescent="0.2">
      <c r="A83" s="211"/>
      <c r="B83" s="163" t="s">
        <v>281</v>
      </c>
      <c r="C83" s="163"/>
      <c r="D83" s="163">
        <f t="shared" ref="D83:I83" si="34">D82/$C$82</f>
        <v>1.1660374165889915</v>
      </c>
      <c r="E83" s="163">
        <f t="shared" si="34"/>
        <v>1.441683401905774</v>
      </c>
      <c r="F83" s="173">
        <f t="shared" si="34"/>
        <v>1.1983218200335235</v>
      </c>
      <c r="G83" s="173">
        <f t="shared" si="34"/>
        <v>1.2178561440042532</v>
      </c>
      <c r="H83" s="163">
        <f t="shared" si="34"/>
        <v>16.217694720521266</v>
      </c>
      <c r="I83" s="163">
        <f t="shared" si="34"/>
        <v>8.7470148804949286</v>
      </c>
      <c r="J83" s="163"/>
      <c r="K83" s="163">
        <f t="shared" ref="K83:P83" si="35">K82/$C$82</f>
        <v>3.8221457753235719</v>
      </c>
      <c r="L83" s="163">
        <f t="shared" si="35"/>
        <v>3.2514108829382899</v>
      </c>
      <c r="M83" s="163" t="e">
        <f t="shared" si="35"/>
        <v>#DIV/0!</v>
      </c>
      <c r="N83" s="163" t="e">
        <f t="shared" si="35"/>
        <v>#DIV/0!</v>
      </c>
      <c r="O83" s="163">
        <f t="shared" si="35"/>
        <v>371.24784525334616</v>
      </c>
      <c r="P83" s="163">
        <f t="shared" si="35"/>
        <v>97.230929064848638</v>
      </c>
    </row>
    <row r="84" spans="1:22" x14ac:dyDescent="0.2">
      <c r="A84" s="211"/>
      <c r="B84" s="163" t="s">
        <v>282</v>
      </c>
      <c r="C84" s="163"/>
      <c r="D84" s="163"/>
      <c r="E84" s="163">
        <f>D83/E83</f>
        <v>0.80880269208038069</v>
      </c>
      <c r="F84" s="173"/>
      <c r="G84" s="173">
        <f>F82/G82</f>
        <v>0.98396007273363018</v>
      </c>
      <c r="H84" s="163"/>
      <c r="I84" s="163">
        <f>H82/I82</f>
        <v>1.8540833578190536</v>
      </c>
      <c r="J84" s="163"/>
      <c r="K84" s="163"/>
      <c r="L84" s="163"/>
      <c r="M84" s="163"/>
      <c r="N84" s="163" t="e">
        <f>M82/N82</f>
        <v>#DIV/0!</v>
      </c>
      <c r="O84" s="163"/>
      <c r="P84" s="163">
        <f>O82/P82</f>
        <v>3.8182073217231172</v>
      </c>
    </row>
    <row r="86" spans="1:22" x14ac:dyDescent="0.2">
      <c r="A86" s="8"/>
      <c r="B86" s="8" t="s">
        <v>271</v>
      </c>
      <c r="C86" s="8"/>
      <c r="D86" s="8" t="s">
        <v>86</v>
      </c>
      <c r="E86" s="8" t="s">
        <v>303</v>
      </c>
      <c r="F86" s="8" t="s">
        <v>304</v>
      </c>
      <c r="H86" s="8"/>
      <c r="I86" s="8"/>
      <c r="J86" s="8"/>
      <c r="K86" s="8" t="s">
        <v>86</v>
      </c>
      <c r="L86" s="8" t="s">
        <v>303</v>
      </c>
      <c r="M86" s="8" t="s">
        <v>304</v>
      </c>
      <c r="N86" s="8"/>
      <c r="O86" s="8"/>
      <c r="P86" s="8"/>
      <c r="Q86" s="8" t="s">
        <v>86</v>
      </c>
      <c r="R86" s="8" t="s">
        <v>303</v>
      </c>
      <c r="S86" s="8" t="s">
        <v>304</v>
      </c>
    </row>
    <row r="87" spans="1:22" ht="16" customHeight="1" x14ac:dyDescent="0.2">
      <c r="A87" s="239" t="s">
        <v>307</v>
      </c>
      <c r="B87" s="99" t="s">
        <v>116</v>
      </c>
      <c r="C87" s="8" t="s">
        <v>237</v>
      </c>
      <c r="D87" s="127">
        <f>C56</f>
        <v>25.97</v>
      </c>
      <c r="E87" s="127">
        <f>D56-C56</f>
        <v>19.835999999999999</v>
      </c>
      <c r="F87" s="127">
        <f>H56-D56</f>
        <v>11.904000000000003</v>
      </c>
      <c r="G87" s="187">
        <f>E87/SUM(D87:F87)</f>
        <v>0.3437185929648241</v>
      </c>
      <c r="H87" s="236" t="s">
        <v>310</v>
      </c>
      <c r="I87" s="100" t="s">
        <v>286</v>
      </c>
      <c r="J87" s="8" t="s">
        <v>263</v>
      </c>
      <c r="K87" s="127">
        <f>C69</f>
        <v>35.679999999999993</v>
      </c>
      <c r="L87" s="127">
        <f>D69-C69</f>
        <v>20.045000000000002</v>
      </c>
      <c r="M87" s="127">
        <f>F69-D69</f>
        <v>3.9250000000000114</v>
      </c>
      <c r="N87" s="237" t="s">
        <v>311</v>
      </c>
      <c r="O87" s="100" t="s">
        <v>286</v>
      </c>
      <c r="P87" s="8" t="s">
        <v>312</v>
      </c>
      <c r="Q87" s="127">
        <f>J69</f>
        <v>39.5</v>
      </c>
      <c r="R87" s="127">
        <f>K69-J69</f>
        <v>460.7</v>
      </c>
      <c r="S87" s="127">
        <f>O69-K69</f>
        <v>19551.138930997487</v>
      </c>
      <c r="T87" s="127"/>
      <c r="U87" s="127"/>
      <c r="V87" s="127"/>
    </row>
    <row r="88" spans="1:22" ht="16" customHeight="1" x14ac:dyDescent="0.2">
      <c r="A88" s="240"/>
      <c r="B88" s="99"/>
      <c r="C88" s="8" t="s">
        <v>238</v>
      </c>
      <c r="D88" s="127">
        <f>C56</f>
        <v>25.97</v>
      </c>
      <c r="E88" s="127">
        <f>E56-C56</f>
        <v>23.26156694580402</v>
      </c>
      <c r="F88" s="127">
        <f>I56-E56</f>
        <v>5.5394330541959818</v>
      </c>
      <c r="G88" s="187">
        <f t="shared" ref="G88:G126" si="36">E88/SUM(D88:F88)</f>
        <v>0.42470590176925782</v>
      </c>
      <c r="H88" s="236"/>
      <c r="I88" s="8"/>
      <c r="J88" s="8" t="s">
        <v>262</v>
      </c>
      <c r="K88" s="127">
        <f>K87</f>
        <v>35.679999999999993</v>
      </c>
      <c r="L88" s="127">
        <f>E69-C69</f>
        <v>40.356581508568269</v>
      </c>
      <c r="M88" s="127">
        <f>G69-E69</f>
        <v>-11.211581508568258</v>
      </c>
      <c r="N88" s="237"/>
      <c r="O88" s="8"/>
      <c r="P88" s="8" t="s">
        <v>238</v>
      </c>
      <c r="Q88" s="127">
        <f>Q87</f>
        <v>39.5</v>
      </c>
      <c r="R88" s="127">
        <f>L69-J69</f>
        <v>380.2</v>
      </c>
      <c r="S88" s="127">
        <f>P69-L69</f>
        <v>7470.3</v>
      </c>
      <c r="T88" s="127"/>
      <c r="U88" s="127"/>
      <c r="V88" s="127"/>
    </row>
    <row r="89" spans="1:22" x14ac:dyDescent="0.2">
      <c r="A89" s="240"/>
      <c r="B89" s="101" t="s">
        <v>117</v>
      </c>
      <c r="C89" s="8" t="s">
        <v>237</v>
      </c>
      <c r="D89" s="127">
        <f>C57</f>
        <v>39.798000000000002</v>
      </c>
      <c r="E89" s="127">
        <f>D57-C57</f>
        <v>69.194000000000003</v>
      </c>
      <c r="F89" s="127">
        <f>H57-D57</f>
        <v>63.552999999999983</v>
      </c>
      <c r="G89" s="187">
        <f t="shared" si="36"/>
        <v>0.4010200237619172</v>
      </c>
      <c r="H89" s="236"/>
      <c r="I89" s="8"/>
      <c r="J89" s="8" t="s">
        <v>237</v>
      </c>
      <c r="K89" s="127">
        <f>K88</f>
        <v>35.679999999999993</v>
      </c>
      <c r="L89" s="127">
        <f>L87</f>
        <v>20.045000000000002</v>
      </c>
      <c r="M89" s="127">
        <f>H69-D69</f>
        <v>13840.775</v>
      </c>
      <c r="N89" s="237"/>
      <c r="O89" s="100" t="s">
        <v>287</v>
      </c>
      <c r="P89" s="8" t="s">
        <v>312</v>
      </c>
      <c r="Q89" s="127">
        <f>J70</f>
        <v>0.3</v>
      </c>
      <c r="R89" s="127">
        <f>K70-J70</f>
        <v>0.60000000000000009</v>
      </c>
      <c r="S89" s="127">
        <f>O70-K70</f>
        <v>140.93686840709105</v>
      </c>
      <c r="T89" s="127"/>
      <c r="U89" s="127"/>
      <c r="V89" s="127"/>
    </row>
    <row r="90" spans="1:22" x14ac:dyDescent="0.2">
      <c r="A90" s="240"/>
      <c r="B90" s="101"/>
      <c r="C90" s="8" t="s">
        <v>238</v>
      </c>
      <c r="D90" s="127">
        <f>C57</f>
        <v>39.798000000000002</v>
      </c>
      <c r="E90" s="127">
        <f>E57-C57</f>
        <v>74.447499999999991</v>
      </c>
      <c r="F90" s="127">
        <f>I57-E57</f>
        <v>28.216499999999996</v>
      </c>
      <c r="G90" s="187">
        <f t="shared" si="36"/>
        <v>0.52257795061139112</v>
      </c>
      <c r="H90" s="236"/>
      <c r="I90" s="8"/>
      <c r="J90" s="8" t="s">
        <v>238</v>
      </c>
      <c r="K90" s="127">
        <f>K89</f>
        <v>35.679999999999993</v>
      </c>
      <c r="L90" s="127">
        <f>L88</f>
        <v>40.356581508568269</v>
      </c>
      <c r="M90" s="127">
        <f>H69-E69</f>
        <v>13820.463418491432</v>
      </c>
      <c r="N90" s="237"/>
      <c r="O90" s="8"/>
      <c r="P90" s="8" t="s">
        <v>238</v>
      </c>
      <c r="Q90" s="127">
        <f>Q89</f>
        <v>0.3</v>
      </c>
      <c r="R90" s="127">
        <f>L70-J70</f>
        <v>0.39999999999999997</v>
      </c>
      <c r="S90" s="127">
        <f>P70-L70</f>
        <v>23.1</v>
      </c>
      <c r="T90" s="127"/>
      <c r="U90" s="127"/>
      <c r="V90" s="127"/>
    </row>
    <row r="91" spans="1:22" x14ac:dyDescent="0.2">
      <c r="A91" s="240"/>
      <c r="B91" s="101" t="s">
        <v>115</v>
      </c>
      <c r="C91" s="8" t="s">
        <v>237</v>
      </c>
      <c r="D91" s="127">
        <f>C58</f>
        <v>66.450999999999993</v>
      </c>
      <c r="E91" s="127">
        <f>D58-C58</f>
        <v>64.835000000000008</v>
      </c>
      <c r="F91" s="127">
        <f>H58-D58</f>
        <v>690.21399999999994</v>
      </c>
      <c r="G91" s="187">
        <f t="shared" si="36"/>
        <v>7.8922702373706646E-2</v>
      </c>
      <c r="H91" s="236"/>
      <c r="I91" s="100" t="s">
        <v>287</v>
      </c>
      <c r="J91" s="8" t="s">
        <v>263</v>
      </c>
      <c r="K91" s="127">
        <f>C70</f>
        <v>0.3</v>
      </c>
      <c r="L91" s="127">
        <f>D70-C70</f>
        <v>0</v>
      </c>
      <c r="M91" s="127">
        <f>F70-D70</f>
        <v>0</v>
      </c>
      <c r="N91" s="237"/>
      <c r="O91" s="100" t="s">
        <v>288</v>
      </c>
      <c r="P91" s="8" t="s">
        <v>312</v>
      </c>
      <c r="Q91" s="127">
        <f>J71</f>
        <v>87.3</v>
      </c>
      <c r="R91" s="127">
        <f>K71-J71</f>
        <v>444.7</v>
      </c>
      <c r="S91" s="127">
        <f>O71-K71</f>
        <v>16785.663193485801</v>
      </c>
      <c r="T91" s="127"/>
    </row>
    <row r="92" spans="1:22" x14ac:dyDescent="0.2">
      <c r="A92" s="240"/>
      <c r="B92" s="101"/>
      <c r="C92" s="8" t="s">
        <v>238</v>
      </c>
      <c r="D92" s="127">
        <f>C58</f>
        <v>66.450999999999993</v>
      </c>
      <c r="E92" s="127">
        <f>E58-C58</f>
        <v>88.83250000000001</v>
      </c>
      <c r="F92" s="127">
        <f>I58-E58</f>
        <v>90.259500000000003</v>
      </c>
      <c r="G92" s="187">
        <f t="shared" si="36"/>
        <v>0.36177981046089691</v>
      </c>
      <c r="H92" s="236"/>
      <c r="I92" s="8"/>
      <c r="J92" s="8" t="s">
        <v>262</v>
      </c>
      <c r="K92" s="127">
        <f>K91</f>
        <v>0.3</v>
      </c>
      <c r="L92" s="127">
        <f>E70-C70</f>
        <v>2.4999999999999967E-2</v>
      </c>
      <c r="M92" s="127">
        <f>G70-E70</f>
        <v>0</v>
      </c>
      <c r="N92" s="237"/>
      <c r="O92" s="8"/>
      <c r="P92" s="8" t="s">
        <v>238</v>
      </c>
      <c r="Q92" s="127">
        <f>Q91</f>
        <v>87.3</v>
      </c>
      <c r="R92" s="127">
        <f>L71-J71</f>
        <v>265.5</v>
      </c>
      <c r="S92" s="127">
        <f>P71-L71</f>
        <v>4118.2</v>
      </c>
      <c r="T92" s="127"/>
    </row>
    <row r="93" spans="1:22" x14ac:dyDescent="0.2">
      <c r="A93" s="240"/>
      <c r="B93" s="101" t="s">
        <v>118</v>
      </c>
      <c r="C93" s="8" t="s">
        <v>237</v>
      </c>
      <c r="D93" s="127">
        <f>C59</f>
        <v>116.294</v>
      </c>
      <c r="E93" s="127">
        <f>D59-C59</f>
        <v>7.2160000000000082</v>
      </c>
      <c r="F93" s="127">
        <f>H59-D59</f>
        <v>8.326999999999984</v>
      </c>
      <c r="G93" s="187">
        <f t="shared" si="36"/>
        <v>5.4734255178743516E-2</v>
      </c>
      <c r="H93" s="236"/>
      <c r="I93" s="8"/>
      <c r="J93" s="8" t="s">
        <v>237</v>
      </c>
      <c r="K93" s="127">
        <f>K92</f>
        <v>0.3</v>
      </c>
      <c r="L93" s="127">
        <f>L91</f>
        <v>0</v>
      </c>
      <c r="M93" s="127">
        <f>H70-D70</f>
        <v>0.52499999999999991</v>
      </c>
      <c r="N93" s="237"/>
      <c r="O93" s="105" t="s">
        <v>289</v>
      </c>
      <c r="P93" s="8" t="s">
        <v>312</v>
      </c>
      <c r="Q93" s="127">
        <f>J72</f>
        <v>28.8</v>
      </c>
      <c r="R93" s="127">
        <f>K72-J72</f>
        <v>41.5</v>
      </c>
      <c r="S93" s="127">
        <f>O72-K72</f>
        <v>21696.528887055229</v>
      </c>
      <c r="T93" s="127"/>
    </row>
    <row r="94" spans="1:22" x14ac:dyDescent="0.2">
      <c r="A94" s="240"/>
      <c r="B94" s="101"/>
      <c r="C94" s="8" t="s">
        <v>238</v>
      </c>
      <c r="D94" s="127">
        <f>C59</f>
        <v>116.294</v>
      </c>
      <c r="E94" s="127">
        <f>E59-C59</f>
        <v>10.421000000000006</v>
      </c>
      <c r="F94" s="127">
        <f>I59-E59</f>
        <v>21.340000000000003</v>
      </c>
      <c r="G94" s="187">
        <f t="shared" si="36"/>
        <v>7.0386005200770027E-2</v>
      </c>
      <c r="H94" s="236"/>
      <c r="I94" s="8"/>
      <c r="J94" s="8" t="s">
        <v>238</v>
      </c>
      <c r="K94" s="127">
        <f>K93</f>
        <v>0.3</v>
      </c>
      <c r="L94" s="127">
        <f>L92</f>
        <v>2.4999999999999967E-2</v>
      </c>
      <c r="M94" s="127">
        <f>I70-E70</f>
        <v>7.5000000000000067E-2</v>
      </c>
      <c r="N94" s="237"/>
      <c r="O94" s="8"/>
      <c r="P94" s="8" t="s">
        <v>238</v>
      </c>
      <c r="Q94" s="127">
        <f>Q93</f>
        <v>28.8</v>
      </c>
      <c r="R94" s="127">
        <f>L72-J72</f>
        <v>28.900000000000002</v>
      </c>
      <c r="S94" s="127">
        <f>P72-L72</f>
        <v>7228.3</v>
      </c>
      <c r="T94" s="127"/>
    </row>
    <row r="95" spans="1:22" x14ac:dyDescent="0.2">
      <c r="A95" s="240"/>
      <c r="B95" s="101" t="s">
        <v>156</v>
      </c>
      <c r="C95" s="8" t="s">
        <v>237</v>
      </c>
      <c r="D95" s="127">
        <f>C60</f>
        <v>38.444000000000003</v>
      </c>
      <c r="E95" s="127">
        <f>D60-C60</f>
        <v>15.221999999999994</v>
      </c>
      <c r="F95" s="127">
        <f>H60-D60</f>
        <v>373.73399999999998</v>
      </c>
      <c r="G95" s="187">
        <f t="shared" si="36"/>
        <v>3.5615348619560117E-2</v>
      </c>
      <c r="H95" s="236"/>
      <c r="I95" s="100" t="s">
        <v>288</v>
      </c>
      <c r="J95" s="8" t="s">
        <v>263</v>
      </c>
      <c r="K95" s="127">
        <f>C71</f>
        <v>56.679999999999993</v>
      </c>
      <c r="L95" s="127">
        <f>D71-C71</f>
        <v>3.5700000000000074</v>
      </c>
      <c r="M95" s="127">
        <f>F71-D71</f>
        <v>0.125</v>
      </c>
      <c r="N95" s="237"/>
      <c r="O95" s="105" t="s">
        <v>290</v>
      </c>
      <c r="P95" s="8" t="s">
        <v>312</v>
      </c>
      <c r="Q95" s="127">
        <f>J73</f>
        <v>31.4</v>
      </c>
      <c r="R95" s="127">
        <f>K73-J73</f>
        <v>153.69999999999999</v>
      </c>
      <c r="S95" s="127">
        <f>O73-K73</f>
        <v>9359.5549063615199</v>
      </c>
      <c r="T95" s="127"/>
    </row>
    <row r="96" spans="1:22" x14ac:dyDescent="0.2">
      <c r="A96" s="240"/>
      <c r="B96" s="101"/>
      <c r="C96" s="8" t="s">
        <v>238</v>
      </c>
      <c r="D96" s="127">
        <f>C60</f>
        <v>38.444000000000003</v>
      </c>
      <c r="E96" s="127">
        <f>E60-C60</f>
        <v>17.358999999999995</v>
      </c>
      <c r="F96" s="127">
        <f>I60-E60</f>
        <v>47.040000000000006</v>
      </c>
      <c r="G96" s="187">
        <f t="shared" si="36"/>
        <v>0.16879126435440422</v>
      </c>
      <c r="H96" s="236"/>
      <c r="I96" s="8"/>
      <c r="J96" s="8" t="s">
        <v>262</v>
      </c>
      <c r="K96" s="127">
        <f>K95</f>
        <v>56.679999999999993</v>
      </c>
      <c r="L96" s="127">
        <f>E71-C71</f>
        <v>74.720988796955979</v>
      </c>
      <c r="M96" s="127">
        <f>G71-E71</f>
        <v>-64.875988796955966</v>
      </c>
      <c r="N96" s="237"/>
      <c r="O96" s="8"/>
      <c r="P96" s="8" t="s">
        <v>238</v>
      </c>
      <c r="Q96" s="127">
        <f>Q95</f>
        <v>31.4</v>
      </c>
      <c r="R96" s="127">
        <f>L73-J73</f>
        <v>126.9</v>
      </c>
      <c r="S96" s="127">
        <f>P73-L73</f>
        <v>2835.5</v>
      </c>
      <c r="T96" s="127"/>
    </row>
    <row r="97" spans="1:20" x14ac:dyDescent="0.2">
      <c r="A97" s="240"/>
      <c r="B97" s="101" t="s">
        <v>119</v>
      </c>
      <c r="C97" s="8" t="s">
        <v>237</v>
      </c>
      <c r="D97" s="127">
        <f>C61</f>
        <v>29.341000000000001</v>
      </c>
      <c r="E97" s="127">
        <f>D61-C61</f>
        <v>24.116</v>
      </c>
      <c r="F97" s="127">
        <f>H61-D61</f>
        <v>204.90899999999999</v>
      </c>
      <c r="G97" s="187">
        <f t="shared" si="36"/>
        <v>9.3340455013430565E-2</v>
      </c>
      <c r="H97" s="236"/>
      <c r="I97" s="8"/>
      <c r="J97" s="8" t="s">
        <v>237</v>
      </c>
      <c r="K97" s="127">
        <f>K96</f>
        <v>56.679999999999993</v>
      </c>
      <c r="L97" s="127">
        <f>L95</f>
        <v>3.5700000000000074</v>
      </c>
      <c r="M97" s="127">
        <f>H71-D71</f>
        <v>325.67500000000001</v>
      </c>
      <c r="N97" s="237"/>
      <c r="O97" s="105" t="s">
        <v>291</v>
      </c>
      <c r="P97" s="8" t="s">
        <v>312</v>
      </c>
      <c r="Q97" s="127">
        <f>J74</f>
        <v>41.3</v>
      </c>
      <c r="R97" s="127">
        <f>K74-J74</f>
        <v>170.2</v>
      </c>
      <c r="S97" s="127">
        <f>O74-K74</f>
        <v>17296.544841976407</v>
      </c>
      <c r="T97" s="127"/>
    </row>
    <row r="98" spans="1:20" x14ac:dyDescent="0.2">
      <c r="A98" s="240"/>
      <c r="B98" s="101"/>
      <c r="C98" s="8" t="s">
        <v>238</v>
      </c>
      <c r="D98" s="127">
        <f>C61</f>
        <v>29.341000000000001</v>
      </c>
      <c r="E98" s="127">
        <f>E61-C61</f>
        <v>27.035499999999999</v>
      </c>
      <c r="F98" s="127">
        <f>I61-E61</f>
        <v>24.232499999999995</v>
      </c>
      <c r="G98" s="187">
        <f t="shared" si="36"/>
        <v>0.33539058914017045</v>
      </c>
      <c r="H98" s="236"/>
      <c r="I98" s="8"/>
      <c r="J98" s="8" t="s">
        <v>238</v>
      </c>
      <c r="K98" s="127">
        <f>K97</f>
        <v>56.679999999999993</v>
      </c>
      <c r="L98" s="127">
        <f>L96</f>
        <v>74.720988796955979</v>
      </c>
      <c r="M98" s="127">
        <f>I71-E71</f>
        <v>97.599011203044029</v>
      </c>
      <c r="N98" s="237"/>
      <c r="O98" s="8"/>
      <c r="P98" s="8" t="s">
        <v>238</v>
      </c>
      <c r="Q98" s="127">
        <f>Q97</f>
        <v>41.3</v>
      </c>
      <c r="R98" s="127">
        <f>L74-J74</f>
        <v>148.30000000000001</v>
      </c>
      <c r="S98" s="127">
        <f>P74-L74</f>
        <v>3461.4</v>
      </c>
      <c r="T98" s="127"/>
    </row>
    <row r="99" spans="1:20" x14ac:dyDescent="0.2">
      <c r="A99" s="240"/>
      <c r="B99" s="101" t="s">
        <v>120</v>
      </c>
      <c r="C99" s="8" t="s">
        <v>237</v>
      </c>
      <c r="D99" s="127">
        <f>C62</f>
        <v>11.135999999999999</v>
      </c>
      <c r="E99" s="127">
        <f>D62-C62</f>
        <v>10.276</v>
      </c>
      <c r="F99" s="127">
        <f>H62-D62</f>
        <v>63.246000000000002</v>
      </c>
      <c r="G99" s="187">
        <f t="shared" si="36"/>
        <v>0.12138250372085331</v>
      </c>
      <c r="H99" s="236"/>
      <c r="I99" s="105" t="s">
        <v>289</v>
      </c>
      <c r="J99" s="8" t="s">
        <v>263</v>
      </c>
      <c r="K99" s="127">
        <f>C72</f>
        <v>28.1</v>
      </c>
      <c r="L99" s="127">
        <f>D72-C72</f>
        <v>0.89999999999999858</v>
      </c>
      <c r="M99" s="127">
        <f>F72-D72</f>
        <v>1.5249999999999986</v>
      </c>
      <c r="N99" s="237"/>
      <c r="O99" s="105" t="s">
        <v>292</v>
      </c>
      <c r="P99" s="8" t="s">
        <v>312</v>
      </c>
      <c r="Q99" s="127">
        <f>J75</f>
        <v>34.9</v>
      </c>
      <c r="R99" s="127">
        <f>K75-J75</f>
        <v>2.8999999999999986</v>
      </c>
      <c r="S99" s="127">
        <f>O75-K75</f>
        <v>5095.8231037997011</v>
      </c>
      <c r="T99" s="127"/>
    </row>
    <row r="100" spans="1:20" x14ac:dyDescent="0.2">
      <c r="A100" s="240"/>
      <c r="B100" s="101"/>
      <c r="C100" s="8" t="s">
        <v>238</v>
      </c>
      <c r="D100" s="127">
        <f>C62</f>
        <v>11.135999999999999</v>
      </c>
      <c r="E100" s="127">
        <f>E62-C62</f>
        <v>11.6465</v>
      </c>
      <c r="F100" s="127">
        <f>I62-E62</f>
        <v>6.8934999999999995</v>
      </c>
      <c r="G100" s="187">
        <f t="shared" si="36"/>
        <v>0.39245518263916973</v>
      </c>
      <c r="H100" s="236"/>
      <c r="I100" s="8"/>
      <c r="J100" s="8" t="s">
        <v>262</v>
      </c>
      <c r="K100" s="127">
        <f>K99</f>
        <v>28.1</v>
      </c>
      <c r="L100" s="127">
        <f>E72-C72</f>
        <v>12.333037811966314</v>
      </c>
      <c r="M100" s="127">
        <f>G72-E72</f>
        <v>-10.533037811966317</v>
      </c>
      <c r="N100" s="237"/>
      <c r="O100" s="8"/>
      <c r="P100" s="8" t="s">
        <v>238</v>
      </c>
      <c r="Q100" s="127">
        <f>Q99</f>
        <v>34.9</v>
      </c>
      <c r="R100" s="127">
        <f>L75-J75</f>
        <v>1.2000000000000028</v>
      </c>
      <c r="S100" s="127">
        <f>P75-L75</f>
        <v>1783.8000000000002</v>
      </c>
      <c r="T100" s="127"/>
    </row>
    <row r="101" spans="1:20" x14ac:dyDescent="0.2">
      <c r="A101" s="240"/>
      <c r="B101" s="101" t="s">
        <v>121</v>
      </c>
      <c r="C101" s="8" t="s">
        <v>237</v>
      </c>
      <c r="D101" s="127">
        <f>C63</f>
        <v>38.180999999999997</v>
      </c>
      <c r="E101" s="127">
        <f>D63-C63</f>
        <v>30.888999999999996</v>
      </c>
      <c r="F101" s="127">
        <f>H63-D63</f>
        <v>215.46100000000001</v>
      </c>
      <c r="G101" s="187">
        <f t="shared" si="36"/>
        <v>0.10856110581975249</v>
      </c>
      <c r="H101" s="236"/>
      <c r="I101" s="8"/>
      <c r="J101" s="8" t="s">
        <v>237</v>
      </c>
      <c r="K101" s="127">
        <f>K100</f>
        <v>28.1</v>
      </c>
      <c r="L101" s="127">
        <f>L99</f>
        <v>0.89999999999999858</v>
      </c>
      <c r="M101" s="127">
        <f>H72-D72</f>
        <v>265.52499999999998</v>
      </c>
      <c r="N101" s="237"/>
      <c r="O101" s="105" t="s">
        <v>293</v>
      </c>
      <c r="P101" s="8" t="s">
        <v>312</v>
      </c>
      <c r="Q101" s="127">
        <f>J76</f>
        <v>56.1</v>
      </c>
      <c r="R101" s="127">
        <f>K76-J76</f>
        <v>1.1000000000000014</v>
      </c>
      <c r="S101" s="127">
        <f>O76-K76</f>
        <v>8199.8034439414532</v>
      </c>
      <c r="T101" s="127"/>
    </row>
    <row r="102" spans="1:20" x14ac:dyDescent="0.2">
      <c r="A102" s="240"/>
      <c r="B102" s="101"/>
      <c r="C102" s="8" t="s">
        <v>238</v>
      </c>
      <c r="D102" s="127">
        <f>C63</f>
        <v>38.180999999999997</v>
      </c>
      <c r="E102" s="127">
        <f>E63-C63</f>
        <v>39.359500000000011</v>
      </c>
      <c r="F102" s="127">
        <f>I63-E63</f>
        <v>21.341499999999996</v>
      </c>
      <c r="G102" s="187">
        <f t="shared" si="36"/>
        <v>0.39804514471794672</v>
      </c>
      <c r="H102" s="236"/>
      <c r="I102" s="8"/>
      <c r="J102" s="8" t="s">
        <v>238</v>
      </c>
      <c r="K102" s="127">
        <f>K101</f>
        <v>28.1</v>
      </c>
      <c r="L102" s="127">
        <f>L100</f>
        <v>12.333037811966314</v>
      </c>
      <c r="M102" s="127">
        <f>I72-E72</f>
        <v>81.066962188033685</v>
      </c>
      <c r="N102" s="237"/>
      <c r="O102" s="8"/>
      <c r="P102" s="8" t="s">
        <v>238</v>
      </c>
      <c r="Q102" s="127">
        <f>Q101</f>
        <v>56.1</v>
      </c>
      <c r="R102" s="127">
        <f>L76-J76</f>
        <v>1.2999999999999972</v>
      </c>
      <c r="S102" s="127">
        <f>P76-L76</f>
        <v>2566.4</v>
      </c>
      <c r="T102" s="127"/>
    </row>
    <row r="103" spans="1:20" x14ac:dyDescent="0.2">
      <c r="A103" s="240"/>
      <c r="B103" s="101" t="s">
        <v>122</v>
      </c>
      <c r="C103" s="8" t="s">
        <v>237</v>
      </c>
      <c r="D103" s="127">
        <f>C64</f>
        <v>31.297999999999998</v>
      </c>
      <c r="E103" s="127">
        <f>D64-C64</f>
        <v>31.876000000000001</v>
      </c>
      <c r="F103" s="127">
        <f>H64-D64</f>
        <v>202.48799999999997</v>
      </c>
      <c r="G103" s="187">
        <f t="shared" si="36"/>
        <v>0.11998705121545424</v>
      </c>
      <c r="H103" s="236"/>
      <c r="I103" s="105" t="s">
        <v>290</v>
      </c>
      <c r="J103" s="8" t="s">
        <v>263</v>
      </c>
      <c r="K103" s="127">
        <f>C73</f>
        <v>29.880000000000003</v>
      </c>
      <c r="L103" s="127">
        <f>D73-C73</f>
        <v>6.8699999999999974</v>
      </c>
      <c r="M103" s="127">
        <f>F73-D73</f>
        <v>0.79999999999999716</v>
      </c>
      <c r="N103" s="237"/>
      <c r="O103" s="105" t="s">
        <v>294</v>
      </c>
      <c r="P103" s="8" t="s">
        <v>312</v>
      </c>
      <c r="Q103" s="127">
        <f>J77</f>
        <v>21.7</v>
      </c>
      <c r="R103" s="127">
        <f>K77-J77</f>
        <v>232.8</v>
      </c>
      <c r="S103" s="127">
        <f>O77-K77</f>
        <v>15968.474578117368</v>
      </c>
      <c r="T103" s="127"/>
    </row>
    <row r="104" spans="1:20" x14ac:dyDescent="0.2">
      <c r="A104" s="240"/>
      <c r="B104" s="8"/>
      <c r="C104" s="8" t="s">
        <v>238</v>
      </c>
      <c r="D104" s="127">
        <f>C64</f>
        <v>31.297999999999998</v>
      </c>
      <c r="E104" s="127">
        <f>E64-C64</f>
        <v>37.783999999999992</v>
      </c>
      <c r="F104" s="127">
        <f>I64-E64</f>
        <v>25.406000000000006</v>
      </c>
      <c r="G104" s="187">
        <f t="shared" si="36"/>
        <v>0.39988146642959943</v>
      </c>
      <c r="H104" s="236"/>
      <c r="I104" s="8"/>
      <c r="J104" s="8" t="s">
        <v>262</v>
      </c>
      <c r="K104" s="127">
        <f>K103</f>
        <v>29.880000000000003</v>
      </c>
      <c r="L104" s="127">
        <f>E73-C73</f>
        <v>6.7030559103957543</v>
      </c>
      <c r="M104" s="127">
        <f>G73-E73</f>
        <v>-3.3055910395759724E-2</v>
      </c>
      <c r="N104" s="237"/>
      <c r="O104" s="8"/>
      <c r="P104" s="8" t="s">
        <v>238</v>
      </c>
      <c r="Q104" s="127">
        <f>Q103</f>
        <v>21.7</v>
      </c>
      <c r="R104" s="127">
        <f>L77-J77</f>
        <v>177.20000000000002</v>
      </c>
      <c r="S104" s="127">
        <f>P77-L77</f>
        <v>3337.4</v>
      </c>
      <c r="T104" s="127"/>
    </row>
    <row r="105" spans="1:20" ht="16" customHeight="1" x14ac:dyDescent="0.2">
      <c r="A105" s="240"/>
      <c r="B105" s="101" t="s">
        <v>66</v>
      </c>
      <c r="C105" s="8" t="s">
        <v>237</v>
      </c>
      <c r="D105" s="127">
        <f>C65</f>
        <v>36.669910164318871</v>
      </c>
      <c r="E105" s="127">
        <f>D65-C65</f>
        <v>28.666984491259505</v>
      </c>
      <c r="F105" s="127">
        <f>H65-D65</f>
        <v>143.69939773394026</v>
      </c>
      <c r="G105" s="187">
        <f t="shared" si="36"/>
        <v>0.13713879137236798</v>
      </c>
      <c r="H105" s="236"/>
      <c r="I105" s="8"/>
      <c r="J105" s="8" t="s">
        <v>237</v>
      </c>
      <c r="K105" s="127">
        <f>K104</f>
        <v>29.880000000000003</v>
      </c>
      <c r="L105" s="127">
        <f>L103</f>
        <v>6.8699999999999974</v>
      </c>
      <c r="M105" s="127">
        <f>H73-D73</f>
        <v>908.32499999999993</v>
      </c>
      <c r="N105" s="237"/>
      <c r="O105" s="105" t="s">
        <v>295</v>
      </c>
      <c r="P105" s="8" t="s">
        <v>312</v>
      </c>
      <c r="Q105" s="127">
        <f>J78</f>
        <v>9.9</v>
      </c>
      <c r="R105" s="127">
        <f>K78-J78</f>
        <v>46.1</v>
      </c>
      <c r="S105" s="127">
        <f>O78-K78</f>
        <v>1844.1598858443119</v>
      </c>
      <c r="T105" s="127"/>
    </row>
    <row r="106" spans="1:20" x14ac:dyDescent="0.2">
      <c r="A106" s="241"/>
      <c r="B106" s="8"/>
      <c r="C106" s="8" t="s">
        <v>238</v>
      </c>
      <c r="D106" s="127">
        <f>C65</f>
        <v>36.669910164318871</v>
      </c>
      <c r="E106" s="127">
        <f>E65-C65</f>
        <v>33.732480061057863</v>
      </c>
      <c r="F106" s="127">
        <f>I65-E65</f>
        <v>24.956675202610569</v>
      </c>
      <c r="G106" s="187">
        <f t="shared" si="36"/>
        <v>0.35374172250599245</v>
      </c>
      <c r="H106" s="236"/>
      <c r="I106" s="8"/>
      <c r="J106" s="8" t="s">
        <v>238</v>
      </c>
      <c r="K106" s="127">
        <f>K105</f>
        <v>29.880000000000003</v>
      </c>
      <c r="L106" s="127">
        <f>L104</f>
        <v>6.7030559103957543</v>
      </c>
      <c r="M106" s="127">
        <f>I73-E73</f>
        <v>556.81694408960425</v>
      </c>
      <c r="N106" s="237"/>
      <c r="O106" s="8"/>
      <c r="P106" s="8" t="s">
        <v>238</v>
      </c>
      <c r="Q106" s="127">
        <f>Q105</f>
        <v>9.9</v>
      </c>
      <c r="R106" s="127">
        <f>L78-J78</f>
        <v>30.5</v>
      </c>
      <c r="S106" s="127">
        <f>P78-L78</f>
        <v>397.1</v>
      </c>
      <c r="T106" s="127"/>
    </row>
    <row r="107" spans="1:20" ht="22" customHeight="1" x14ac:dyDescent="0.2">
      <c r="A107" s="207" t="s">
        <v>308</v>
      </c>
      <c r="B107" s="99" t="s">
        <v>116</v>
      </c>
      <c r="C107" s="8" t="s">
        <v>241</v>
      </c>
      <c r="D107" s="127">
        <f>J56</f>
        <v>45.112000000000002</v>
      </c>
      <c r="E107" s="127">
        <f>K56-J56</f>
        <v>13.753999999999998</v>
      </c>
      <c r="F107" s="127">
        <f>O56-K56</f>
        <v>765.25800000000004</v>
      </c>
      <c r="G107" s="187">
        <f t="shared" si="36"/>
        <v>1.6689236085831741E-2</v>
      </c>
      <c r="H107" s="236"/>
      <c r="I107" s="105" t="s">
        <v>291</v>
      </c>
      <c r="J107" s="8" t="s">
        <v>263</v>
      </c>
      <c r="K107" s="127">
        <f>C73</f>
        <v>29.880000000000003</v>
      </c>
      <c r="L107" s="127">
        <f>D74-C74</f>
        <v>10.714999999999996</v>
      </c>
      <c r="M107" s="127">
        <f>F74-D74</f>
        <v>1.6499999999999986</v>
      </c>
      <c r="N107" s="237"/>
      <c r="O107" s="105" t="s">
        <v>296</v>
      </c>
      <c r="P107" s="8" t="s">
        <v>312</v>
      </c>
      <c r="Q107" s="127">
        <f>J79</f>
        <v>71.3</v>
      </c>
      <c r="R107" s="127">
        <f>K79-J79</f>
        <v>770.80000000000007</v>
      </c>
      <c r="S107" s="127">
        <f>O79-K79</f>
        <v>13709.705383269084</v>
      </c>
      <c r="T107" s="127"/>
    </row>
    <row r="108" spans="1:20" x14ac:dyDescent="0.2">
      <c r="A108" s="208"/>
      <c r="B108" s="99"/>
      <c r="C108" s="8" t="s">
        <v>238</v>
      </c>
      <c r="D108" s="127">
        <f>D107</f>
        <v>45.112000000000002</v>
      </c>
      <c r="E108" s="127">
        <f>L56-J56</f>
        <v>7.7310000000000016</v>
      </c>
      <c r="F108" s="127">
        <f>P56-L56</f>
        <v>158.529</v>
      </c>
      <c r="G108" s="187">
        <f t="shared" si="36"/>
        <v>3.6575326911795325E-2</v>
      </c>
      <c r="H108" s="236"/>
      <c r="I108" s="8"/>
      <c r="J108" s="8" t="s">
        <v>262</v>
      </c>
      <c r="K108" s="127">
        <f>K107</f>
        <v>29.880000000000003</v>
      </c>
      <c r="L108" s="127">
        <f>E74-C74</f>
        <v>8.6882216160705994</v>
      </c>
      <c r="M108" s="127">
        <f>G74-E74</f>
        <v>0.12677838392939833</v>
      </c>
      <c r="N108" s="237"/>
      <c r="O108" s="8"/>
      <c r="P108" s="8" t="s">
        <v>238</v>
      </c>
      <c r="Q108" s="127">
        <f>Q107</f>
        <v>71.3</v>
      </c>
      <c r="R108" s="127">
        <f>L79-J79</f>
        <v>768.40000000000009</v>
      </c>
      <c r="S108" s="127">
        <f>P79-L79</f>
        <v>4762.3</v>
      </c>
      <c r="T108" s="127"/>
    </row>
    <row r="109" spans="1:20" x14ac:dyDescent="0.2">
      <c r="A109" s="208"/>
      <c r="B109" s="101" t="s">
        <v>117</v>
      </c>
      <c r="C109" s="8" t="s">
        <v>241</v>
      </c>
      <c r="D109" s="127">
        <f>J57</f>
        <v>104.03</v>
      </c>
      <c r="E109" s="127">
        <f>K57-J57</f>
        <v>91.800999999999988</v>
      </c>
      <c r="F109" s="127">
        <f>O57-K57</f>
        <v>4518.8699800000004</v>
      </c>
      <c r="G109" s="187">
        <f t="shared" si="36"/>
        <v>1.9471224238700284E-2</v>
      </c>
      <c r="H109" s="236"/>
      <c r="I109" s="8"/>
      <c r="J109" s="8" t="s">
        <v>237</v>
      </c>
      <c r="K109" s="127">
        <f>K108</f>
        <v>29.880000000000003</v>
      </c>
      <c r="L109" s="127">
        <f>L107</f>
        <v>10.714999999999996</v>
      </c>
      <c r="M109" s="127">
        <f>H74-D74</f>
        <v>969.7</v>
      </c>
      <c r="N109" s="237"/>
      <c r="O109" s="105" t="s">
        <v>297</v>
      </c>
      <c r="P109" s="8" t="s">
        <v>312</v>
      </c>
      <c r="Q109" s="127">
        <f>J80</f>
        <v>18.8</v>
      </c>
      <c r="R109" s="127">
        <f>K80-J80</f>
        <v>66</v>
      </c>
      <c r="S109" s="127">
        <f>O80-K80</f>
        <v>8665.0873159427374</v>
      </c>
      <c r="T109" s="127"/>
    </row>
    <row r="110" spans="1:20" x14ac:dyDescent="0.2">
      <c r="A110" s="208"/>
      <c r="B110" s="101"/>
      <c r="C110" s="8" t="s">
        <v>238</v>
      </c>
      <c r="D110" s="127">
        <f>D109</f>
        <v>104.03</v>
      </c>
      <c r="E110" s="127">
        <f>L57-J57</f>
        <v>53.564999999999998</v>
      </c>
      <c r="F110" s="127">
        <f>P57-K57</f>
        <v>888.21348</v>
      </c>
      <c r="G110" s="187">
        <f t="shared" si="36"/>
        <v>5.1218747050129104E-2</v>
      </c>
      <c r="H110" s="236"/>
      <c r="I110" s="8"/>
      <c r="J110" s="8" t="s">
        <v>238</v>
      </c>
      <c r="K110" s="127">
        <f>K109</f>
        <v>29.880000000000003</v>
      </c>
      <c r="L110" s="127">
        <f>L108</f>
        <v>8.6882216160705994</v>
      </c>
      <c r="M110" s="127">
        <f>I74-E74</f>
        <v>498.65177838392941</v>
      </c>
      <c r="N110" s="237"/>
      <c r="O110" s="8"/>
      <c r="P110" s="8" t="s">
        <v>238</v>
      </c>
      <c r="Q110" s="127">
        <f>Q109</f>
        <v>18.8</v>
      </c>
      <c r="R110" s="127">
        <f>L80-J80</f>
        <v>54.2</v>
      </c>
      <c r="S110" s="127">
        <f>P80-L80</f>
        <v>2079.6</v>
      </c>
      <c r="T110" s="127"/>
    </row>
    <row r="111" spans="1:20" x14ac:dyDescent="0.2">
      <c r="A111" s="208"/>
      <c r="B111" s="101" t="s">
        <v>115</v>
      </c>
      <c r="C111" s="8" t="s">
        <v>241</v>
      </c>
      <c r="D111" s="127">
        <f>J58</f>
        <v>124.253</v>
      </c>
      <c r="E111" s="127">
        <f>K58-J58</f>
        <v>756.84699999999998</v>
      </c>
      <c r="F111" s="127">
        <f>O58-K58</f>
        <v>8712.6999999999989</v>
      </c>
      <c r="G111" s="187">
        <f t="shared" si="36"/>
        <v>7.8889178427734588E-2</v>
      </c>
      <c r="H111" s="236"/>
      <c r="I111" s="105" t="s">
        <v>292</v>
      </c>
      <c r="J111" s="8" t="s">
        <v>263</v>
      </c>
      <c r="K111" s="127">
        <f>C75</f>
        <v>35.559999999999995</v>
      </c>
      <c r="L111" s="127">
        <f>D75-C75</f>
        <v>2.1400000000000077</v>
      </c>
      <c r="M111" s="127">
        <f>F75-D75</f>
        <v>1.5999999999999943</v>
      </c>
      <c r="N111" s="237"/>
      <c r="O111" s="105" t="s">
        <v>298</v>
      </c>
      <c r="P111" s="8" t="s">
        <v>312</v>
      </c>
      <c r="Q111" s="127">
        <f>J81</f>
        <v>72.2</v>
      </c>
      <c r="R111" s="127">
        <f>K81-J81</f>
        <v>10.299999999999997</v>
      </c>
      <c r="S111" s="127">
        <f>O81-K81</f>
        <v>113399.19667516707</v>
      </c>
      <c r="T111" s="127"/>
    </row>
    <row r="112" spans="1:20" x14ac:dyDescent="0.2">
      <c r="A112" s="208"/>
      <c r="B112" s="101"/>
      <c r="C112" s="8" t="s">
        <v>238</v>
      </c>
      <c r="D112" s="127">
        <f>D111</f>
        <v>124.253</v>
      </c>
      <c r="E112" s="127">
        <f>L58-J58</f>
        <v>630.34699999999998</v>
      </c>
      <c r="F112" s="127">
        <f>P58-L58</f>
        <v>1592.9459999999999</v>
      </c>
      <c r="G112" s="187">
        <f t="shared" si="36"/>
        <v>0.26851316225539351</v>
      </c>
      <c r="H112" s="236"/>
      <c r="I112" s="8"/>
      <c r="J112" s="8" t="s">
        <v>262</v>
      </c>
      <c r="K112" s="127">
        <f>K111</f>
        <v>35.559999999999995</v>
      </c>
      <c r="L112" s="127">
        <f>E75-C75</f>
        <v>4.1418004952269456</v>
      </c>
      <c r="M112" s="127">
        <f>G75-E75</f>
        <v>-0.97680049522693224</v>
      </c>
      <c r="N112" s="237"/>
      <c r="O112" s="8"/>
      <c r="P112" s="8" t="s">
        <v>238</v>
      </c>
      <c r="Q112" s="127">
        <f>Q111</f>
        <v>72.2</v>
      </c>
      <c r="R112" s="127">
        <f>L81-J81</f>
        <v>6.5</v>
      </c>
      <c r="S112" s="127">
        <f>P81-L81</f>
        <v>23194.3</v>
      </c>
      <c r="T112" s="127"/>
    </row>
    <row r="113" spans="1:20" x14ac:dyDescent="0.2">
      <c r="A113" s="208"/>
      <c r="B113" s="101" t="s">
        <v>118</v>
      </c>
      <c r="C113" s="8" t="s">
        <v>241</v>
      </c>
      <c r="D113" s="127">
        <f>J59</f>
        <v>117.11</v>
      </c>
      <c r="E113" s="127">
        <f>K59-J59</f>
        <v>0.98000000000000398</v>
      </c>
      <c r="F113" s="127">
        <f>O59-K59</f>
        <v>708.54</v>
      </c>
      <c r="G113" s="187">
        <f t="shared" si="36"/>
        <v>1.1855364552460037E-3</v>
      </c>
      <c r="H113" s="236"/>
      <c r="I113" s="8"/>
      <c r="J113" s="8" t="s">
        <v>237</v>
      </c>
      <c r="K113" s="127">
        <f>K112</f>
        <v>35.559999999999995</v>
      </c>
      <c r="L113" s="127">
        <f>L111</f>
        <v>2.1400000000000077</v>
      </c>
      <c r="M113" s="127">
        <f>H75-D75</f>
        <v>0.22499999999999432</v>
      </c>
      <c r="N113" s="237"/>
      <c r="O113" s="103" t="s">
        <v>66</v>
      </c>
      <c r="P113" s="8" t="s">
        <v>312</v>
      </c>
      <c r="Q113" s="127">
        <f>J82</f>
        <v>24.173504913238883</v>
      </c>
      <c r="R113" s="127">
        <f>K82-J82</f>
        <v>64.589830674086016</v>
      </c>
      <c r="S113" s="127">
        <f>O82-K82</f>
        <v>8532.885081656601</v>
      </c>
      <c r="T113" s="127"/>
    </row>
    <row r="114" spans="1:20" x14ac:dyDescent="0.2">
      <c r="A114" s="208"/>
      <c r="B114" s="101"/>
      <c r="C114" s="8" t="s">
        <v>238</v>
      </c>
      <c r="D114" s="127">
        <f>D113</f>
        <v>117.11</v>
      </c>
      <c r="E114" s="127">
        <f>L59-J59</f>
        <v>1.4129999999999967</v>
      </c>
      <c r="F114" s="127">
        <f>P59-L59</f>
        <v>118.523</v>
      </c>
      <c r="G114" s="187">
        <f t="shared" si="36"/>
        <v>5.9608683546653251E-3</v>
      </c>
      <c r="H114" s="236"/>
      <c r="I114" s="8"/>
      <c r="J114" s="8" t="s">
        <v>238</v>
      </c>
      <c r="K114" s="127">
        <f>K113</f>
        <v>35.559999999999995</v>
      </c>
      <c r="L114" s="127">
        <f>L112</f>
        <v>4.1418004952269456</v>
      </c>
      <c r="M114" s="127">
        <f>I75-E75</f>
        <v>-0.30180049522694219</v>
      </c>
      <c r="N114" s="237"/>
      <c r="P114" s="8" t="s">
        <v>238</v>
      </c>
      <c r="Q114" s="127">
        <f>Q113</f>
        <v>24.173504913238883</v>
      </c>
      <c r="R114" s="127">
        <f>L82-J82</f>
        <v>51.335408744063798</v>
      </c>
      <c r="S114" s="127">
        <f>P82-L82</f>
        <v>2182.5267797405781</v>
      </c>
      <c r="T114" s="127"/>
    </row>
    <row r="115" spans="1:20" x14ac:dyDescent="0.2">
      <c r="A115" s="208"/>
      <c r="B115" s="101" t="s">
        <v>156</v>
      </c>
      <c r="C115" s="8" t="s">
        <v>241</v>
      </c>
      <c r="D115" s="127">
        <f>J60</f>
        <v>60.526000000000003</v>
      </c>
      <c r="E115" s="127">
        <f>K60-J60</f>
        <v>506.17400000000004</v>
      </c>
      <c r="F115" s="127">
        <f>O60-K60</f>
        <v>6884.2030000000004</v>
      </c>
      <c r="G115" s="187">
        <f t="shared" si="36"/>
        <v>6.7934584573171877E-2</v>
      </c>
      <c r="H115" s="236"/>
      <c r="I115" s="105" t="s">
        <v>293</v>
      </c>
      <c r="J115" s="8" t="s">
        <v>263</v>
      </c>
      <c r="K115" s="127">
        <f>C76</f>
        <v>57.2</v>
      </c>
      <c r="L115" s="127">
        <f>D76-C76</f>
        <v>0.84999999999999432</v>
      </c>
      <c r="M115" s="127">
        <f>F76-D76</f>
        <v>0.47500000000000142</v>
      </c>
      <c r="N115" s="237"/>
      <c r="P115" s="8"/>
      <c r="Q115" s="127"/>
      <c r="R115" s="127"/>
      <c r="S115" s="127"/>
      <c r="T115" s="127"/>
    </row>
    <row r="116" spans="1:20" x14ac:dyDescent="0.2">
      <c r="A116" s="208"/>
      <c r="B116" s="101"/>
      <c r="C116" s="8" t="s">
        <v>238</v>
      </c>
      <c r="D116" s="127">
        <f>D115</f>
        <v>60.526000000000003</v>
      </c>
      <c r="E116" s="127">
        <f>L60-J60</f>
        <v>500.17400000000004</v>
      </c>
      <c r="F116" s="127">
        <f>P60-L60</f>
        <v>1545.59</v>
      </c>
      <c r="G116" s="187">
        <f t="shared" si="36"/>
        <v>0.23746682555583518</v>
      </c>
      <c r="H116" s="236"/>
      <c r="I116" s="8"/>
      <c r="J116" s="8" t="s">
        <v>262</v>
      </c>
      <c r="K116" s="127">
        <f>K115</f>
        <v>57.2</v>
      </c>
      <c r="L116" s="127">
        <f>E76-C76</f>
        <v>0.64999999999999858</v>
      </c>
      <c r="M116" s="127">
        <f>G76-E76</f>
        <v>-7.5000000000002842E-2</v>
      </c>
      <c r="N116" s="237"/>
      <c r="P116" s="8"/>
      <c r="Q116" s="127"/>
      <c r="R116" s="127"/>
      <c r="S116" s="127"/>
      <c r="T116" s="127"/>
    </row>
    <row r="117" spans="1:20" x14ac:dyDescent="0.2">
      <c r="A117" s="208"/>
      <c r="B117" s="101" t="s">
        <v>119</v>
      </c>
      <c r="C117" s="8" t="s">
        <v>241</v>
      </c>
      <c r="D117" s="127">
        <f>J61</f>
        <v>54.89</v>
      </c>
      <c r="E117" s="127">
        <f>K61-J61</f>
        <v>205.44</v>
      </c>
      <c r="F117" s="127">
        <f>O61-K61</f>
        <v>1113.2570000000001</v>
      </c>
      <c r="G117" s="187">
        <f t="shared" si="36"/>
        <v>0.1495646071198985</v>
      </c>
      <c r="H117" s="236"/>
      <c r="I117" s="8"/>
      <c r="J117" s="8" t="s">
        <v>237</v>
      </c>
      <c r="K117" s="127">
        <f>K116</f>
        <v>57.2</v>
      </c>
      <c r="L117" s="127">
        <f>L115</f>
        <v>0.84999999999999432</v>
      </c>
      <c r="M117" s="127">
        <f>H76-D76</f>
        <v>7.6000000000000085</v>
      </c>
      <c r="N117" s="237"/>
      <c r="P117" s="8"/>
      <c r="Q117" s="127"/>
      <c r="R117" s="127"/>
      <c r="S117" s="127"/>
      <c r="T117" s="127"/>
    </row>
    <row r="118" spans="1:20" x14ac:dyDescent="0.2">
      <c r="A118" s="208"/>
      <c r="B118" s="101"/>
      <c r="C118" s="8" t="s">
        <v>238</v>
      </c>
      <c r="D118" s="127">
        <f>D117</f>
        <v>54.89</v>
      </c>
      <c r="E118" s="127">
        <f>L61-J61</f>
        <v>120.105</v>
      </c>
      <c r="F118" s="127">
        <f>P61-L61</f>
        <v>288.81400000000002</v>
      </c>
      <c r="G118" s="187">
        <f t="shared" si="36"/>
        <v>0.25895357787365059</v>
      </c>
      <c r="H118" s="236"/>
      <c r="I118" s="8"/>
      <c r="J118" s="8" t="s">
        <v>238</v>
      </c>
      <c r="K118" s="127">
        <f>K117</f>
        <v>57.2</v>
      </c>
      <c r="L118" s="127">
        <f>L116</f>
        <v>0.64999999999999858</v>
      </c>
      <c r="M118" s="127">
        <f>I76-E76</f>
        <v>2.9499999999999957</v>
      </c>
      <c r="N118" s="237"/>
      <c r="P118" s="8"/>
      <c r="Q118" s="127"/>
      <c r="R118" s="127"/>
      <c r="S118" s="127"/>
      <c r="T118" s="127"/>
    </row>
    <row r="119" spans="1:20" x14ac:dyDescent="0.2">
      <c r="A119" s="208"/>
      <c r="B119" s="101" t="s">
        <v>120</v>
      </c>
      <c r="C119" s="8" t="s">
        <v>241</v>
      </c>
      <c r="D119" s="127">
        <f>J62</f>
        <v>23.056999999999999</v>
      </c>
      <c r="E119" s="127">
        <f>K62-J62</f>
        <v>68.908999999999992</v>
      </c>
      <c r="F119" s="127">
        <f>O62-K62</f>
        <v>1494.9584500000001</v>
      </c>
      <c r="G119" s="187">
        <f t="shared" si="36"/>
        <v>4.3422987149766328E-2</v>
      </c>
      <c r="H119" s="236"/>
      <c r="I119" s="105" t="s">
        <v>294</v>
      </c>
      <c r="J119" s="8" t="s">
        <v>263</v>
      </c>
      <c r="K119" s="127">
        <f>C77</f>
        <v>19.399999999999999</v>
      </c>
      <c r="L119" s="127">
        <f>D77-C77</f>
        <v>13</v>
      </c>
      <c r="M119" s="127">
        <f>F77-D77</f>
        <v>0.14999999999999858</v>
      </c>
      <c r="N119" s="237"/>
      <c r="P119" s="8"/>
      <c r="Q119" s="127"/>
      <c r="R119" s="127"/>
      <c r="S119" s="127"/>
      <c r="T119" s="127"/>
    </row>
    <row r="120" spans="1:20" x14ac:dyDescent="0.2">
      <c r="A120" s="208"/>
      <c r="B120" s="101"/>
      <c r="C120" s="8" t="s">
        <v>238</v>
      </c>
      <c r="D120" s="127">
        <f>D119</f>
        <v>23.056999999999999</v>
      </c>
      <c r="E120" s="127">
        <f>L62-J62</f>
        <v>50.311999999999998</v>
      </c>
      <c r="F120" s="127">
        <f>P62-L62</f>
        <v>288.35181999999998</v>
      </c>
      <c r="G120" s="187">
        <f t="shared" si="36"/>
        <v>0.13909069430949536</v>
      </c>
      <c r="H120" s="236"/>
      <c r="I120" s="8"/>
      <c r="J120" s="8" t="s">
        <v>262</v>
      </c>
      <c r="K120" s="127">
        <f>K119</f>
        <v>19.399999999999999</v>
      </c>
      <c r="L120" s="127">
        <f>E77-C77</f>
        <v>25.128464376639393</v>
      </c>
      <c r="M120" s="127">
        <f>G77-E77</f>
        <v>-6.6534643766393913</v>
      </c>
      <c r="N120" s="237"/>
      <c r="P120" s="8"/>
      <c r="Q120" s="127"/>
      <c r="R120" s="127"/>
      <c r="S120" s="127"/>
      <c r="T120" s="127"/>
    </row>
    <row r="121" spans="1:20" x14ac:dyDescent="0.2">
      <c r="A121" s="208"/>
      <c r="B121" s="101" t="s">
        <v>121</v>
      </c>
      <c r="C121" s="8" t="s">
        <v>241</v>
      </c>
      <c r="D121" s="127">
        <f>J63</f>
        <v>71.13</v>
      </c>
      <c r="E121" s="127">
        <f>K63-J63</f>
        <v>245.82800000000003</v>
      </c>
      <c r="F121" s="127">
        <f>O63-K63</f>
        <v>1615.422</v>
      </c>
      <c r="G121" s="187">
        <f t="shared" si="36"/>
        <v>0.12721514401929229</v>
      </c>
      <c r="H121" s="236"/>
      <c r="I121" s="8"/>
      <c r="J121" s="8" t="s">
        <v>237</v>
      </c>
      <c r="K121" s="127">
        <f>K120</f>
        <v>19.399999999999999</v>
      </c>
      <c r="L121" s="127">
        <f>L119</f>
        <v>13</v>
      </c>
      <c r="M121" s="127">
        <f>H77-D77</f>
        <v>10047.35</v>
      </c>
      <c r="N121" s="237"/>
      <c r="P121" s="8"/>
      <c r="Q121" s="127"/>
      <c r="R121" s="127"/>
      <c r="S121" s="127"/>
      <c r="T121" s="127"/>
    </row>
    <row r="122" spans="1:20" x14ac:dyDescent="0.2">
      <c r="A122" s="208"/>
      <c r="B122" s="101"/>
      <c r="C122" s="8" t="s">
        <v>238</v>
      </c>
      <c r="D122" s="127">
        <f>D121</f>
        <v>71.13</v>
      </c>
      <c r="E122" s="127">
        <f>L63-J63</f>
        <v>126.36500000000001</v>
      </c>
      <c r="F122" s="127">
        <f>P63-L63</f>
        <v>146.52100000000002</v>
      </c>
      <c r="G122" s="187">
        <f t="shared" si="36"/>
        <v>0.36732303148690759</v>
      </c>
      <c r="H122" s="236"/>
      <c r="I122" s="8"/>
      <c r="J122" s="8" t="s">
        <v>238</v>
      </c>
      <c r="K122" s="127">
        <f>K121</f>
        <v>19.399999999999999</v>
      </c>
      <c r="L122" s="127">
        <f>L120</f>
        <v>25.128464376639393</v>
      </c>
      <c r="M122" s="127">
        <f>I77-E77</f>
        <v>2998.8715356233606</v>
      </c>
      <c r="N122" s="237"/>
      <c r="P122" s="8"/>
      <c r="Q122" s="127"/>
      <c r="R122" s="127"/>
      <c r="S122" s="127"/>
      <c r="T122" s="127"/>
    </row>
    <row r="123" spans="1:20" x14ac:dyDescent="0.2">
      <c r="A123" s="208"/>
      <c r="B123" s="101" t="s">
        <v>122</v>
      </c>
      <c r="C123" s="8" t="s">
        <v>241</v>
      </c>
      <c r="D123" s="127">
        <f>J64</f>
        <v>64.617999999999995</v>
      </c>
      <c r="E123" s="127">
        <f>K64-J64</f>
        <v>21.311000000000007</v>
      </c>
      <c r="F123" s="127">
        <f>O64-K64</f>
        <v>1730.47235</v>
      </c>
      <c r="G123" s="187">
        <f t="shared" si="36"/>
        <v>1.1732539176983107E-2</v>
      </c>
      <c r="H123" s="236"/>
      <c r="I123" s="105" t="s">
        <v>295</v>
      </c>
      <c r="J123" s="8" t="s">
        <v>263</v>
      </c>
      <c r="K123" s="127">
        <f>C78</f>
        <v>10.6</v>
      </c>
      <c r="L123" s="127">
        <f>D78-C78</f>
        <v>0.37500000000000178</v>
      </c>
      <c r="M123" s="127">
        <f>F78-D78</f>
        <v>0</v>
      </c>
      <c r="N123" s="237"/>
      <c r="P123" s="8"/>
      <c r="Q123" s="127"/>
      <c r="R123" s="127"/>
      <c r="S123" s="127"/>
      <c r="T123" s="127"/>
    </row>
    <row r="124" spans="1:20" x14ac:dyDescent="0.2">
      <c r="A124" s="208"/>
      <c r="B124" s="8"/>
      <c r="C124" s="8" t="s">
        <v>238</v>
      </c>
      <c r="D124" s="127">
        <f>D123</f>
        <v>64.617999999999995</v>
      </c>
      <c r="E124" s="127">
        <f>L64-J64</f>
        <v>15.560000000000002</v>
      </c>
      <c r="F124" s="127">
        <f>P64-L64</f>
        <v>404.06040999999999</v>
      </c>
      <c r="G124" s="187">
        <f t="shared" si="36"/>
        <v>3.21329322058529E-2</v>
      </c>
      <c r="H124" s="236"/>
      <c r="I124" s="8"/>
      <c r="J124" s="8" t="s">
        <v>262</v>
      </c>
      <c r="K124" s="127">
        <f>K123</f>
        <v>10.6</v>
      </c>
      <c r="L124" s="127">
        <f>E78-C78</f>
        <v>3.0499993785895096</v>
      </c>
      <c r="M124" s="127">
        <f>G78-E78</f>
        <v>-2.2249993785895086</v>
      </c>
      <c r="N124" s="237"/>
      <c r="P124" s="8"/>
      <c r="Q124" s="127"/>
      <c r="R124" s="127"/>
      <c r="S124" s="127"/>
      <c r="T124" s="127"/>
    </row>
    <row r="125" spans="1:20" x14ac:dyDescent="0.2">
      <c r="A125" s="208"/>
      <c r="B125" s="101" t="s">
        <v>66</v>
      </c>
      <c r="C125" s="8" t="s">
        <v>241</v>
      </c>
      <c r="D125" s="127">
        <f>J65</f>
        <v>66.086180480459262</v>
      </c>
      <c r="E125" s="127">
        <f>K65-J65</f>
        <v>130.73419458447935</v>
      </c>
      <c r="F125" s="127">
        <f>O65-K65</f>
        <v>2096.7884868556212</v>
      </c>
      <c r="G125" s="187">
        <f t="shared" si="36"/>
        <v>5.6999341411250355E-2</v>
      </c>
      <c r="H125" s="236"/>
      <c r="I125" s="8"/>
      <c r="J125" s="8" t="s">
        <v>237</v>
      </c>
      <c r="K125" s="127">
        <f>K124</f>
        <v>10.6</v>
      </c>
      <c r="L125" s="127">
        <f>L123</f>
        <v>0.37500000000000178</v>
      </c>
      <c r="M125" s="127">
        <f>H78-D78</f>
        <v>237.35</v>
      </c>
      <c r="N125" s="237"/>
      <c r="P125" s="8"/>
      <c r="Q125" s="127"/>
      <c r="R125" s="127"/>
      <c r="S125" s="127"/>
      <c r="T125" s="127"/>
    </row>
    <row r="126" spans="1:20" x14ac:dyDescent="0.2">
      <c r="A126" s="108"/>
      <c r="B126" s="8"/>
      <c r="C126" s="8" t="s">
        <v>238</v>
      </c>
      <c r="D126" s="127">
        <f>D125</f>
        <v>66.086180480459262</v>
      </c>
      <c r="E126" s="127">
        <f>L65-J65</f>
        <v>97.718193810822044</v>
      </c>
      <c r="F126" s="127">
        <f>P65-L65</f>
        <v>416.87238836742767</v>
      </c>
      <c r="G126" s="187">
        <f t="shared" si="36"/>
        <v>0.16828328614943322</v>
      </c>
      <c r="H126" s="236"/>
      <c r="I126" s="8"/>
      <c r="J126" s="8" t="s">
        <v>238</v>
      </c>
      <c r="K126" s="127">
        <f>K125</f>
        <v>10.6</v>
      </c>
      <c r="L126" s="127">
        <f>L124</f>
        <v>3.0499993785895096</v>
      </c>
      <c r="M126" s="127">
        <f>I78-E78</f>
        <v>105.85000062141049</v>
      </c>
      <c r="N126" s="237"/>
      <c r="P126" s="8"/>
      <c r="Q126" s="127"/>
      <c r="R126" s="127"/>
      <c r="S126" s="127"/>
      <c r="T126" s="127"/>
    </row>
    <row r="127" spans="1:20" x14ac:dyDescent="0.2">
      <c r="A127" s="119"/>
      <c r="B127" s="105"/>
      <c r="C127" s="8"/>
      <c r="D127" s="127"/>
      <c r="E127" s="8"/>
      <c r="F127" s="114"/>
      <c r="G127" s="34"/>
      <c r="H127" s="236"/>
      <c r="I127" s="105" t="s">
        <v>296</v>
      </c>
      <c r="J127" s="8" t="s">
        <v>263</v>
      </c>
      <c r="K127" s="114">
        <f>C79</f>
        <v>59.279999999999994</v>
      </c>
      <c r="L127" s="114">
        <f>D79-C79</f>
        <v>9.0450000000000088</v>
      </c>
      <c r="M127" s="127">
        <f>F79-D79</f>
        <v>3.9500000000000028</v>
      </c>
      <c r="N127" s="237"/>
      <c r="P127" s="8"/>
      <c r="Q127" s="127"/>
      <c r="R127" s="114"/>
      <c r="S127" s="114"/>
      <c r="T127" s="127"/>
    </row>
    <row r="128" spans="1:20" x14ac:dyDescent="0.2">
      <c r="A128" s="119"/>
      <c r="B128" s="8"/>
      <c r="C128" s="8"/>
      <c r="D128" s="114"/>
      <c r="E128" s="114"/>
      <c r="F128" s="8"/>
      <c r="H128" s="236"/>
      <c r="I128" s="8"/>
      <c r="J128" s="8" t="s">
        <v>262</v>
      </c>
      <c r="K128" s="127">
        <f>K127</f>
        <v>59.279999999999994</v>
      </c>
      <c r="L128" s="114">
        <f>E79-C79</f>
        <v>37.441900965009218</v>
      </c>
      <c r="M128" s="127">
        <f>G79-E79</f>
        <v>-34.171900965009208</v>
      </c>
      <c r="N128" s="237"/>
      <c r="P128" s="8"/>
      <c r="Q128" s="127"/>
      <c r="R128" s="127"/>
      <c r="S128" s="114"/>
      <c r="T128" s="127"/>
    </row>
    <row r="129" spans="1:20" x14ac:dyDescent="0.2">
      <c r="A129" s="119"/>
      <c r="B129" s="105"/>
      <c r="C129" s="8"/>
      <c r="D129" s="127"/>
      <c r="E129" s="8"/>
      <c r="F129" s="8"/>
      <c r="G129" s="34"/>
      <c r="H129" s="236"/>
      <c r="I129" s="8"/>
      <c r="J129" s="8" t="s">
        <v>237</v>
      </c>
      <c r="K129" s="127">
        <f>K128</f>
        <v>59.279999999999994</v>
      </c>
      <c r="L129" s="127">
        <f>L127</f>
        <v>9.0450000000000088</v>
      </c>
      <c r="M129" s="127">
        <f>H79-D79</f>
        <v>4462.6750000000002</v>
      </c>
      <c r="N129" s="237"/>
      <c r="P129" s="8"/>
      <c r="Q129" s="127"/>
      <c r="R129" s="127"/>
      <c r="S129" s="127"/>
      <c r="T129" s="127"/>
    </row>
    <row r="130" spans="1:20" x14ac:dyDescent="0.2">
      <c r="A130" s="119"/>
      <c r="B130" s="8"/>
      <c r="C130" s="8"/>
      <c r="D130" s="114"/>
      <c r="E130" s="114"/>
      <c r="F130" s="8"/>
      <c r="H130" s="236"/>
      <c r="I130" s="8"/>
      <c r="J130" s="8" t="s">
        <v>238</v>
      </c>
      <c r="K130" s="127">
        <f>K129</f>
        <v>59.279999999999994</v>
      </c>
      <c r="L130" s="127">
        <f>L128</f>
        <v>37.441900965009218</v>
      </c>
      <c r="M130" s="127">
        <f>I79-E79</f>
        <v>3084.9780990349905</v>
      </c>
      <c r="N130" s="237"/>
      <c r="P130" s="8"/>
      <c r="Q130" s="127"/>
      <c r="R130" s="127"/>
      <c r="S130" s="127"/>
      <c r="T130" s="127"/>
    </row>
    <row r="131" spans="1:20" x14ac:dyDescent="0.2">
      <c r="A131" s="119"/>
      <c r="B131" s="105"/>
      <c r="C131" s="8"/>
      <c r="D131" s="127"/>
      <c r="E131" s="8"/>
      <c r="F131" s="8"/>
      <c r="H131" s="236"/>
      <c r="I131" s="105" t="s">
        <v>297</v>
      </c>
      <c r="J131" s="8" t="s">
        <v>263</v>
      </c>
      <c r="K131" s="127">
        <f>C80</f>
        <v>17.8</v>
      </c>
      <c r="L131" s="127">
        <f>D80-C80</f>
        <v>2.6750000000000007</v>
      </c>
      <c r="M131" s="127">
        <f>F80-D80</f>
        <v>0.75</v>
      </c>
      <c r="N131" s="237"/>
      <c r="P131" s="8"/>
      <c r="Q131" s="127"/>
      <c r="R131" s="127"/>
      <c r="S131" s="127"/>
      <c r="T131" s="127"/>
    </row>
    <row r="132" spans="1:20" x14ac:dyDescent="0.2">
      <c r="A132" s="119"/>
      <c r="B132" s="8"/>
      <c r="C132" s="8"/>
      <c r="D132" s="127"/>
      <c r="E132" s="8"/>
      <c r="F132" s="8"/>
      <c r="H132" s="236"/>
      <c r="I132" s="8"/>
      <c r="J132" s="8" t="s">
        <v>262</v>
      </c>
      <c r="K132" s="127">
        <f>K131</f>
        <v>17.8</v>
      </c>
      <c r="L132" s="127">
        <f>E80-C80</f>
        <v>7.4837527734428839</v>
      </c>
      <c r="M132" s="127">
        <f>G80-E80</f>
        <v>-3.2337527734428875</v>
      </c>
      <c r="N132" s="237"/>
      <c r="P132" s="8"/>
      <c r="Q132" s="127"/>
      <c r="R132" s="127"/>
      <c r="S132" s="127"/>
      <c r="T132" s="127"/>
    </row>
    <row r="133" spans="1:20" x14ac:dyDescent="0.2">
      <c r="A133" s="119"/>
      <c r="B133" s="101"/>
      <c r="C133" s="8"/>
      <c r="D133" s="127"/>
      <c r="E133" s="8"/>
      <c r="F133" s="8"/>
      <c r="H133" s="236"/>
      <c r="I133" s="8"/>
      <c r="J133" s="8" t="s">
        <v>237</v>
      </c>
      <c r="K133" s="127">
        <f>K132</f>
        <v>17.8</v>
      </c>
      <c r="L133" s="127">
        <f>L131</f>
        <v>2.6750000000000007</v>
      </c>
      <c r="M133" s="127">
        <f>H80-D80</f>
        <v>365.05833333333328</v>
      </c>
      <c r="N133" s="237"/>
      <c r="P133" s="8"/>
      <c r="Q133" s="127"/>
      <c r="R133" s="127"/>
      <c r="S133" s="127"/>
      <c r="T133" s="127"/>
    </row>
    <row r="134" spans="1:20" x14ac:dyDescent="0.2">
      <c r="A134" s="119"/>
      <c r="B134" s="8"/>
      <c r="C134" s="8"/>
      <c r="D134" s="127"/>
      <c r="E134" s="8"/>
      <c r="F134" s="8"/>
      <c r="H134" s="236"/>
      <c r="I134" s="8"/>
      <c r="J134" s="8" t="s">
        <v>238</v>
      </c>
      <c r="K134" s="127">
        <f>K133</f>
        <v>17.8</v>
      </c>
      <c r="L134" s="127">
        <f>L132</f>
        <v>7.4837527734428839</v>
      </c>
      <c r="M134" s="127">
        <f>I80-E80</f>
        <v>148.71624722655713</v>
      </c>
      <c r="N134" s="237"/>
      <c r="P134" s="8"/>
      <c r="Q134" s="127"/>
      <c r="R134" s="127"/>
      <c r="S134" s="127"/>
      <c r="T134" s="127"/>
    </row>
    <row r="135" spans="1:20" x14ac:dyDescent="0.2">
      <c r="H135" s="236"/>
      <c r="I135" s="105" t="s">
        <v>298</v>
      </c>
      <c r="J135" s="8" t="s">
        <v>263</v>
      </c>
      <c r="K135" s="127">
        <f>C81</f>
        <v>62.519999999999996</v>
      </c>
      <c r="L135" s="127">
        <f>D81-C81</f>
        <v>7.605000000000004</v>
      </c>
      <c r="M135" s="127">
        <f>F81-D81</f>
        <v>2.4249999999999972</v>
      </c>
      <c r="N135" s="237"/>
      <c r="P135" s="8"/>
      <c r="Q135" s="127"/>
      <c r="R135" s="127"/>
      <c r="S135" s="127"/>
      <c r="T135" s="127"/>
    </row>
    <row r="136" spans="1:20" x14ac:dyDescent="0.2">
      <c r="H136" s="236"/>
      <c r="I136" s="8"/>
      <c r="J136" s="8" t="s">
        <v>262</v>
      </c>
      <c r="K136" s="127">
        <f>K135</f>
        <v>62.519999999999996</v>
      </c>
      <c r="L136" s="127">
        <f>E81-C81</f>
        <v>19.573494149464992</v>
      </c>
      <c r="M136" s="127">
        <f>G81-E81</f>
        <v>-8.8684941494649934</v>
      </c>
      <c r="N136" s="237"/>
      <c r="P136" s="8"/>
      <c r="Q136" s="127"/>
      <c r="R136" s="127"/>
      <c r="S136" s="127"/>
      <c r="T136" s="127"/>
    </row>
    <row r="137" spans="1:20" x14ac:dyDescent="0.2">
      <c r="H137" s="236"/>
      <c r="I137" s="8"/>
      <c r="J137" s="8" t="s">
        <v>237</v>
      </c>
      <c r="K137" s="127">
        <f>K136</f>
        <v>62.519999999999996</v>
      </c>
      <c r="L137" s="127">
        <f>L135</f>
        <v>7.605000000000004</v>
      </c>
      <c r="M137" s="127">
        <f>H81-D81</f>
        <v>154.00833333333333</v>
      </c>
      <c r="N137" s="237"/>
      <c r="P137" s="8"/>
      <c r="Q137" s="127"/>
      <c r="R137" s="127"/>
      <c r="S137" s="127"/>
      <c r="T137" s="127"/>
    </row>
    <row r="138" spans="1:20" x14ac:dyDescent="0.2">
      <c r="H138" s="236"/>
      <c r="I138" s="8"/>
      <c r="J138" s="8" t="s">
        <v>238</v>
      </c>
      <c r="K138" s="127">
        <f>K137</f>
        <v>62.519999999999996</v>
      </c>
      <c r="L138" s="127">
        <f>L136</f>
        <v>19.573494149464992</v>
      </c>
      <c r="M138" s="127">
        <f>I81-E81</f>
        <v>46.256505850535035</v>
      </c>
      <c r="N138" s="237"/>
      <c r="O138" s="8"/>
      <c r="P138" s="8"/>
      <c r="Q138" s="127"/>
      <c r="R138" s="127"/>
      <c r="S138" s="127"/>
      <c r="T138" s="127"/>
    </row>
    <row r="139" spans="1:20" x14ac:dyDescent="0.2">
      <c r="H139" s="236"/>
      <c r="I139" s="103" t="s">
        <v>66</v>
      </c>
      <c r="J139" s="8" t="s">
        <v>263</v>
      </c>
      <c r="K139" s="127">
        <f>C82</f>
        <v>23.22343018950146</v>
      </c>
      <c r="L139" s="127">
        <f>D82-C82</f>
        <v>3.8559583529996182</v>
      </c>
      <c r="M139" s="127">
        <f>F82-D82</f>
        <v>0.7497545896037856</v>
      </c>
      <c r="N139" s="237"/>
      <c r="P139" s="8"/>
      <c r="Q139" s="127"/>
      <c r="R139" s="127"/>
      <c r="S139" s="127"/>
      <c r="T139" s="127"/>
    </row>
    <row r="140" spans="1:20" x14ac:dyDescent="0.2">
      <c r="H140" s="236"/>
      <c r="I140" s="8"/>
      <c r="J140" s="8" t="s">
        <v>262</v>
      </c>
      <c r="K140" s="127">
        <f>K139</f>
        <v>23.22343018950146</v>
      </c>
      <c r="L140" s="127">
        <f>E82-C82</f>
        <v>10.257403650020262</v>
      </c>
      <c r="M140" s="127">
        <f>G82-E82</f>
        <v>-5.1980366983835076</v>
      </c>
      <c r="N140" s="237"/>
      <c r="O140" s="8"/>
      <c r="P140" s="8"/>
      <c r="Q140" s="127"/>
      <c r="R140" s="127"/>
      <c r="S140" s="127"/>
      <c r="T140" s="127"/>
    </row>
    <row r="141" spans="1:20" x14ac:dyDescent="0.2">
      <c r="H141" s="236"/>
      <c r="I141" s="8"/>
      <c r="J141" s="8" t="s">
        <v>237</v>
      </c>
      <c r="K141" s="127">
        <f>K140</f>
        <v>23.22343018950146</v>
      </c>
      <c r="L141" s="127">
        <v>3.11</v>
      </c>
      <c r="M141" s="127">
        <f>H82-D82</f>
        <v>349.55111263417092</v>
      </c>
      <c r="N141" s="237"/>
      <c r="O141" s="8"/>
      <c r="P141" s="8"/>
      <c r="Q141" s="127"/>
      <c r="R141" s="127"/>
      <c r="S141" s="127"/>
      <c r="T141" s="127"/>
    </row>
    <row r="142" spans="1:20" x14ac:dyDescent="0.2">
      <c r="H142" s="236"/>
      <c r="I142" s="8"/>
      <c r="J142" s="8" t="s">
        <v>238</v>
      </c>
      <c r="K142" s="127">
        <f>K141</f>
        <v>23.22343018950146</v>
      </c>
      <c r="L142" s="127">
        <v>3.7</v>
      </c>
      <c r="M142" s="127">
        <f>I82-E82</f>
        <v>169.6548556041827</v>
      </c>
      <c r="N142" s="237"/>
      <c r="O142" s="8"/>
      <c r="P142" s="8"/>
      <c r="Q142" s="127"/>
      <c r="R142" s="127"/>
      <c r="S142" s="127"/>
      <c r="T142" s="127"/>
    </row>
    <row r="145" spans="13:13" x14ac:dyDescent="0.2">
      <c r="M145" s="187">
        <f>L139/SUM(K139:M139)</f>
        <v>0.13855828527293831</v>
      </c>
    </row>
    <row r="146" spans="13:13" x14ac:dyDescent="0.2">
      <c r="M146" s="187">
        <f t="shared" ref="M146:M148" si="37">L140/SUM(K140:M140)</f>
        <v>0.36267288552943538</v>
      </c>
    </row>
    <row r="147" spans="13:13" x14ac:dyDescent="0.2">
      <c r="M147" s="187">
        <f t="shared" si="37"/>
        <v>8.2738172116295361E-3</v>
      </c>
    </row>
    <row r="148" spans="13:13" x14ac:dyDescent="0.2">
      <c r="M148" s="187">
        <f t="shared" si="37"/>
        <v>1.8822017828984839E-2</v>
      </c>
    </row>
    <row r="167" spans="1:16" x14ac:dyDescent="0.2">
      <c r="A167" s="219" t="s">
        <v>274</v>
      </c>
      <c r="B167" s="220"/>
      <c r="C167" s="201" t="s">
        <v>22</v>
      </c>
      <c r="D167" s="201" t="s">
        <v>130</v>
      </c>
      <c r="E167" s="203" t="s">
        <v>269</v>
      </c>
      <c r="F167" s="203" t="s">
        <v>270</v>
      </c>
      <c r="G167" s="201" t="s">
        <v>342</v>
      </c>
      <c r="H167" s="234" t="s">
        <v>273</v>
      </c>
      <c r="I167" s="235"/>
      <c r="J167" s="203" t="s">
        <v>127</v>
      </c>
      <c r="K167" s="233" t="s">
        <v>276</v>
      </c>
      <c r="L167" s="233"/>
      <c r="M167" s="233"/>
      <c r="N167" s="96" t="s">
        <v>277</v>
      </c>
      <c r="O167" s="97"/>
    </row>
    <row r="168" spans="1:16" x14ac:dyDescent="0.2">
      <c r="A168" s="221"/>
      <c r="B168" s="222"/>
      <c r="C168" s="202"/>
      <c r="D168" s="202"/>
      <c r="E168" s="204"/>
      <c r="F168" s="204"/>
      <c r="G168" s="202"/>
      <c r="H168" s="93" t="s">
        <v>167</v>
      </c>
      <c r="I168" s="93" t="s">
        <v>275</v>
      </c>
      <c r="J168" s="204"/>
      <c r="K168" s="93" t="s">
        <v>167</v>
      </c>
      <c r="L168" s="93" t="s">
        <v>275</v>
      </c>
      <c r="M168" s="18" t="s">
        <v>299</v>
      </c>
      <c r="N168" s="93" t="s">
        <v>278</v>
      </c>
      <c r="O168" s="106" t="s">
        <v>279</v>
      </c>
    </row>
    <row r="169" spans="1:16" ht="18" x14ac:dyDescent="0.2">
      <c r="A169" s="207" t="s">
        <v>271</v>
      </c>
      <c r="B169" s="99" t="s">
        <v>116</v>
      </c>
      <c r="C169" s="100">
        <v>102</v>
      </c>
      <c r="D169" s="100">
        <v>2067</v>
      </c>
      <c r="E169" s="100">
        <v>1962</v>
      </c>
      <c r="F169" s="98">
        <f t="shared" ref="F169:F190" si="38" xml:space="preserve"> (E169/D169)</f>
        <v>0.94920174165457183</v>
      </c>
      <c r="G169" s="100">
        <v>66</v>
      </c>
      <c r="H169" s="100">
        <v>16077</v>
      </c>
      <c r="I169" s="100">
        <v>16077</v>
      </c>
      <c r="J169" s="98">
        <v>36</v>
      </c>
      <c r="K169" s="152">
        <v>569999428</v>
      </c>
      <c r="L169" s="3">
        <v>662301863</v>
      </c>
      <c r="M169" s="18"/>
      <c r="N169" s="100" t="s">
        <v>153</v>
      </c>
      <c r="O169" s="3">
        <v>662301863</v>
      </c>
      <c r="P169" s="84">
        <f>D169-E169</f>
        <v>105</v>
      </c>
    </row>
    <row r="170" spans="1:16" ht="18" x14ac:dyDescent="0.2">
      <c r="A170" s="208"/>
      <c r="B170" s="101" t="s">
        <v>117</v>
      </c>
      <c r="C170" s="100">
        <v>2226</v>
      </c>
      <c r="D170" s="100">
        <v>56033</v>
      </c>
      <c r="E170" s="100">
        <v>51337</v>
      </c>
      <c r="F170" s="98">
        <f t="shared" si="38"/>
        <v>0.91619224385629894</v>
      </c>
      <c r="G170" s="100">
        <v>6729</v>
      </c>
      <c r="H170" s="100">
        <v>65117646</v>
      </c>
      <c r="I170" s="100">
        <v>65117646</v>
      </c>
      <c r="J170" s="98">
        <v>179</v>
      </c>
      <c r="K170" s="152">
        <v>2580557468</v>
      </c>
      <c r="L170" s="3">
        <v>4555757974</v>
      </c>
      <c r="M170" s="18"/>
      <c r="N170" s="100" t="s">
        <v>153</v>
      </c>
      <c r="O170" s="3">
        <v>4555757974</v>
      </c>
      <c r="P170" s="84">
        <f t="shared" ref="P170:P190" si="39">D170-E170</f>
        <v>4696</v>
      </c>
    </row>
    <row r="171" spans="1:16" ht="18" x14ac:dyDescent="0.2">
      <c r="A171" s="208"/>
      <c r="B171" s="101" t="s">
        <v>115</v>
      </c>
      <c r="C171" s="100">
        <v>25</v>
      </c>
      <c r="D171" s="100">
        <v>137</v>
      </c>
      <c r="E171" s="100">
        <v>113</v>
      </c>
      <c r="F171" s="98">
        <f t="shared" si="38"/>
        <v>0.82481751824817517</v>
      </c>
      <c r="G171" s="100">
        <v>48</v>
      </c>
      <c r="H171" s="100">
        <v>188</v>
      </c>
      <c r="I171" s="100">
        <v>188</v>
      </c>
      <c r="J171" s="98">
        <v>2.6</v>
      </c>
      <c r="K171" s="152">
        <v>313611480</v>
      </c>
      <c r="L171" s="3">
        <v>20604088422</v>
      </c>
      <c r="M171" s="18"/>
      <c r="N171" s="100" t="s">
        <v>153</v>
      </c>
      <c r="O171" s="3">
        <v>20604088422</v>
      </c>
      <c r="P171" s="84">
        <f t="shared" si="39"/>
        <v>24</v>
      </c>
    </row>
    <row r="172" spans="1:16" ht="18" x14ac:dyDescent="0.2">
      <c r="A172" s="208"/>
      <c r="B172" s="101" t="s">
        <v>118</v>
      </c>
      <c r="C172" s="100">
        <v>19</v>
      </c>
      <c r="D172" s="100">
        <v>56</v>
      </c>
      <c r="E172" s="100">
        <v>38</v>
      </c>
      <c r="F172" s="98">
        <f t="shared" si="38"/>
        <v>0.6785714285714286</v>
      </c>
      <c r="G172" s="100">
        <v>0</v>
      </c>
      <c r="H172" s="100">
        <v>70</v>
      </c>
      <c r="I172" s="100">
        <v>70</v>
      </c>
      <c r="J172" s="98">
        <v>1.1000000000000001</v>
      </c>
      <c r="K172" s="152">
        <v>29461</v>
      </c>
      <c r="L172" s="3">
        <v>2651595</v>
      </c>
      <c r="M172" s="18"/>
      <c r="N172" s="100" t="s">
        <v>153</v>
      </c>
      <c r="O172" s="3">
        <v>2651595</v>
      </c>
      <c r="P172" s="84">
        <f t="shared" si="39"/>
        <v>18</v>
      </c>
    </row>
    <row r="173" spans="1:16" ht="18" x14ac:dyDescent="0.2">
      <c r="A173" s="208"/>
      <c r="B173" s="101" t="s">
        <v>156</v>
      </c>
      <c r="C173" s="100">
        <v>4007</v>
      </c>
      <c r="D173" s="100">
        <v>170354</v>
      </c>
      <c r="E173" s="100">
        <v>24674</v>
      </c>
      <c r="F173" s="98">
        <f t="shared" si="38"/>
        <v>0.14483956936731746</v>
      </c>
      <c r="G173" s="100">
        <v>2977</v>
      </c>
      <c r="H173" s="100">
        <v>96429161011</v>
      </c>
      <c r="I173" s="100">
        <v>96429161011</v>
      </c>
      <c r="J173" s="98"/>
      <c r="K173" s="152"/>
      <c r="L173" s="5">
        <v>24879614388</v>
      </c>
      <c r="M173" s="18"/>
      <c r="N173" s="100" t="s">
        <v>153</v>
      </c>
      <c r="O173" s="5">
        <v>24879614388</v>
      </c>
      <c r="P173" s="84">
        <f t="shared" si="39"/>
        <v>145680</v>
      </c>
    </row>
    <row r="174" spans="1:16" ht="18" x14ac:dyDescent="0.2">
      <c r="A174" s="208"/>
      <c r="B174" s="101" t="s">
        <v>119</v>
      </c>
      <c r="C174" s="102" t="s">
        <v>159</v>
      </c>
      <c r="D174" s="100">
        <v>33617</v>
      </c>
      <c r="E174" s="100">
        <v>18885</v>
      </c>
      <c r="F174" s="98">
        <f t="shared" si="38"/>
        <v>0.56176934289198921</v>
      </c>
      <c r="G174" s="100">
        <v>60</v>
      </c>
      <c r="H174" s="100">
        <v>10316506067</v>
      </c>
      <c r="I174" s="100">
        <v>10316506067</v>
      </c>
      <c r="J174" s="98">
        <v>70</v>
      </c>
      <c r="K174" s="152">
        <v>1434068823</v>
      </c>
      <c r="L174" s="3">
        <v>9984356426</v>
      </c>
      <c r="M174" s="18"/>
      <c r="N174" s="100" t="s">
        <v>153</v>
      </c>
      <c r="O174" s="3">
        <v>9984356426</v>
      </c>
      <c r="P174" s="84">
        <f t="shared" si="39"/>
        <v>14732</v>
      </c>
    </row>
    <row r="175" spans="1:16" ht="18" x14ac:dyDescent="0.2">
      <c r="A175" s="208"/>
      <c r="B175" s="101" t="s">
        <v>120</v>
      </c>
      <c r="C175" s="100">
        <v>398</v>
      </c>
      <c r="D175" s="100">
        <v>21323</v>
      </c>
      <c r="E175" s="100">
        <v>20926</v>
      </c>
      <c r="F175" s="98">
        <f t="shared" si="38"/>
        <v>0.98138160671575292</v>
      </c>
      <c r="G175" s="100">
        <v>17911</v>
      </c>
      <c r="H175" s="100">
        <v>18929528</v>
      </c>
      <c r="I175" s="100">
        <v>18929528</v>
      </c>
      <c r="J175" s="98">
        <v>310</v>
      </c>
      <c r="K175" s="152">
        <v>1384135655</v>
      </c>
      <c r="L175" s="3">
        <v>3265253366</v>
      </c>
      <c r="M175" s="18"/>
      <c r="N175" s="100" t="s">
        <v>153</v>
      </c>
      <c r="O175" s="3">
        <v>3265253366</v>
      </c>
      <c r="P175" s="84">
        <f t="shared" si="39"/>
        <v>397</v>
      </c>
    </row>
    <row r="176" spans="1:16" ht="18" x14ac:dyDescent="0.2">
      <c r="A176" s="208"/>
      <c r="B176" s="101" t="s">
        <v>121</v>
      </c>
      <c r="C176" s="100">
        <v>115</v>
      </c>
      <c r="D176" s="100">
        <v>802</v>
      </c>
      <c r="E176" s="100">
        <v>680</v>
      </c>
      <c r="F176" s="98">
        <f t="shared" si="38"/>
        <v>0.84788029925187036</v>
      </c>
      <c r="G176" s="100">
        <v>0</v>
      </c>
      <c r="H176" s="100">
        <v>4925</v>
      </c>
      <c r="I176" s="100">
        <v>4925</v>
      </c>
      <c r="J176" s="98">
        <v>11</v>
      </c>
      <c r="K176" s="152">
        <v>8958906192</v>
      </c>
      <c r="L176" s="3">
        <v>11536625846</v>
      </c>
      <c r="M176" s="18"/>
      <c r="N176" s="100" t="s">
        <v>153</v>
      </c>
      <c r="O176" s="3">
        <v>11536625846</v>
      </c>
      <c r="P176" s="84">
        <f t="shared" si="39"/>
        <v>122</v>
      </c>
    </row>
    <row r="177" spans="1:16" ht="18" x14ac:dyDescent="0.2">
      <c r="A177" s="227"/>
      <c r="B177" s="101" t="s">
        <v>122</v>
      </c>
      <c r="C177" s="100">
        <v>139</v>
      </c>
      <c r="D177" s="100">
        <v>1982</v>
      </c>
      <c r="E177" s="100">
        <v>1664</v>
      </c>
      <c r="F177" s="98">
        <f t="shared" si="38"/>
        <v>0.83955600403632691</v>
      </c>
      <c r="G177" s="100">
        <v>1651</v>
      </c>
      <c r="H177" s="100">
        <v>516678285489</v>
      </c>
      <c r="I177" s="100">
        <v>516678285489</v>
      </c>
      <c r="J177" s="98">
        <v>31</v>
      </c>
      <c r="K177" s="152">
        <v>9246369</v>
      </c>
      <c r="L177" s="3" t="s">
        <v>242</v>
      </c>
      <c r="M177" s="18"/>
      <c r="N177" s="100" t="s">
        <v>153</v>
      </c>
      <c r="O177" s="3" t="s">
        <v>242</v>
      </c>
      <c r="P177" s="84">
        <f t="shared" si="39"/>
        <v>318</v>
      </c>
    </row>
    <row r="178" spans="1:16" x14ac:dyDescent="0.2">
      <c r="A178" s="228" t="s">
        <v>272</v>
      </c>
      <c r="B178" s="103" t="s">
        <v>91</v>
      </c>
      <c r="C178" s="100">
        <v>73</v>
      </c>
      <c r="D178" s="100">
        <v>270</v>
      </c>
      <c r="E178" s="100">
        <v>198</v>
      </c>
      <c r="F178" s="98">
        <f t="shared" si="38"/>
        <v>0.73333333333333328</v>
      </c>
      <c r="G178" s="100">
        <v>0</v>
      </c>
      <c r="H178" s="100">
        <v>495</v>
      </c>
      <c r="I178" s="100">
        <v>495</v>
      </c>
      <c r="J178" s="98">
        <v>5.4</v>
      </c>
      <c r="K178" s="104">
        <v>9034225961</v>
      </c>
      <c r="L178" s="104">
        <v>12332233095</v>
      </c>
      <c r="M178" s="91">
        <f>L178/K178</f>
        <v>1.3650569676071</v>
      </c>
      <c r="N178" s="100">
        <v>2925361</v>
      </c>
      <c r="O178" s="105">
        <v>12332233095</v>
      </c>
      <c r="P178" s="84">
        <f t="shared" si="39"/>
        <v>72</v>
      </c>
    </row>
    <row r="179" spans="1:16" x14ac:dyDescent="0.2">
      <c r="A179" s="210"/>
      <c r="B179" s="103" t="s">
        <v>92</v>
      </c>
      <c r="C179" s="100">
        <v>155</v>
      </c>
      <c r="D179" s="100">
        <v>544</v>
      </c>
      <c r="E179" s="100">
        <v>390</v>
      </c>
      <c r="F179" s="98">
        <f t="shared" si="38"/>
        <v>0.71691176470588236</v>
      </c>
      <c r="G179" s="100">
        <v>0</v>
      </c>
      <c r="H179" s="100">
        <v>4835</v>
      </c>
      <c r="I179" s="100">
        <v>4835</v>
      </c>
      <c r="J179" s="98">
        <v>11</v>
      </c>
      <c r="K179" s="104">
        <v>1068591</v>
      </c>
      <c r="L179" s="104">
        <v>1627182</v>
      </c>
      <c r="M179" s="91">
        <f t="shared" ref="M179:M190" si="40">L179/K179</f>
        <v>1.5227360140596355</v>
      </c>
      <c r="N179" s="100">
        <v>32</v>
      </c>
      <c r="O179" s="105">
        <v>1627182</v>
      </c>
      <c r="P179" s="84">
        <f t="shared" si="39"/>
        <v>154</v>
      </c>
    </row>
    <row r="180" spans="1:16" x14ac:dyDescent="0.2">
      <c r="A180" s="210"/>
      <c r="B180" s="103" t="s">
        <v>93</v>
      </c>
      <c r="C180" s="100">
        <v>39</v>
      </c>
      <c r="D180" s="100">
        <v>201</v>
      </c>
      <c r="E180" s="100">
        <v>163</v>
      </c>
      <c r="F180" s="98">
        <f t="shared" si="38"/>
        <v>0.81094527363184077</v>
      </c>
      <c r="G180" s="100">
        <v>0</v>
      </c>
      <c r="H180" s="100">
        <v>421</v>
      </c>
      <c r="I180" s="100">
        <v>421</v>
      </c>
      <c r="J180" s="98">
        <v>4.2</v>
      </c>
      <c r="K180" s="104">
        <v>536903807</v>
      </c>
      <c r="L180" s="104">
        <v>1610727582</v>
      </c>
      <c r="M180" s="91">
        <f t="shared" si="40"/>
        <v>3.000030100363956</v>
      </c>
      <c r="N180" s="100">
        <v>14</v>
      </c>
      <c r="O180" s="105">
        <v>1610727582</v>
      </c>
      <c r="P180" s="84">
        <f t="shared" si="39"/>
        <v>38</v>
      </c>
    </row>
    <row r="181" spans="1:16" x14ac:dyDescent="0.2">
      <c r="A181" s="210"/>
      <c r="B181" s="103" t="s">
        <v>94</v>
      </c>
      <c r="C181" s="100">
        <v>115</v>
      </c>
      <c r="D181" s="100">
        <v>562</v>
      </c>
      <c r="E181" s="100">
        <v>446</v>
      </c>
      <c r="F181" s="98">
        <f t="shared" si="38"/>
        <v>0.79359430604982206</v>
      </c>
      <c r="G181" s="100">
        <v>38</v>
      </c>
      <c r="H181" s="100">
        <v>14513</v>
      </c>
      <c r="I181" s="100">
        <v>14513</v>
      </c>
      <c r="J181" s="98">
        <v>12</v>
      </c>
      <c r="K181" s="104">
        <v>285789713</v>
      </c>
      <c r="L181" s="104">
        <v>494976927</v>
      </c>
      <c r="M181" s="91">
        <f t="shared" si="40"/>
        <v>1.731962014322048</v>
      </c>
      <c r="N181" s="100">
        <v>2781202</v>
      </c>
      <c r="O181" s="105">
        <v>494976927</v>
      </c>
      <c r="P181" s="84">
        <f t="shared" si="39"/>
        <v>116</v>
      </c>
    </row>
    <row r="182" spans="1:16" x14ac:dyDescent="0.2">
      <c r="A182" s="210"/>
      <c r="B182" s="103" t="s">
        <v>95</v>
      </c>
      <c r="C182" s="100">
        <v>39</v>
      </c>
      <c r="D182" s="100">
        <v>170</v>
      </c>
      <c r="E182" s="100">
        <v>132</v>
      </c>
      <c r="F182" s="98">
        <f t="shared" si="38"/>
        <v>0.77647058823529413</v>
      </c>
      <c r="G182" s="100">
        <v>0</v>
      </c>
      <c r="H182" s="100">
        <v>241</v>
      </c>
      <c r="I182" s="100">
        <v>241</v>
      </c>
      <c r="J182" s="98">
        <v>3.7</v>
      </c>
      <c r="K182" s="104">
        <v>1446937674</v>
      </c>
      <c r="L182" s="104">
        <v>1469503198</v>
      </c>
      <c r="M182" s="91">
        <f t="shared" si="40"/>
        <v>1.0155953669639539</v>
      </c>
      <c r="N182" s="100">
        <v>1030</v>
      </c>
      <c r="O182" s="105">
        <v>1469503198</v>
      </c>
      <c r="P182" s="84">
        <f t="shared" si="39"/>
        <v>38</v>
      </c>
    </row>
    <row r="183" spans="1:16" x14ac:dyDescent="0.2">
      <c r="A183" s="210"/>
      <c r="B183" s="103" t="s">
        <v>96</v>
      </c>
      <c r="C183" s="100">
        <v>36</v>
      </c>
      <c r="D183" s="100">
        <v>158</v>
      </c>
      <c r="E183" s="100">
        <v>123</v>
      </c>
      <c r="F183" s="98">
        <f t="shared" si="38"/>
        <v>0.77848101265822789</v>
      </c>
      <c r="G183" s="100">
        <v>0</v>
      </c>
      <c r="H183" s="100">
        <v>228</v>
      </c>
      <c r="I183" s="100">
        <v>228</v>
      </c>
      <c r="J183" s="98">
        <v>3.4</v>
      </c>
      <c r="K183" s="104">
        <v>1442920259</v>
      </c>
      <c r="L183" s="104">
        <v>1469372122</v>
      </c>
      <c r="M183" s="91">
        <f t="shared" si="40"/>
        <v>1.0183321724364256</v>
      </c>
      <c r="N183" s="100">
        <v>1030</v>
      </c>
      <c r="O183" s="105">
        <v>1469372122</v>
      </c>
      <c r="P183" s="84">
        <f t="shared" si="39"/>
        <v>35</v>
      </c>
    </row>
    <row r="184" spans="1:16" x14ac:dyDescent="0.2">
      <c r="A184" s="210"/>
      <c r="B184" s="103" t="s">
        <v>97</v>
      </c>
      <c r="C184" s="100">
        <v>43</v>
      </c>
      <c r="D184" s="100">
        <v>379</v>
      </c>
      <c r="E184" s="100">
        <v>337</v>
      </c>
      <c r="F184" s="98">
        <f t="shared" si="38"/>
        <v>0.8891820580474934</v>
      </c>
      <c r="G184" s="100">
        <v>0</v>
      </c>
      <c r="H184" s="100">
        <v>732</v>
      </c>
      <c r="I184" s="100">
        <v>732</v>
      </c>
      <c r="J184" s="98">
        <v>8.1</v>
      </c>
      <c r="K184" s="104">
        <v>16790686</v>
      </c>
      <c r="L184" s="104">
        <v>16792209</v>
      </c>
      <c r="M184" s="91">
        <f t="shared" si="40"/>
        <v>1.000090705049216</v>
      </c>
      <c r="N184" s="100">
        <v>1336</v>
      </c>
      <c r="O184" s="105">
        <v>16792209</v>
      </c>
      <c r="P184" s="84">
        <f t="shared" si="39"/>
        <v>42</v>
      </c>
    </row>
    <row r="185" spans="1:16" x14ac:dyDescent="0.2">
      <c r="A185" s="210"/>
      <c r="B185" s="103" t="s">
        <v>98</v>
      </c>
      <c r="C185" s="100">
        <v>35</v>
      </c>
      <c r="D185" s="100">
        <v>303</v>
      </c>
      <c r="E185" s="100">
        <v>269</v>
      </c>
      <c r="F185" s="98">
        <f t="shared" si="38"/>
        <v>0.88778877887788776</v>
      </c>
      <c r="G185" s="100">
        <v>0</v>
      </c>
      <c r="H185" s="100">
        <v>603</v>
      </c>
      <c r="I185" s="100">
        <v>603</v>
      </c>
      <c r="J185" s="98">
        <v>6.5</v>
      </c>
      <c r="K185" s="104">
        <v>23542</v>
      </c>
      <c r="L185" s="104">
        <v>24808</v>
      </c>
      <c r="M185" s="91">
        <f t="shared" si="40"/>
        <v>1.0537762297171014</v>
      </c>
      <c r="N185" s="100">
        <v>1300</v>
      </c>
      <c r="O185" s="105">
        <v>24808</v>
      </c>
      <c r="P185" s="84">
        <f t="shared" si="39"/>
        <v>34</v>
      </c>
    </row>
    <row r="186" spans="1:16" x14ac:dyDescent="0.2">
      <c r="A186" s="210"/>
      <c r="B186" s="103" t="s">
        <v>99</v>
      </c>
      <c r="C186" s="100">
        <v>205</v>
      </c>
      <c r="D186" s="100">
        <v>845</v>
      </c>
      <c r="E186" s="100">
        <v>534</v>
      </c>
      <c r="F186" s="98">
        <f t="shared" si="38"/>
        <v>0.63195266272189354</v>
      </c>
      <c r="G186" s="100">
        <v>16</v>
      </c>
      <c r="H186" s="100">
        <v>315116</v>
      </c>
      <c r="I186" s="100">
        <v>315116</v>
      </c>
      <c r="J186" s="98">
        <v>13</v>
      </c>
      <c r="K186" s="104">
        <v>4594588726</v>
      </c>
      <c r="L186" s="104">
        <v>6375383414</v>
      </c>
      <c r="M186" s="91">
        <f t="shared" si="40"/>
        <v>1.3875852212675281</v>
      </c>
      <c r="N186" s="100">
        <v>96</v>
      </c>
      <c r="O186" s="105">
        <v>6375383414</v>
      </c>
      <c r="P186" s="84">
        <f t="shared" si="39"/>
        <v>311</v>
      </c>
    </row>
    <row r="187" spans="1:16" x14ac:dyDescent="0.2">
      <c r="A187" s="210"/>
      <c r="B187" s="103" t="s">
        <v>100</v>
      </c>
      <c r="C187" s="100">
        <v>30</v>
      </c>
      <c r="D187" s="100">
        <v>170</v>
      </c>
      <c r="E187" s="100">
        <v>141</v>
      </c>
      <c r="F187" s="98">
        <f t="shared" si="38"/>
        <v>0.8294117647058824</v>
      </c>
      <c r="G187" s="100">
        <v>0</v>
      </c>
      <c r="H187" s="100">
        <v>239</v>
      </c>
      <c r="I187" s="100">
        <v>239</v>
      </c>
      <c r="J187" s="98">
        <v>3.7</v>
      </c>
      <c r="K187" s="104">
        <v>276145966</v>
      </c>
      <c r="L187" s="104">
        <v>368194592</v>
      </c>
      <c r="M187" s="91">
        <f t="shared" si="40"/>
        <v>1.3333332271093179</v>
      </c>
      <c r="N187" s="100">
        <v>30</v>
      </c>
      <c r="O187" s="105">
        <v>368194592</v>
      </c>
      <c r="P187" s="84">
        <f t="shared" si="39"/>
        <v>29</v>
      </c>
    </row>
    <row r="188" spans="1:16" x14ac:dyDescent="0.2">
      <c r="A188" s="210"/>
      <c r="B188" s="103" t="s">
        <v>158</v>
      </c>
      <c r="C188" s="100">
        <v>143</v>
      </c>
      <c r="D188" s="100">
        <v>659</v>
      </c>
      <c r="E188" s="100">
        <v>515</v>
      </c>
      <c r="F188" s="98">
        <f t="shared" si="38"/>
        <v>0.78148710166919577</v>
      </c>
      <c r="G188" s="100">
        <v>90</v>
      </c>
      <c r="H188" s="100">
        <v>2450</v>
      </c>
      <c r="I188" s="100">
        <v>2450</v>
      </c>
      <c r="J188" s="98"/>
      <c r="K188" s="104">
        <v>131735944</v>
      </c>
      <c r="L188" s="104">
        <v>280618455</v>
      </c>
      <c r="M188" s="91">
        <f t="shared" si="40"/>
        <v>2.1301586072818517</v>
      </c>
      <c r="N188" s="100">
        <v>2</v>
      </c>
      <c r="O188" s="105">
        <v>280618455</v>
      </c>
      <c r="P188" s="84">
        <f t="shared" si="39"/>
        <v>144</v>
      </c>
    </row>
    <row r="189" spans="1:16" x14ac:dyDescent="0.2">
      <c r="A189" s="210"/>
      <c r="B189" s="103" t="s">
        <v>101</v>
      </c>
      <c r="C189" s="100">
        <v>42</v>
      </c>
      <c r="D189" s="100">
        <v>239</v>
      </c>
      <c r="E189" s="100">
        <v>198</v>
      </c>
      <c r="F189" s="98">
        <f t="shared" si="38"/>
        <v>0.82845188284518834</v>
      </c>
      <c r="G189" s="100">
        <v>0</v>
      </c>
      <c r="H189" s="100">
        <v>434</v>
      </c>
      <c r="I189" s="100">
        <v>434</v>
      </c>
      <c r="J189" s="98">
        <v>4.8</v>
      </c>
      <c r="K189" s="104">
        <v>430138207</v>
      </c>
      <c r="L189" s="104">
        <v>591036261</v>
      </c>
      <c r="M189" s="91">
        <f t="shared" si="40"/>
        <v>1.3740612932810221</v>
      </c>
      <c r="N189" s="100">
        <v>50</v>
      </c>
      <c r="O189" s="105">
        <v>591036261</v>
      </c>
      <c r="P189" s="84">
        <f t="shared" si="39"/>
        <v>41</v>
      </c>
    </row>
    <row r="190" spans="1:16" x14ac:dyDescent="0.2">
      <c r="A190" s="205"/>
      <c r="B190" s="103" t="s">
        <v>102</v>
      </c>
      <c r="C190" s="100">
        <v>42</v>
      </c>
      <c r="D190" s="100">
        <v>252</v>
      </c>
      <c r="E190" s="100">
        <v>211</v>
      </c>
      <c r="F190" s="98">
        <f t="shared" si="38"/>
        <v>0.83730158730158732</v>
      </c>
      <c r="G190" s="100">
        <v>0</v>
      </c>
      <c r="H190" s="100">
        <v>437</v>
      </c>
      <c r="I190" s="100">
        <v>437</v>
      </c>
      <c r="J190" s="98">
        <v>5.0999999999999996</v>
      </c>
      <c r="K190" s="104">
        <v>145729493</v>
      </c>
      <c r="L190" s="104">
        <v>181140542</v>
      </c>
      <c r="M190" s="91">
        <f t="shared" si="40"/>
        <v>1.2429916434280053</v>
      </c>
      <c r="N190" s="100">
        <v>160</v>
      </c>
      <c r="O190" s="105">
        <v>181140542</v>
      </c>
      <c r="P190" s="84">
        <f t="shared" si="39"/>
        <v>41</v>
      </c>
    </row>
    <row r="191" spans="1:16" x14ac:dyDescent="0.2">
      <c r="L191">
        <f>L169/K169</f>
        <v>1.1619342589936774</v>
      </c>
    </row>
    <row r="192" spans="1:16" x14ac:dyDescent="0.2">
      <c r="L192">
        <f t="shared" ref="L192:L212" si="41">L170/K170</f>
        <v>1.7654162057979017</v>
      </c>
    </row>
    <row r="193" spans="2:12" x14ac:dyDescent="0.2">
      <c r="C193" s="201"/>
      <c r="D193" s="201" t="s">
        <v>130</v>
      </c>
      <c r="E193" s="203" t="s">
        <v>269</v>
      </c>
      <c r="F193" s="203" t="s">
        <v>270</v>
      </c>
      <c r="G193" s="201" t="s">
        <v>341</v>
      </c>
      <c r="L193">
        <f t="shared" si="41"/>
        <v>65.69940750255698</v>
      </c>
    </row>
    <row r="194" spans="2:12" x14ac:dyDescent="0.2">
      <c r="C194" s="202"/>
      <c r="D194" s="202"/>
      <c r="E194" s="204"/>
      <c r="F194" s="204"/>
      <c r="G194" s="202"/>
      <c r="L194">
        <f t="shared" si="41"/>
        <v>90.003564033807407</v>
      </c>
    </row>
    <row r="195" spans="2:12" x14ac:dyDescent="0.2">
      <c r="B195" s="101" t="s">
        <v>120</v>
      </c>
      <c r="C195" s="101" t="s">
        <v>120</v>
      </c>
      <c r="D195" s="100">
        <v>21323</v>
      </c>
      <c r="E195" s="100">
        <v>20926</v>
      </c>
      <c r="F195" s="98">
        <f t="shared" ref="F195" si="42" xml:space="preserve"> (E195/D195)</f>
        <v>0.98138160671575292</v>
      </c>
      <c r="G195" s="100">
        <v>17911</v>
      </c>
      <c r="L195" t="e">
        <f t="shared" si="41"/>
        <v>#DIV/0!</v>
      </c>
    </row>
    <row r="196" spans="2:12" x14ac:dyDescent="0.2">
      <c r="L196">
        <f t="shared" si="41"/>
        <v>6.962257505266189</v>
      </c>
    </row>
    <row r="197" spans="2:12" x14ac:dyDescent="0.2">
      <c r="L197">
        <f t="shared" si="41"/>
        <v>2.3590558874809133</v>
      </c>
    </row>
    <row r="198" spans="2:12" x14ac:dyDescent="0.2">
      <c r="L198">
        <f t="shared" si="41"/>
        <v>1.2877270504631264</v>
      </c>
    </row>
    <row r="199" spans="2:12" x14ac:dyDescent="0.2">
      <c r="L199" s="87">
        <f>4400000000/K177</f>
        <v>475.86247098726</v>
      </c>
    </row>
    <row r="200" spans="2:12" x14ac:dyDescent="0.2">
      <c r="L200">
        <f t="shared" si="41"/>
        <v>1.3650569676071</v>
      </c>
    </row>
    <row r="201" spans="2:12" x14ac:dyDescent="0.2">
      <c r="L201">
        <f t="shared" si="41"/>
        <v>1.5227360140596355</v>
      </c>
    </row>
    <row r="202" spans="2:12" x14ac:dyDescent="0.2">
      <c r="B202" s="243" t="s">
        <v>39</v>
      </c>
      <c r="C202" s="243" t="s">
        <v>22</v>
      </c>
      <c r="D202" s="243" t="s">
        <v>358</v>
      </c>
      <c r="E202" s="243" t="s">
        <v>359</v>
      </c>
      <c r="F202" s="243" t="s">
        <v>360</v>
      </c>
      <c r="G202" s="243" t="s">
        <v>361</v>
      </c>
      <c r="H202" s="243" t="s">
        <v>330</v>
      </c>
      <c r="I202" s="243"/>
      <c r="J202" s="243" t="s">
        <v>332</v>
      </c>
      <c r="K202" s="243"/>
      <c r="L202">
        <f t="shared" si="41"/>
        <v>3.000030100363956</v>
      </c>
    </row>
    <row r="203" spans="2:12" x14ac:dyDescent="0.2">
      <c r="B203" s="243"/>
      <c r="C203" s="243"/>
      <c r="D203" s="243"/>
      <c r="E203" s="243"/>
      <c r="F203" s="243"/>
      <c r="G203" s="243"/>
      <c r="H203" s="8" t="s">
        <v>167</v>
      </c>
      <c r="I203" s="8" t="s">
        <v>161</v>
      </c>
      <c r="J203" s="8" t="s">
        <v>278</v>
      </c>
      <c r="K203" s="8" t="s">
        <v>362</v>
      </c>
      <c r="L203">
        <f t="shared" si="41"/>
        <v>1.731962014322048</v>
      </c>
    </row>
    <row r="204" spans="2:12" x14ac:dyDescent="0.2">
      <c r="L204">
        <f t="shared" si="41"/>
        <v>1.0155953669639539</v>
      </c>
    </row>
    <row r="205" spans="2:12" x14ac:dyDescent="0.2">
      <c r="L205">
        <f t="shared" si="41"/>
        <v>1.0183321724364256</v>
      </c>
    </row>
    <row r="206" spans="2:12" x14ac:dyDescent="0.2">
      <c r="L206">
        <f t="shared" si="41"/>
        <v>1.000090705049216</v>
      </c>
    </row>
    <row r="207" spans="2:12" x14ac:dyDescent="0.2">
      <c r="L207">
        <f t="shared" si="41"/>
        <v>1.0537762297171014</v>
      </c>
    </row>
    <row r="208" spans="2:12" x14ac:dyDescent="0.2">
      <c r="L208">
        <f t="shared" si="41"/>
        <v>1.3875852212675281</v>
      </c>
    </row>
    <row r="209" spans="12:12" x14ac:dyDescent="0.2">
      <c r="L209">
        <f t="shared" si="41"/>
        <v>1.3333332271093179</v>
      </c>
    </row>
    <row r="210" spans="12:12" x14ac:dyDescent="0.2">
      <c r="L210">
        <f t="shared" si="41"/>
        <v>2.1301586072818517</v>
      </c>
    </row>
    <row r="211" spans="12:12" x14ac:dyDescent="0.2">
      <c r="L211">
        <f t="shared" si="41"/>
        <v>1.3740612932810221</v>
      </c>
    </row>
    <row r="212" spans="12:12" x14ac:dyDescent="0.2">
      <c r="L212">
        <f t="shared" si="41"/>
        <v>1.2429916434280053</v>
      </c>
    </row>
  </sheetData>
  <mergeCells count="54">
    <mergeCell ref="R68:R69"/>
    <mergeCell ref="A87:A106"/>
    <mergeCell ref="A107:A125"/>
    <mergeCell ref="B202:B203"/>
    <mergeCell ref="C202:C203"/>
    <mergeCell ref="D202:D203"/>
    <mergeCell ref="E202:E203"/>
    <mergeCell ref="F202:F203"/>
    <mergeCell ref="G202:G203"/>
    <mergeCell ref="H202:I202"/>
    <mergeCell ref="J202:K202"/>
    <mergeCell ref="A178:A190"/>
    <mergeCell ref="B28:AK28"/>
    <mergeCell ref="C29:G29"/>
    <mergeCell ref="H29:L29"/>
    <mergeCell ref="M29:Q29"/>
    <mergeCell ref="R29:V29"/>
    <mergeCell ref="W29:AA29"/>
    <mergeCell ref="AB29:AF29"/>
    <mergeCell ref="AG29:AK29"/>
    <mergeCell ref="K167:M167"/>
    <mergeCell ref="G167:G168"/>
    <mergeCell ref="H167:I167"/>
    <mergeCell ref="J167:J168"/>
    <mergeCell ref="H87:H142"/>
    <mergeCell ref="N87:N142"/>
    <mergeCell ref="R63:R64"/>
    <mergeCell ref="E167:E168"/>
    <mergeCell ref="F167:F168"/>
    <mergeCell ref="J54:P54"/>
    <mergeCell ref="C54:I54"/>
    <mergeCell ref="A169:A177"/>
    <mergeCell ref="A40:A52"/>
    <mergeCell ref="A4:A12"/>
    <mergeCell ref="A13:A25"/>
    <mergeCell ref="A69:A84"/>
    <mergeCell ref="A56:A64"/>
    <mergeCell ref="A31:A39"/>
    <mergeCell ref="AB2:AF2"/>
    <mergeCell ref="AG2:AK2"/>
    <mergeCell ref="B1:AK1"/>
    <mergeCell ref="D193:D194"/>
    <mergeCell ref="E193:E194"/>
    <mergeCell ref="F193:F194"/>
    <mergeCell ref="G193:G194"/>
    <mergeCell ref="C193:C194"/>
    <mergeCell ref="C2:G2"/>
    <mergeCell ref="H2:L2"/>
    <mergeCell ref="M2:Q2"/>
    <mergeCell ref="R2:V2"/>
    <mergeCell ref="W2:AA2"/>
    <mergeCell ref="A167:B168"/>
    <mergeCell ref="C167:C168"/>
    <mergeCell ref="D167:D168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FDD2-2C4F-7642-A0C2-ADDD7B9E19FB}">
  <dimension ref="A1:AM213"/>
  <sheetViews>
    <sheetView tabSelected="1" topLeftCell="R101" zoomScale="95" zoomScaleNormal="95" workbookViewId="0">
      <pane ySplit="2640" activePane="bottomLeft"/>
      <selection activeCell="V97" sqref="V97"/>
      <selection pane="bottomLeft" activeCell="AD23" sqref="AD23"/>
    </sheetView>
  </sheetViews>
  <sheetFormatPr baseColWidth="10" defaultColWidth="23.1640625" defaultRowHeight="16" x14ac:dyDescent="0.2"/>
  <cols>
    <col min="1" max="1" width="6.6640625" customWidth="1"/>
    <col min="2" max="2" width="19.5" bestFit="1" customWidth="1"/>
    <col min="3" max="7" width="12.1640625" customWidth="1"/>
    <col min="8" max="8" width="18.1640625" bestFit="1" customWidth="1"/>
    <col min="9" max="9" width="18" bestFit="1" customWidth="1"/>
    <col min="10" max="10" width="13.33203125" bestFit="1" customWidth="1"/>
    <col min="11" max="11" width="16.6640625" bestFit="1" customWidth="1"/>
    <col min="12" max="12" width="19.5" bestFit="1" customWidth="1"/>
    <col min="13" max="13" width="16.6640625" bestFit="1" customWidth="1"/>
    <col min="14" max="14" width="16.83203125" bestFit="1" customWidth="1"/>
    <col min="15" max="16" width="16.6640625" bestFit="1" customWidth="1"/>
    <col min="17" max="17" width="16.83203125" bestFit="1" customWidth="1"/>
    <col min="18" max="18" width="13.1640625" bestFit="1" customWidth="1"/>
    <col min="19" max="19" width="13.33203125" bestFit="1" customWidth="1"/>
    <col min="20" max="27" width="8.33203125" bestFit="1" customWidth="1"/>
    <col min="28" max="28" width="14.6640625" bestFit="1" customWidth="1"/>
    <col min="29" max="30" width="12.83203125" bestFit="1" customWidth="1"/>
    <col min="31" max="31" width="11.5" bestFit="1" customWidth="1"/>
    <col min="32" max="32" width="12.83203125" bestFit="1" customWidth="1"/>
    <col min="33" max="33" width="14.1640625" bestFit="1" customWidth="1"/>
    <col min="34" max="34" width="11.5" bestFit="1" customWidth="1"/>
    <col min="35" max="35" width="9.6640625" bestFit="1" customWidth="1"/>
    <col min="36" max="36" width="6" bestFit="1" customWidth="1"/>
  </cols>
  <sheetData>
    <row r="1" spans="1:37" ht="26" x14ac:dyDescent="0.3">
      <c r="B1" s="199" t="s">
        <v>284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</row>
    <row r="2" spans="1:37" x14ac:dyDescent="0.2">
      <c r="B2" s="88"/>
      <c r="C2" s="216" t="s">
        <v>86</v>
      </c>
      <c r="D2" s="217"/>
      <c r="E2" s="217"/>
      <c r="F2" s="217"/>
      <c r="G2" s="218"/>
      <c r="H2" s="196" t="s">
        <v>233</v>
      </c>
      <c r="I2" s="197"/>
      <c r="J2" s="197"/>
      <c r="K2" s="197"/>
      <c r="L2" s="198"/>
      <c r="M2" s="196" t="s">
        <v>234</v>
      </c>
      <c r="N2" s="197"/>
      <c r="O2" s="197"/>
      <c r="P2" s="197"/>
      <c r="Q2" s="198"/>
      <c r="R2" s="216" t="s">
        <v>235</v>
      </c>
      <c r="S2" s="217"/>
      <c r="T2" s="217"/>
      <c r="U2" s="217"/>
      <c r="V2" s="218"/>
      <c r="W2" s="216" t="s">
        <v>236</v>
      </c>
      <c r="X2" s="217"/>
      <c r="Y2" s="217"/>
      <c r="Z2" s="217"/>
      <c r="AA2" s="218"/>
      <c r="AB2" s="196" t="s">
        <v>237</v>
      </c>
      <c r="AC2" s="197"/>
      <c r="AD2" s="197"/>
      <c r="AE2" s="197"/>
      <c r="AF2" s="198"/>
      <c r="AG2" s="196" t="s">
        <v>238</v>
      </c>
      <c r="AH2" s="197"/>
      <c r="AI2" s="197"/>
      <c r="AJ2" s="197"/>
      <c r="AK2" s="198"/>
    </row>
    <row r="3" spans="1:37" x14ac:dyDescent="0.2">
      <c r="B3" s="88"/>
      <c r="C3" s="89" t="s">
        <v>264</v>
      </c>
      <c r="D3" s="89" t="s">
        <v>265</v>
      </c>
      <c r="E3" s="89" t="s">
        <v>266</v>
      </c>
      <c r="F3" s="89" t="s">
        <v>267</v>
      </c>
      <c r="G3" s="89" t="s">
        <v>268</v>
      </c>
      <c r="H3" s="109" t="s">
        <v>264</v>
      </c>
      <c r="I3" s="109" t="s">
        <v>265</v>
      </c>
      <c r="J3" s="109" t="s">
        <v>266</v>
      </c>
      <c r="K3" s="109" t="s">
        <v>267</v>
      </c>
      <c r="L3" s="109" t="s">
        <v>280</v>
      </c>
      <c r="M3" s="109" t="s">
        <v>264</v>
      </c>
      <c r="N3" s="109" t="s">
        <v>265</v>
      </c>
      <c r="O3" s="109" t="s">
        <v>266</v>
      </c>
      <c r="P3" s="109" t="s">
        <v>267</v>
      </c>
      <c r="Q3" s="109" t="s">
        <v>268</v>
      </c>
      <c r="R3" s="89" t="s">
        <v>264</v>
      </c>
      <c r="S3" s="89" t="s">
        <v>265</v>
      </c>
      <c r="T3" s="89" t="s">
        <v>266</v>
      </c>
      <c r="U3" s="89" t="s">
        <v>267</v>
      </c>
      <c r="V3" s="89" t="s">
        <v>268</v>
      </c>
      <c r="W3" s="89" t="s">
        <v>264</v>
      </c>
      <c r="X3" s="89" t="s">
        <v>265</v>
      </c>
      <c r="Y3" s="89" t="s">
        <v>266</v>
      </c>
      <c r="Z3" s="89" t="s">
        <v>267</v>
      </c>
      <c r="AA3" s="89" t="s">
        <v>280</v>
      </c>
      <c r="AB3" s="109" t="s">
        <v>264</v>
      </c>
      <c r="AC3" s="109" t="s">
        <v>265</v>
      </c>
      <c r="AD3" s="109" t="s">
        <v>266</v>
      </c>
      <c r="AE3" s="109" t="s">
        <v>267</v>
      </c>
      <c r="AF3" s="109" t="s">
        <v>280</v>
      </c>
      <c r="AG3" s="109" t="s">
        <v>264</v>
      </c>
      <c r="AH3" s="109" t="s">
        <v>265</v>
      </c>
      <c r="AI3" s="109" t="s">
        <v>266</v>
      </c>
      <c r="AJ3" s="109" t="s">
        <v>267</v>
      </c>
      <c r="AK3" s="109" t="s">
        <v>280</v>
      </c>
    </row>
    <row r="4" spans="1:37" x14ac:dyDescent="0.2">
      <c r="A4" s="207" t="s">
        <v>271</v>
      </c>
      <c r="B4" s="99" t="s">
        <v>116</v>
      </c>
      <c r="C4" s="91">
        <v>25.97</v>
      </c>
      <c r="D4" s="91"/>
      <c r="E4" s="91"/>
      <c r="F4" s="91"/>
      <c r="G4" s="91"/>
      <c r="H4" s="110">
        <v>45.805999999999997</v>
      </c>
      <c r="I4" s="126"/>
      <c r="J4" s="37"/>
      <c r="K4" s="37"/>
      <c r="L4" s="122"/>
      <c r="M4" s="110">
        <v>45.543999999999997</v>
      </c>
      <c r="N4" s="126">
        <f>M4*L191</f>
        <v>52.919133891608041</v>
      </c>
      <c r="O4" s="37"/>
      <c r="P4" s="110"/>
      <c r="Q4" s="122"/>
      <c r="R4" s="94"/>
      <c r="S4" s="95"/>
      <c r="T4" s="95"/>
      <c r="U4" s="95"/>
      <c r="V4" s="95"/>
      <c r="W4" s="115"/>
      <c r="X4" s="115"/>
      <c r="Y4" s="115"/>
      <c r="Z4" s="115"/>
      <c r="AA4" s="123"/>
      <c r="AB4" s="110">
        <v>57.71</v>
      </c>
      <c r="AC4" s="126"/>
      <c r="AD4" s="116"/>
      <c r="AE4" s="116"/>
      <c r="AF4" s="122"/>
      <c r="AG4" s="110">
        <v>54.771000000000001</v>
      </c>
      <c r="AH4" s="116"/>
      <c r="AI4" s="116"/>
      <c r="AJ4" s="116"/>
      <c r="AK4" s="122"/>
    </row>
    <row r="5" spans="1:37" x14ac:dyDescent="0.2">
      <c r="A5" s="208"/>
      <c r="B5" s="101" t="s">
        <v>117</v>
      </c>
      <c r="C5" s="91">
        <v>39.798000000000002</v>
      </c>
      <c r="D5" s="91"/>
      <c r="E5" s="91"/>
      <c r="F5" s="91"/>
      <c r="G5" s="91"/>
      <c r="H5" s="110">
        <v>108.992</v>
      </c>
      <c r="I5" s="126"/>
      <c r="J5" s="37"/>
      <c r="K5" s="37"/>
      <c r="L5" s="122"/>
      <c r="M5" s="110">
        <v>108.491</v>
      </c>
      <c r="N5" s="126">
        <v>120</v>
      </c>
      <c r="O5" s="37"/>
      <c r="P5" s="110"/>
      <c r="Q5" s="122"/>
      <c r="R5" s="94"/>
      <c r="S5" s="95"/>
      <c r="T5" s="95"/>
      <c r="U5" s="95"/>
      <c r="V5" s="95"/>
      <c r="W5" s="92"/>
      <c r="X5" s="91"/>
      <c r="Y5" s="91"/>
      <c r="Z5" s="91"/>
      <c r="AA5" s="123"/>
      <c r="AB5" s="110">
        <v>172.54499999999999</v>
      </c>
      <c r="AC5" s="126"/>
      <c r="AD5" s="110"/>
      <c r="AE5" s="110"/>
      <c r="AF5" s="122"/>
      <c r="AG5" s="110">
        <v>142.46199999999999</v>
      </c>
      <c r="AH5" s="116"/>
      <c r="AI5" s="110"/>
      <c r="AJ5" s="110"/>
      <c r="AK5" s="122"/>
    </row>
    <row r="6" spans="1:37" x14ac:dyDescent="0.2">
      <c r="A6" s="208"/>
      <c r="B6" s="101" t="s">
        <v>115</v>
      </c>
      <c r="C6" s="91">
        <v>66.450999999999993</v>
      </c>
      <c r="D6" s="91"/>
      <c r="E6" s="91"/>
      <c r="F6" s="91"/>
      <c r="G6" s="91"/>
      <c r="H6" s="110">
        <v>131.286</v>
      </c>
      <c r="I6" s="126"/>
      <c r="J6" s="37"/>
      <c r="K6" s="37"/>
      <c r="L6" s="122"/>
      <c r="M6" s="110">
        <v>130.56700000000001</v>
      </c>
      <c r="N6" s="126">
        <v>180</v>
      </c>
      <c r="O6" s="37"/>
      <c r="P6" s="110"/>
      <c r="Q6" s="122"/>
      <c r="R6" s="94"/>
      <c r="S6" s="95"/>
      <c r="T6" s="95"/>
      <c r="U6" s="95"/>
      <c r="V6" s="95"/>
      <c r="W6" s="92"/>
      <c r="X6" s="91"/>
      <c r="Y6" s="91"/>
      <c r="Z6" s="91"/>
      <c r="AA6" s="123"/>
      <c r="AB6" s="110">
        <v>821.5</v>
      </c>
      <c r="AC6" s="126"/>
      <c r="AD6" s="110"/>
      <c r="AE6" s="110"/>
      <c r="AF6" s="122"/>
      <c r="AG6" s="110">
        <v>245.54300000000001</v>
      </c>
      <c r="AH6" s="116"/>
      <c r="AI6" s="110"/>
      <c r="AJ6" s="110"/>
      <c r="AK6" s="122"/>
    </row>
    <row r="7" spans="1:37" x14ac:dyDescent="0.2">
      <c r="A7" s="208"/>
      <c r="B7" s="101" t="s">
        <v>118</v>
      </c>
      <c r="C7" s="91">
        <v>116.294</v>
      </c>
      <c r="D7" s="91"/>
      <c r="E7" s="91"/>
      <c r="F7" s="91"/>
      <c r="G7" s="91"/>
      <c r="H7" s="110">
        <v>123.51</v>
      </c>
      <c r="I7" s="126"/>
      <c r="J7" s="37"/>
      <c r="K7" s="37"/>
      <c r="L7" s="122"/>
      <c r="M7" s="110">
        <v>123.43</v>
      </c>
      <c r="N7" s="126">
        <v>130</v>
      </c>
      <c r="O7" s="37"/>
      <c r="P7" s="110"/>
      <c r="Q7" s="122"/>
      <c r="R7" s="94"/>
      <c r="S7" s="95"/>
      <c r="T7" s="95"/>
      <c r="U7" s="95"/>
      <c r="V7" s="95"/>
      <c r="W7" s="92"/>
      <c r="X7" s="91"/>
      <c r="Y7" s="91"/>
      <c r="Z7" s="91"/>
      <c r="AA7" s="123"/>
      <c r="AB7" s="110">
        <v>131.83699999999999</v>
      </c>
      <c r="AC7" s="126"/>
      <c r="AD7" s="110"/>
      <c r="AE7" s="110"/>
      <c r="AF7" s="122"/>
      <c r="AG7" s="110">
        <v>148.05500000000001</v>
      </c>
      <c r="AH7" s="116"/>
      <c r="AI7" s="110"/>
      <c r="AJ7" s="110"/>
      <c r="AK7" s="122"/>
    </row>
    <row r="8" spans="1:37" x14ac:dyDescent="0.2">
      <c r="A8" s="208"/>
      <c r="B8" s="101" t="s">
        <v>156</v>
      </c>
      <c r="C8" s="95">
        <v>38.444000000000003</v>
      </c>
      <c r="D8" s="91"/>
      <c r="E8" s="91"/>
      <c r="F8" s="91"/>
      <c r="G8" s="91"/>
      <c r="H8" s="110">
        <v>53.665999999999997</v>
      </c>
      <c r="I8" s="126"/>
      <c r="J8" s="37"/>
      <c r="K8" s="37"/>
      <c r="L8" s="122"/>
      <c r="M8" s="110">
        <v>51.606000000000002</v>
      </c>
      <c r="N8" s="126">
        <v>60</v>
      </c>
      <c r="O8" s="37"/>
      <c r="P8" s="110"/>
      <c r="Q8" s="122"/>
      <c r="R8" s="94"/>
      <c r="S8" s="95"/>
      <c r="T8" s="95"/>
      <c r="U8" s="95"/>
      <c r="V8" s="95"/>
      <c r="W8" s="92"/>
      <c r="X8" s="91"/>
      <c r="Y8" s="91"/>
      <c r="Z8" s="91"/>
      <c r="AA8" s="123"/>
      <c r="AB8" s="110">
        <v>427.4</v>
      </c>
      <c r="AC8" s="126"/>
      <c r="AD8" s="110"/>
      <c r="AE8" s="110"/>
      <c r="AF8" s="122"/>
      <c r="AG8" s="110">
        <v>102.843</v>
      </c>
      <c r="AH8" s="116"/>
      <c r="AI8" s="110"/>
      <c r="AJ8" s="110"/>
      <c r="AK8" s="122"/>
    </row>
    <row r="9" spans="1:37" x14ac:dyDescent="0.2">
      <c r="A9" s="208"/>
      <c r="B9" s="101" t="s">
        <v>119</v>
      </c>
      <c r="C9" s="91">
        <v>29.341000000000001</v>
      </c>
      <c r="D9" s="91"/>
      <c r="E9" s="91"/>
      <c r="F9" s="91"/>
      <c r="G9" s="91"/>
      <c r="H9" s="110">
        <v>53.457000000000001</v>
      </c>
      <c r="I9" s="126"/>
      <c r="J9" s="37"/>
      <c r="K9" s="37"/>
      <c r="L9" s="122"/>
      <c r="M9" s="110">
        <v>52.753</v>
      </c>
      <c r="N9" s="126">
        <v>60</v>
      </c>
      <c r="O9" s="37"/>
      <c r="P9" s="110"/>
      <c r="Q9" s="122"/>
      <c r="R9" s="94"/>
      <c r="S9" s="95"/>
      <c r="T9" s="95"/>
      <c r="U9" s="95"/>
      <c r="V9" s="95"/>
      <c r="W9" s="92"/>
      <c r="X9" s="91"/>
      <c r="Y9" s="91"/>
      <c r="Z9" s="91"/>
      <c r="AA9" s="123"/>
      <c r="AB9" s="110">
        <v>258.36599999999999</v>
      </c>
      <c r="AC9" s="126"/>
      <c r="AD9" s="110"/>
      <c r="AE9" s="110"/>
      <c r="AF9" s="122"/>
      <c r="AG9" s="110">
        <v>80.608999999999995</v>
      </c>
      <c r="AH9" s="116"/>
      <c r="AI9" s="110"/>
      <c r="AJ9" s="110"/>
      <c r="AK9" s="122"/>
    </row>
    <row r="10" spans="1:37" x14ac:dyDescent="0.2">
      <c r="A10" s="208"/>
      <c r="B10" s="101" t="s">
        <v>120</v>
      </c>
      <c r="C10" s="91">
        <v>11.135999999999999</v>
      </c>
      <c r="D10" s="91"/>
      <c r="E10" s="91"/>
      <c r="F10" s="91"/>
      <c r="G10" s="91"/>
      <c r="H10" s="110">
        <v>21.411999999999999</v>
      </c>
      <c r="I10" s="126"/>
      <c r="J10" s="37"/>
      <c r="K10" s="37"/>
      <c r="L10" s="122"/>
      <c r="M10" s="110">
        <v>21.565000000000001</v>
      </c>
      <c r="N10" s="126">
        <v>24</v>
      </c>
      <c r="O10" s="37"/>
      <c r="P10" s="110"/>
      <c r="Q10" s="122"/>
      <c r="R10" s="94"/>
      <c r="S10" s="95"/>
      <c r="T10" s="95"/>
      <c r="U10" s="95"/>
      <c r="V10" s="95"/>
      <c r="W10" s="92"/>
      <c r="X10" s="91"/>
      <c r="Y10" s="91"/>
      <c r="Z10" s="91"/>
      <c r="AA10" s="123"/>
      <c r="AB10" s="110">
        <v>84.658000000000001</v>
      </c>
      <c r="AC10" s="126"/>
      <c r="AD10" s="110"/>
      <c r="AE10" s="110"/>
      <c r="AF10" s="122"/>
      <c r="AG10" s="110">
        <v>29.675999999999998</v>
      </c>
      <c r="AH10" s="116"/>
      <c r="AI10" s="110"/>
      <c r="AJ10" s="110"/>
      <c r="AK10" s="122"/>
    </row>
    <row r="11" spans="1:37" x14ac:dyDescent="0.2">
      <c r="A11" s="208"/>
      <c r="B11" s="101" t="s">
        <v>121</v>
      </c>
      <c r="C11" s="91">
        <v>38.180999999999997</v>
      </c>
      <c r="D11" s="91"/>
      <c r="E11" s="91"/>
      <c r="F11" s="91"/>
      <c r="G11" s="91"/>
      <c r="H11" s="110">
        <v>69.069999999999993</v>
      </c>
      <c r="I11" s="126"/>
      <c r="J11" s="37"/>
      <c r="K11" s="37"/>
      <c r="L11" s="122"/>
      <c r="M11" s="110">
        <v>70.081000000000003</v>
      </c>
      <c r="N11" s="126">
        <v>85</v>
      </c>
      <c r="O11" s="37"/>
      <c r="P11" s="110"/>
      <c r="Q11" s="122"/>
      <c r="R11" s="94"/>
      <c r="S11" s="95"/>
      <c r="T11" s="95"/>
      <c r="U11" s="95"/>
      <c r="V11" s="95"/>
      <c r="W11" s="92"/>
      <c r="X11" s="91"/>
      <c r="Y11" s="91"/>
      <c r="Z11" s="91"/>
      <c r="AA11" s="123"/>
      <c r="AB11" s="110">
        <v>284.53100000000001</v>
      </c>
      <c r="AC11" s="126"/>
      <c r="AD11" s="110"/>
      <c r="AE11" s="110"/>
      <c r="AF11" s="122"/>
      <c r="AG11" s="110">
        <v>98.882000000000005</v>
      </c>
      <c r="AH11" s="116"/>
      <c r="AI11" s="110"/>
      <c r="AJ11" s="110"/>
      <c r="AK11" s="122"/>
    </row>
    <row r="12" spans="1:37" ht="17" thickBot="1" x14ac:dyDescent="0.25">
      <c r="A12" s="209"/>
      <c r="B12" s="136" t="s">
        <v>122</v>
      </c>
      <c r="C12" s="137">
        <v>31.297999999999998</v>
      </c>
      <c r="D12" s="137"/>
      <c r="E12" s="137"/>
      <c r="F12" s="137"/>
      <c r="G12" s="137"/>
      <c r="H12" s="138">
        <v>63.173999999999999</v>
      </c>
      <c r="I12" s="139"/>
      <c r="J12" s="140"/>
      <c r="K12" s="140"/>
      <c r="L12" s="141"/>
      <c r="M12" s="138">
        <v>63.164000000000001</v>
      </c>
      <c r="N12" s="126">
        <v>75</v>
      </c>
      <c r="O12" s="140"/>
      <c r="P12" s="138"/>
      <c r="Q12" s="141"/>
      <c r="R12" s="166"/>
      <c r="S12" s="147"/>
      <c r="T12" s="147"/>
      <c r="U12" s="147"/>
      <c r="V12" s="147"/>
      <c r="W12" s="146"/>
      <c r="X12" s="137"/>
      <c r="Y12" s="137"/>
      <c r="Z12" s="137"/>
      <c r="AA12" s="144"/>
      <c r="AB12" s="138">
        <v>265.66199999999998</v>
      </c>
      <c r="AC12" s="139"/>
      <c r="AD12" s="138"/>
      <c r="AE12" s="138"/>
      <c r="AF12" s="141"/>
      <c r="AG12" s="138">
        <v>94.488</v>
      </c>
      <c r="AH12" s="168"/>
      <c r="AI12" s="138"/>
      <c r="AJ12" s="138"/>
      <c r="AK12" s="141"/>
    </row>
    <row r="13" spans="1:37" ht="17" thickTop="1" x14ac:dyDescent="0.2">
      <c r="A13" s="210" t="s">
        <v>272</v>
      </c>
      <c r="B13" s="128" t="s">
        <v>286</v>
      </c>
      <c r="C13" s="129">
        <v>35.4</v>
      </c>
      <c r="D13" s="129">
        <v>36.200000000000003</v>
      </c>
      <c r="E13" s="129">
        <v>35.299999999999997</v>
      </c>
      <c r="F13" s="129">
        <v>35.799999999999997</v>
      </c>
      <c r="G13" s="129">
        <v>35.700000000000003</v>
      </c>
      <c r="H13" s="130">
        <v>55.4</v>
      </c>
      <c r="I13" s="131">
        <v>56.3</v>
      </c>
      <c r="J13" s="131">
        <v>55.9</v>
      </c>
      <c r="K13" s="131">
        <v>55.3</v>
      </c>
      <c r="L13" s="132"/>
      <c r="M13" s="130">
        <v>64.3</v>
      </c>
      <c r="N13" s="126">
        <f t="shared" ref="N13:N25" si="0">M13*L200</f>
        <v>87.773163017136525</v>
      </c>
      <c r="O13" s="131"/>
      <c r="P13" s="131"/>
      <c r="Q13" s="132"/>
      <c r="R13" s="165">
        <v>59.7</v>
      </c>
      <c r="S13" s="157">
        <v>59.6</v>
      </c>
      <c r="T13" s="157">
        <v>59.5</v>
      </c>
      <c r="U13" s="157">
        <v>59.8</v>
      </c>
      <c r="V13" s="157"/>
      <c r="W13" s="134">
        <v>65.599999999999994</v>
      </c>
      <c r="X13" s="134">
        <v>64.400000000000006</v>
      </c>
      <c r="Y13" s="134">
        <v>63.8</v>
      </c>
      <c r="Z13" s="134">
        <v>65.5</v>
      </c>
      <c r="AA13" s="133"/>
      <c r="AB13" s="135">
        <v>14832</v>
      </c>
      <c r="AC13" s="135">
        <v>14661</v>
      </c>
      <c r="AD13" s="135">
        <v>13042</v>
      </c>
      <c r="AE13" s="135">
        <v>13051</v>
      </c>
      <c r="AF13" s="132"/>
      <c r="AG13" s="135">
        <v>4476</v>
      </c>
      <c r="AH13" s="135"/>
      <c r="AI13" s="135"/>
      <c r="AJ13" s="135"/>
      <c r="AK13" s="132"/>
    </row>
    <row r="14" spans="1:37" x14ac:dyDescent="0.2">
      <c r="A14" s="210"/>
      <c r="B14" s="100" t="s">
        <v>287</v>
      </c>
      <c r="C14" s="91">
        <v>0.3</v>
      </c>
      <c r="D14" s="91">
        <v>0.3</v>
      </c>
      <c r="E14" s="91">
        <v>0.3</v>
      </c>
      <c r="F14" s="91">
        <v>0.3</v>
      </c>
      <c r="G14" s="91">
        <v>0.3</v>
      </c>
      <c r="H14" s="111">
        <v>0.3</v>
      </c>
      <c r="I14" s="110">
        <v>0.4</v>
      </c>
      <c r="J14" s="110">
        <v>0.3</v>
      </c>
      <c r="K14" s="110">
        <v>0.2</v>
      </c>
      <c r="L14" s="122"/>
      <c r="M14" s="111">
        <v>0.3</v>
      </c>
      <c r="N14" s="126">
        <v>0.35</v>
      </c>
      <c r="O14" s="110"/>
      <c r="P14" s="110"/>
      <c r="Q14" s="122"/>
      <c r="R14" s="94">
        <v>0.3</v>
      </c>
      <c r="S14" s="94">
        <v>0.3</v>
      </c>
      <c r="T14" s="94">
        <v>0.3</v>
      </c>
      <c r="U14" s="95">
        <v>0.3</v>
      </c>
      <c r="V14" s="95"/>
      <c r="W14" s="92">
        <v>0.4</v>
      </c>
      <c r="X14" s="91">
        <v>0.3</v>
      </c>
      <c r="Y14" s="91">
        <v>0.3</v>
      </c>
      <c r="Z14" s="91">
        <v>0.3</v>
      </c>
      <c r="AA14" s="123"/>
      <c r="AB14" s="111">
        <v>0.8</v>
      </c>
      <c r="AC14" s="110">
        <v>0.9</v>
      </c>
      <c r="AD14" s="110">
        <v>0.8</v>
      </c>
      <c r="AE14" s="110">
        <v>0.8</v>
      </c>
      <c r="AF14" s="122"/>
      <c r="AG14" s="111">
        <v>0.4</v>
      </c>
      <c r="AH14" s="110"/>
      <c r="AI14" s="110"/>
      <c r="AJ14" s="110"/>
      <c r="AK14" s="122"/>
    </row>
    <row r="15" spans="1:37" x14ac:dyDescent="0.2">
      <c r="A15" s="210"/>
      <c r="B15" s="100" t="s">
        <v>288</v>
      </c>
      <c r="C15" s="91">
        <v>56.8</v>
      </c>
      <c r="D15" s="91">
        <v>56.9</v>
      </c>
      <c r="E15" s="91">
        <v>56.8</v>
      </c>
      <c r="F15" s="91">
        <v>56.4</v>
      </c>
      <c r="G15" s="91">
        <v>56.5</v>
      </c>
      <c r="H15" s="111">
        <v>60</v>
      </c>
      <c r="I15" s="110">
        <v>60.4</v>
      </c>
      <c r="J15" s="110">
        <v>60.1</v>
      </c>
      <c r="K15" s="110">
        <v>60.5</v>
      </c>
      <c r="L15" s="122"/>
      <c r="M15" s="111">
        <v>65.7</v>
      </c>
      <c r="N15" s="126">
        <f t="shared" si="0"/>
        <v>197.10197759391193</v>
      </c>
      <c r="O15" s="110"/>
      <c r="P15" s="110"/>
      <c r="Q15" s="122"/>
      <c r="R15" s="94">
        <v>59.9</v>
      </c>
      <c r="S15" s="95">
        <v>60.1</v>
      </c>
      <c r="T15" s="95">
        <v>61.3</v>
      </c>
      <c r="U15" s="95">
        <v>60.2</v>
      </c>
      <c r="V15" s="95"/>
      <c r="W15" s="92">
        <v>66</v>
      </c>
      <c r="X15" s="91">
        <v>67.400000000000006</v>
      </c>
      <c r="Y15" s="91">
        <v>66.8</v>
      </c>
      <c r="Z15" s="91">
        <v>65.900000000000006</v>
      </c>
      <c r="AA15" s="123"/>
      <c r="AB15" s="111">
        <v>389.5</v>
      </c>
      <c r="AC15" s="110">
        <v>382.4</v>
      </c>
      <c r="AD15" s="110">
        <v>384.8</v>
      </c>
      <c r="AE15" s="110">
        <v>387</v>
      </c>
      <c r="AF15" s="122"/>
      <c r="AG15" s="111">
        <v>229</v>
      </c>
      <c r="AH15" s="110"/>
      <c r="AI15" s="110"/>
      <c r="AJ15" s="110"/>
      <c r="AK15" s="122"/>
    </row>
    <row r="16" spans="1:37" x14ac:dyDescent="0.2">
      <c r="A16" s="210"/>
      <c r="B16" s="105" t="s">
        <v>289</v>
      </c>
      <c r="C16" s="91">
        <v>28.1</v>
      </c>
      <c r="D16" s="91">
        <v>28.1</v>
      </c>
      <c r="E16" s="91">
        <v>28.1</v>
      </c>
      <c r="F16" s="91">
        <v>28.1</v>
      </c>
      <c r="G16" s="91">
        <v>28.1</v>
      </c>
      <c r="H16" s="111">
        <v>28.9</v>
      </c>
      <c r="I16" s="110">
        <v>29.1</v>
      </c>
      <c r="J16" s="110">
        <v>29</v>
      </c>
      <c r="K16" s="110">
        <v>29</v>
      </c>
      <c r="L16" s="122"/>
      <c r="M16" s="111">
        <v>29.6</v>
      </c>
      <c r="N16" s="126">
        <f t="shared" si="0"/>
        <v>51.266075623932622</v>
      </c>
      <c r="O16" s="110"/>
      <c r="P16" s="110"/>
      <c r="Q16" s="122"/>
      <c r="R16" s="94">
        <v>30.5</v>
      </c>
      <c r="S16" s="95">
        <v>30.5</v>
      </c>
      <c r="T16" s="95">
        <v>30.5</v>
      </c>
      <c r="U16" s="95">
        <v>30.6</v>
      </c>
      <c r="V16" s="95"/>
      <c r="W16" s="92">
        <v>30</v>
      </c>
      <c r="X16" s="91">
        <v>29.9</v>
      </c>
      <c r="Y16" s="91">
        <v>29.8</v>
      </c>
      <c r="Z16" s="91">
        <v>29.9</v>
      </c>
      <c r="AA16" s="123"/>
      <c r="AB16" s="111">
        <v>303.3</v>
      </c>
      <c r="AC16" s="110">
        <v>301.8</v>
      </c>
      <c r="AD16" s="110">
        <v>269.5</v>
      </c>
      <c r="AE16" s="110">
        <v>303.5</v>
      </c>
      <c r="AF16" s="122"/>
      <c r="AG16" s="111">
        <v>121.5</v>
      </c>
      <c r="AH16" s="110"/>
      <c r="AI16" s="110"/>
      <c r="AJ16" s="110"/>
      <c r="AK16" s="122"/>
    </row>
    <row r="17" spans="1:37" x14ac:dyDescent="0.2">
      <c r="A17" s="210"/>
      <c r="B17" s="105" t="s">
        <v>290</v>
      </c>
      <c r="C17" s="91">
        <v>29.5</v>
      </c>
      <c r="D17" s="91">
        <v>29.9</v>
      </c>
      <c r="E17" s="91">
        <v>30.2</v>
      </c>
      <c r="F17" s="91">
        <v>29.7</v>
      </c>
      <c r="G17" s="91">
        <v>30.1</v>
      </c>
      <c r="H17" s="111">
        <v>36.5</v>
      </c>
      <c r="I17" s="110">
        <v>36.799999999999997</v>
      </c>
      <c r="J17" s="110">
        <v>36.299999999999997</v>
      </c>
      <c r="K17" s="110">
        <v>37.4</v>
      </c>
      <c r="L17" s="122"/>
      <c r="M17" s="111">
        <v>36.299999999999997</v>
      </c>
      <c r="N17" s="126">
        <f t="shared" si="0"/>
        <v>36.866111820791524</v>
      </c>
      <c r="O17" s="110"/>
      <c r="P17" s="110"/>
      <c r="Q17" s="122"/>
      <c r="R17" s="94">
        <v>37.4</v>
      </c>
      <c r="S17" s="95">
        <v>37.6</v>
      </c>
      <c r="T17" s="95">
        <v>37.6</v>
      </c>
      <c r="U17" s="95">
        <v>37.6</v>
      </c>
      <c r="V17" s="95"/>
      <c r="W17" s="92">
        <v>36.4</v>
      </c>
      <c r="X17" s="91">
        <v>36.700000000000003</v>
      </c>
      <c r="Y17" s="91">
        <v>36.6</v>
      </c>
      <c r="Z17" s="91">
        <v>36.5</v>
      </c>
      <c r="AA17" s="123"/>
      <c r="AB17" s="111">
        <v>949.8</v>
      </c>
      <c r="AC17" s="110">
        <v>951.5</v>
      </c>
      <c r="AD17" s="110">
        <v>949.4</v>
      </c>
      <c r="AE17" s="110">
        <v>929.6</v>
      </c>
      <c r="AF17" s="122"/>
      <c r="AG17" s="111">
        <v>593.4</v>
      </c>
      <c r="AH17" s="110"/>
      <c r="AI17" s="110"/>
      <c r="AJ17" s="110"/>
      <c r="AK17" s="122"/>
    </row>
    <row r="18" spans="1:37" x14ac:dyDescent="0.2">
      <c r="A18" s="210"/>
      <c r="B18" s="105" t="s">
        <v>291</v>
      </c>
      <c r="C18" s="91">
        <v>40.200000000000003</v>
      </c>
      <c r="D18" s="91">
        <v>40.700000000000003</v>
      </c>
      <c r="E18" s="91">
        <v>40.200000000000003</v>
      </c>
      <c r="F18" s="91">
        <v>41.1</v>
      </c>
      <c r="G18" s="91">
        <v>41.1</v>
      </c>
      <c r="H18" s="111">
        <v>50.7</v>
      </c>
      <c r="I18" s="110">
        <v>50.5</v>
      </c>
      <c r="J18" s="110">
        <v>49.1</v>
      </c>
      <c r="K18" s="110">
        <v>55.2</v>
      </c>
      <c r="L18" s="122"/>
      <c r="M18" s="111">
        <v>48.9</v>
      </c>
      <c r="N18" s="126">
        <f t="shared" si="0"/>
        <v>49.796443232141208</v>
      </c>
      <c r="O18" s="110"/>
      <c r="P18" s="110"/>
      <c r="Q18" s="122"/>
      <c r="R18" s="94">
        <v>53.2</v>
      </c>
      <c r="S18" s="95">
        <v>52.3</v>
      </c>
      <c r="T18" s="95">
        <v>53.1</v>
      </c>
      <c r="U18" s="95">
        <v>53.5</v>
      </c>
      <c r="V18" s="95"/>
      <c r="W18" s="92">
        <v>48.4</v>
      </c>
      <c r="X18" s="91">
        <v>48.2</v>
      </c>
      <c r="Y18" s="91">
        <v>50.7</v>
      </c>
      <c r="Z18" s="91">
        <v>50.6</v>
      </c>
      <c r="AA18" s="123"/>
      <c r="AB18" s="111">
        <v>1047.5999999999999</v>
      </c>
      <c r="AC18" s="110">
        <v>1005</v>
      </c>
      <c r="AD18" s="110">
        <v>1014.7</v>
      </c>
      <c r="AE18" s="110">
        <v>1017</v>
      </c>
      <c r="AF18" s="122"/>
      <c r="AG18" s="111">
        <v>548</v>
      </c>
      <c r="AH18" s="110"/>
      <c r="AI18" s="110"/>
      <c r="AJ18" s="110"/>
      <c r="AK18" s="122"/>
    </row>
    <row r="19" spans="1:37" x14ac:dyDescent="0.2">
      <c r="A19" s="210"/>
      <c r="B19" s="105" t="s">
        <v>292</v>
      </c>
      <c r="C19" s="91">
        <v>32.200000000000003</v>
      </c>
      <c r="D19" s="91">
        <v>33.5</v>
      </c>
      <c r="E19" s="91">
        <v>32.700000000000003</v>
      </c>
      <c r="F19" s="91">
        <v>40.799999999999997</v>
      </c>
      <c r="G19" s="91">
        <v>38.6</v>
      </c>
      <c r="H19" s="111">
        <v>36.4</v>
      </c>
      <c r="I19" s="110">
        <v>38.200000000000003</v>
      </c>
      <c r="J19" s="110">
        <v>37.700000000000003</v>
      </c>
      <c r="K19" s="110">
        <v>38.5</v>
      </c>
      <c r="L19" s="122"/>
      <c r="M19" s="111">
        <v>39.700000000000003</v>
      </c>
      <c r="N19" s="126">
        <f t="shared" si="0"/>
        <v>39.703600990453879</v>
      </c>
      <c r="O19" s="110"/>
      <c r="P19" s="110"/>
      <c r="Q19" s="122"/>
      <c r="R19" s="125">
        <v>39</v>
      </c>
      <c r="S19" s="125">
        <v>39.5</v>
      </c>
      <c r="T19" s="95">
        <v>39.299999999999997</v>
      </c>
      <c r="U19" s="95">
        <v>39.4</v>
      </c>
      <c r="V19" s="95"/>
      <c r="W19" s="92">
        <v>38.6</v>
      </c>
      <c r="X19" s="91">
        <v>37.700000000000003</v>
      </c>
      <c r="Y19" s="91">
        <v>39.9</v>
      </c>
      <c r="Z19" s="91">
        <v>38.700000000000003</v>
      </c>
      <c r="AA19" s="123"/>
      <c r="AB19" s="112">
        <v>38.4</v>
      </c>
      <c r="AC19" s="112">
        <v>40.5</v>
      </c>
      <c r="AD19" s="112">
        <v>35.1</v>
      </c>
      <c r="AE19" s="112">
        <v>37.700000000000003</v>
      </c>
      <c r="AF19" s="174"/>
      <c r="AG19" s="112">
        <v>39.4</v>
      </c>
      <c r="AH19" s="110"/>
      <c r="AI19" s="110"/>
      <c r="AJ19" s="110"/>
      <c r="AK19" s="122"/>
    </row>
    <row r="20" spans="1:37" x14ac:dyDescent="0.2">
      <c r="A20" s="210"/>
      <c r="B20" s="105" t="s">
        <v>293</v>
      </c>
      <c r="C20" s="91">
        <v>58</v>
      </c>
      <c r="D20" s="91">
        <v>59.7</v>
      </c>
      <c r="E20" s="91">
        <v>57</v>
      </c>
      <c r="F20" s="91">
        <v>57.1</v>
      </c>
      <c r="G20" s="91">
        <v>54.2</v>
      </c>
      <c r="H20" s="111">
        <v>59.3</v>
      </c>
      <c r="I20" s="110">
        <v>56.4</v>
      </c>
      <c r="J20" s="110">
        <v>58.2</v>
      </c>
      <c r="K20" s="110">
        <v>58.3</v>
      </c>
      <c r="L20" s="122"/>
      <c r="M20" s="111">
        <v>57.7</v>
      </c>
      <c r="N20" s="126">
        <v>58</v>
      </c>
      <c r="O20" s="110"/>
      <c r="P20" s="110"/>
      <c r="Q20" s="122"/>
      <c r="R20" s="125">
        <v>58</v>
      </c>
      <c r="S20" s="125">
        <v>57.5</v>
      </c>
      <c r="T20" s="95">
        <v>59.2</v>
      </c>
      <c r="U20" s="95">
        <v>59.4</v>
      </c>
      <c r="V20" s="95"/>
      <c r="W20" s="92">
        <v>59.3</v>
      </c>
      <c r="X20" s="91">
        <v>57.7</v>
      </c>
      <c r="Y20" s="91">
        <v>57</v>
      </c>
      <c r="Z20" s="91">
        <v>57.1</v>
      </c>
      <c r="AA20" s="123"/>
      <c r="AB20" s="112">
        <v>60.1</v>
      </c>
      <c r="AC20" s="112">
        <v>68.3</v>
      </c>
      <c r="AD20" s="112">
        <v>66.599999999999994</v>
      </c>
      <c r="AE20" s="112">
        <v>67.599999999999994</v>
      </c>
      <c r="AF20" s="174"/>
      <c r="AG20" s="112">
        <v>60.8</v>
      </c>
      <c r="AH20" s="110"/>
      <c r="AI20" s="110"/>
      <c r="AJ20" s="110"/>
      <c r="AK20" s="122"/>
    </row>
    <row r="21" spans="1:37" x14ac:dyDescent="0.2">
      <c r="A21" s="210"/>
      <c r="B21" s="105" t="s">
        <v>294</v>
      </c>
      <c r="C21" s="91">
        <v>19.399999999999999</v>
      </c>
      <c r="D21" s="91">
        <v>19.399999999999999</v>
      </c>
      <c r="E21" s="91">
        <v>19.399999999999999</v>
      </c>
      <c r="F21" s="91">
        <v>19.399999999999999</v>
      </c>
      <c r="G21" s="91">
        <v>19.399999999999999</v>
      </c>
      <c r="H21" s="111">
        <v>31.9</v>
      </c>
      <c r="I21" s="110">
        <v>32.4</v>
      </c>
      <c r="J21" s="110">
        <v>33.299999999999997</v>
      </c>
      <c r="K21" s="110">
        <v>32</v>
      </c>
      <c r="L21" s="122"/>
      <c r="M21" s="111">
        <v>37.299999999999997</v>
      </c>
      <c r="N21" s="126">
        <f t="shared" si="0"/>
        <v>51.756928753278792</v>
      </c>
      <c r="O21" s="110"/>
      <c r="P21" s="110"/>
      <c r="Q21" s="122"/>
      <c r="R21" s="125">
        <v>32.1</v>
      </c>
      <c r="S21" s="125">
        <v>32.1</v>
      </c>
      <c r="T21" s="95">
        <v>33.5</v>
      </c>
      <c r="U21" s="95">
        <v>32.5</v>
      </c>
      <c r="V21" s="95"/>
      <c r="W21" s="92">
        <v>38.799999999999997</v>
      </c>
      <c r="X21" s="91">
        <v>36.9</v>
      </c>
      <c r="Y21" s="91">
        <v>37.299999999999997</v>
      </c>
      <c r="Z21" s="91">
        <v>38.5</v>
      </c>
      <c r="AA21" s="123"/>
      <c r="AB21" s="111">
        <v>10311</v>
      </c>
      <c r="AC21" s="110">
        <v>10238</v>
      </c>
      <c r="AD21" s="110">
        <v>9521</v>
      </c>
      <c r="AE21" s="110">
        <v>10249</v>
      </c>
      <c r="AF21" s="122"/>
      <c r="AG21" s="111">
        <v>3043.4</v>
      </c>
      <c r="AH21" s="110"/>
      <c r="AI21" s="110"/>
      <c r="AJ21" s="110"/>
      <c r="AK21" s="122"/>
    </row>
    <row r="22" spans="1:37" x14ac:dyDescent="0.2">
      <c r="A22" s="210"/>
      <c r="B22" s="105" t="s">
        <v>295</v>
      </c>
      <c r="C22" s="91">
        <v>10.5</v>
      </c>
      <c r="D22" s="91">
        <v>10.7</v>
      </c>
      <c r="E22" s="91">
        <v>10.6</v>
      </c>
      <c r="F22" s="91">
        <v>10.5</v>
      </c>
      <c r="G22" s="91">
        <v>10.7</v>
      </c>
      <c r="H22" s="111">
        <v>10.6</v>
      </c>
      <c r="I22" s="110">
        <v>11</v>
      </c>
      <c r="J22" s="110">
        <v>11</v>
      </c>
      <c r="K22" s="110">
        <v>11.3</v>
      </c>
      <c r="L22" s="122"/>
      <c r="M22" s="111">
        <v>11.7</v>
      </c>
      <c r="N22" s="126">
        <f t="shared" si="0"/>
        <v>15.599998757179019</v>
      </c>
      <c r="O22" s="110"/>
      <c r="P22" s="110"/>
      <c r="Q22" s="122"/>
      <c r="R22" s="125">
        <v>11.1</v>
      </c>
      <c r="S22" s="125">
        <v>10.9</v>
      </c>
      <c r="T22" s="95">
        <v>11</v>
      </c>
      <c r="U22" s="95">
        <v>10.9</v>
      </c>
      <c r="V22" s="95"/>
      <c r="W22" s="92">
        <v>11.4</v>
      </c>
      <c r="X22" s="91">
        <v>11</v>
      </c>
      <c r="Y22" s="91">
        <v>11.5</v>
      </c>
      <c r="Z22" s="91">
        <v>11.8</v>
      </c>
      <c r="AA22" s="123"/>
      <c r="AB22" s="111">
        <v>300.7</v>
      </c>
      <c r="AC22" s="110">
        <v>236.2</v>
      </c>
      <c r="AD22" s="110">
        <v>233.6</v>
      </c>
      <c r="AE22" s="110">
        <v>222.8</v>
      </c>
      <c r="AF22" s="122"/>
      <c r="AG22" s="111">
        <v>119.5</v>
      </c>
      <c r="AH22" s="110"/>
      <c r="AI22" s="110"/>
      <c r="AJ22" s="110"/>
      <c r="AK22" s="122"/>
    </row>
    <row r="23" spans="1:37" x14ac:dyDescent="0.2">
      <c r="A23" s="210"/>
      <c r="B23" s="105" t="s">
        <v>296</v>
      </c>
      <c r="C23" s="91">
        <v>59.7</v>
      </c>
      <c r="D23" s="91">
        <v>58.8</v>
      </c>
      <c r="E23" s="91">
        <v>59.3</v>
      </c>
      <c r="F23" s="91">
        <v>59.2</v>
      </c>
      <c r="G23" s="91">
        <v>59.4</v>
      </c>
      <c r="H23" s="111">
        <v>68.599999999999994</v>
      </c>
      <c r="I23" s="110">
        <v>68.2</v>
      </c>
      <c r="J23" s="110">
        <v>68.2</v>
      </c>
      <c r="K23" s="110">
        <v>68.3</v>
      </c>
      <c r="L23" s="122"/>
      <c r="M23" s="111">
        <v>61.8</v>
      </c>
      <c r="N23" s="126">
        <f t="shared" si="0"/>
        <v>131.64380193001844</v>
      </c>
      <c r="O23" s="110"/>
      <c r="P23" s="110"/>
      <c r="Q23" s="122"/>
      <c r="R23" s="125">
        <v>72.349999999999994</v>
      </c>
      <c r="S23" s="125">
        <v>72.2</v>
      </c>
      <c r="T23" s="167"/>
      <c r="U23" s="167"/>
      <c r="V23" s="167"/>
      <c r="W23" s="92">
        <v>62.6</v>
      </c>
      <c r="X23" s="91">
        <v>62.3</v>
      </c>
      <c r="Y23" s="91">
        <v>62.7</v>
      </c>
      <c r="Z23" s="91">
        <v>62.6</v>
      </c>
      <c r="AA23" s="123"/>
      <c r="AB23" s="111">
        <v>4535</v>
      </c>
      <c r="AC23" s="110">
        <v>4529</v>
      </c>
      <c r="AD23" s="110">
        <v>4525</v>
      </c>
      <c r="AE23" s="110">
        <v>4535</v>
      </c>
      <c r="AF23" s="122"/>
      <c r="AG23" s="111">
        <v>3181.7</v>
      </c>
      <c r="AH23" s="110"/>
      <c r="AI23" s="110"/>
      <c r="AJ23" s="110"/>
      <c r="AK23" s="122"/>
    </row>
    <row r="24" spans="1:37" x14ac:dyDescent="0.2">
      <c r="A24" s="210"/>
      <c r="B24" s="105" t="s">
        <v>297</v>
      </c>
      <c r="C24" s="91">
        <v>17.899999999999999</v>
      </c>
      <c r="D24" s="91">
        <v>17.8</v>
      </c>
      <c r="E24" s="91">
        <v>17.8</v>
      </c>
      <c r="F24" s="91">
        <v>17.8</v>
      </c>
      <c r="G24" s="91">
        <v>17.7</v>
      </c>
      <c r="H24" s="110">
        <v>20.5</v>
      </c>
      <c r="I24" s="110">
        <v>20.399999999999999</v>
      </c>
      <c r="J24" s="110">
        <v>20.399999999999999</v>
      </c>
      <c r="K24" s="110">
        <v>20.6</v>
      </c>
      <c r="L24" s="122"/>
      <c r="M24" s="110">
        <v>21.3</v>
      </c>
      <c r="N24" s="126">
        <f t="shared" si="0"/>
        <v>29.267505546885772</v>
      </c>
      <c r="O24" s="110"/>
      <c r="P24" s="110"/>
      <c r="Q24" s="122"/>
      <c r="R24" s="94">
        <v>21.2</v>
      </c>
      <c r="S24" s="95">
        <v>21.3</v>
      </c>
      <c r="T24" s="95">
        <v>21.2</v>
      </c>
      <c r="U24" s="95">
        <v>21.2</v>
      </c>
      <c r="V24" s="95"/>
      <c r="W24" s="92">
        <v>22</v>
      </c>
      <c r="X24" s="91">
        <v>22.1</v>
      </c>
      <c r="Y24" s="91">
        <v>22</v>
      </c>
      <c r="Z24" s="91">
        <v>22.1</v>
      </c>
      <c r="AA24" s="123"/>
      <c r="AB24" s="111">
        <v>385.7</v>
      </c>
      <c r="AC24" s="110">
        <v>385</v>
      </c>
      <c r="AD24" s="110">
        <v>385.9</v>
      </c>
      <c r="AE24" s="110"/>
      <c r="AF24" s="122"/>
      <c r="AG24" s="111">
        <v>176.1</v>
      </c>
      <c r="AH24" s="110">
        <v>171.9</v>
      </c>
      <c r="AI24" s="110"/>
      <c r="AJ24" s="110"/>
      <c r="AK24" s="122"/>
    </row>
    <row r="25" spans="1:37" x14ac:dyDescent="0.2">
      <c r="A25" s="205"/>
      <c r="B25" s="105" t="s">
        <v>298</v>
      </c>
      <c r="C25" s="91">
        <v>62.8</v>
      </c>
      <c r="D25" s="91">
        <v>62.9</v>
      </c>
      <c r="E25" s="91">
        <v>62.7</v>
      </c>
      <c r="F25" s="91">
        <v>61.8</v>
      </c>
      <c r="G25" s="91">
        <v>62.4</v>
      </c>
      <c r="H25" s="110">
        <v>70.7</v>
      </c>
      <c r="I25" s="110">
        <v>69.8</v>
      </c>
      <c r="J25" s="110">
        <v>70.2</v>
      </c>
      <c r="K25" s="110">
        <v>69.8</v>
      </c>
      <c r="L25" s="122"/>
      <c r="M25" s="110">
        <v>73.2</v>
      </c>
      <c r="N25" s="126">
        <f t="shared" si="0"/>
        <v>90.986988298929987</v>
      </c>
      <c r="O25" s="110"/>
      <c r="P25" s="110"/>
      <c r="Q25" s="122"/>
      <c r="R25" s="94">
        <v>70.400000000000006</v>
      </c>
      <c r="S25" s="95">
        <v>70.3</v>
      </c>
      <c r="T25" s="95">
        <v>79.3</v>
      </c>
      <c r="U25" s="95">
        <v>70.2</v>
      </c>
      <c r="V25" s="95"/>
      <c r="W25" s="92">
        <v>74.599999999999994</v>
      </c>
      <c r="X25" s="91">
        <v>72.2</v>
      </c>
      <c r="Y25" s="91">
        <v>73.099999999999994</v>
      </c>
      <c r="Z25" s="91">
        <v>73</v>
      </c>
      <c r="AA25" s="123"/>
      <c r="AB25" s="111">
        <v>238</v>
      </c>
      <c r="AC25" s="110">
        <v>212.4</v>
      </c>
      <c r="AD25" s="110">
        <v>222</v>
      </c>
      <c r="AE25" s="110"/>
      <c r="AF25" s="122"/>
      <c r="AG25" s="111">
        <v>128.80000000000001</v>
      </c>
      <c r="AH25" s="110">
        <v>127.9</v>
      </c>
      <c r="AI25" s="110"/>
      <c r="AJ25" s="110"/>
      <c r="AK25" s="122"/>
    </row>
    <row r="26" spans="1:37" x14ac:dyDescent="0.2">
      <c r="P26" s="34"/>
      <c r="Q26" s="34"/>
      <c r="R26" s="34"/>
    </row>
    <row r="28" spans="1:37" ht="26" x14ac:dyDescent="0.3">
      <c r="B28" s="229" t="s">
        <v>283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</row>
    <row r="29" spans="1:37" x14ac:dyDescent="0.2">
      <c r="A29" s="8"/>
      <c r="B29" s="88"/>
      <c r="C29" s="231" t="s">
        <v>285</v>
      </c>
      <c r="D29" s="231"/>
      <c r="E29" s="231"/>
      <c r="F29" s="231"/>
      <c r="G29" s="231"/>
      <c r="H29" s="232" t="s">
        <v>306</v>
      </c>
      <c r="I29" s="232"/>
      <c r="J29" s="232"/>
      <c r="K29" s="232"/>
      <c r="L29" s="232"/>
      <c r="M29" s="232" t="s">
        <v>234</v>
      </c>
      <c r="N29" s="232"/>
      <c r="O29" s="232"/>
      <c r="P29" s="232"/>
      <c r="Q29" s="232"/>
      <c r="R29" s="231" t="s">
        <v>235</v>
      </c>
      <c r="S29" s="231"/>
      <c r="T29" s="231"/>
      <c r="U29" s="231"/>
      <c r="V29" s="231"/>
      <c r="W29" s="231" t="s">
        <v>236</v>
      </c>
      <c r="X29" s="231"/>
      <c r="Y29" s="231"/>
      <c r="Z29" s="231"/>
      <c r="AA29" s="231"/>
      <c r="AB29" s="232" t="s">
        <v>241</v>
      </c>
      <c r="AC29" s="232"/>
      <c r="AD29" s="232"/>
      <c r="AE29" s="232"/>
      <c r="AF29" s="232"/>
      <c r="AG29" s="232" t="s">
        <v>238</v>
      </c>
      <c r="AH29" s="232"/>
      <c r="AI29" s="232"/>
      <c r="AJ29" s="232"/>
      <c r="AK29" s="232"/>
    </row>
    <row r="30" spans="1:37" x14ac:dyDescent="0.2">
      <c r="A30" s="8"/>
      <c r="B30" s="88"/>
      <c r="C30" s="89" t="s">
        <v>264</v>
      </c>
      <c r="D30" s="89" t="s">
        <v>265</v>
      </c>
      <c r="E30" s="89" t="s">
        <v>266</v>
      </c>
      <c r="F30" s="89" t="s">
        <v>267</v>
      </c>
      <c r="G30" s="89" t="s">
        <v>268</v>
      </c>
      <c r="H30" s="109" t="s">
        <v>264</v>
      </c>
      <c r="I30" s="109" t="s">
        <v>265</v>
      </c>
      <c r="J30" s="109" t="s">
        <v>266</v>
      </c>
      <c r="K30" s="109" t="s">
        <v>267</v>
      </c>
      <c r="L30" s="109" t="s">
        <v>280</v>
      </c>
      <c r="M30" s="109" t="s">
        <v>264</v>
      </c>
      <c r="N30" s="109" t="s">
        <v>265</v>
      </c>
      <c r="O30" s="109" t="s">
        <v>266</v>
      </c>
      <c r="P30" s="109" t="s">
        <v>267</v>
      </c>
      <c r="Q30" s="109" t="s">
        <v>268</v>
      </c>
      <c r="R30" s="89" t="s">
        <v>264</v>
      </c>
      <c r="S30" s="89" t="s">
        <v>265</v>
      </c>
      <c r="T30" s="89" t="s">
        <v>266</v>
      </c>
      <c r="U30" s="89" t="s">
        <v>267</v>
      </c>
      <c r="V30" s="89" t="s">
        <v>268</v>
      </c>
      <c r="W30" s="89" t="s">
        <v>264</v>
      </c>
      <c r="X30" s="89" t="s">
        <v>265</v>
      </c>
      <c r="Y30" s="89" t="s">
        <v>266</v>
      </c>
      <c r="Z30" s="89" t="s">
        <v>267</v>
      </c>
      <c r="AA30" s="89" t="s">
        <v>280</v>
      </c>
      <c r="AB30" s="109" t="s">
        <v>264</v>
      </c>
      <c r="AC30" s="109" t="s">
        <v>265</v>
      </c>
      <c r="AD30" s="109" t="s">
        <v>266</v>
      </c>
      <c r="AE30" s="109" t="s">
        <v>267</v>
      </c>
      <c r="AF30" s="109" t="s">
        <v>280</v>
      </c>
      <c r="AG30" s="109" t="s">
        <v>264</v>
      </c>
      <c r="AH30" s="109" t="s">
        <v>265</v>
      </c>
      <c r="AI30" s="109" t="s">
        <v>266</v>
      </c>
      <c r="AJ30" s="109" t="s">
        <v>267</v>
      </c>
      <c r="AK30" s="109" t="s">
        <v>280</v>
      </c>
    </row>
    <row r="31" spans="1:37" ht="16" customHeight="1" x14ac:dyDescent="0.2">
      <c r="A31" s="214" t="s">
        <v>271</v>
      </c>
      <c r="B31" s="99" t="s">
        <v>116</v>
      </c>
      <c r="C31" s="92">
        <v>45.112000000000002</v>
      </c>
      <c r="D31" s="127"/>
      <c r="E31" s="8"/>
      <c r="F31" s="8"/>
      <c r="G31" s="8"/>
      <c r="H31" s="111">
        <v>58.866</v>
      </c>
      <c r="I31" s="126"/>
      <c r="J31" s="37"/>
      <c r="K31" s="37"/>
      <c r="L31" s="113"/>
      <c r="M31" s="111">
        <v>52.843000000000004</v>
      </c>
      <c r="N31" s="126"/>
      <c r="O31" s="37"/>
      <c r="P31" s="110"/>
      <c r="Q31" s="113"/>
      <c r="R31" s="94"/>
      <c r="S31" s="95"/>
      <c r="T31" s="95"/>
      <c r="U31" s="95"/>
      <c r="V31" s="95"/>
      <c r="W31" s="120"/>
      <c r="X31" s="120"/>
      <c r="Y31" s="120"/>
      <c r="Z31" s="120"/>
      <c r="AA31" s="121"/>
      <c r="AB31" s="111">
        <v>824.12400000000002</v>
      </c>
      <c r="AC31" s="126"/>
      <c r="AD31" s="116"/>
      <c r="AE31" s="116"/>
      <c r="AF31" s="113"/>
      <c r="AG31" s="124">
        <v>211.37200000000001</v>
      </c>
      <c r="AH31" s="116"/>
      <c r="AI31" s="116"/>
      <c r="AJ31" s="116"/>
      <c r="AK31" s="113"/>
    </row>
    <row r="32" spans="1:37" x14ac:dyDescent="0.2">
      <c r="A32" s="214"/>
      <c r="B32" s="101" t="s">
        <v>117</v>
      </c>
      <c r="C32" s="92">
        <v>104.03</v>
      </c>
      <c r="D32" s="127"/>
      <c r="E32" s="8"/>
      <c r="F32" s="8"/>
      <c r="G32" s="8"/>
      <c r="H32" s="111">
        <v>195.83099999999999</v>
      </c>
      <c r="I32" s="126"/>
      <c r="J32" s="37"/>
      <c r="K32" s="37"/>
      <c r="L32" s="113"/>
      <c r="M32" s="111">
        <v>157.595</v>
      </c>
      <c r="N32" s="126"/>
      <c r="O32" s="37"/>
      <c r="P32" s="110"/>
      <c r="Q32" s="113"/>
      <c r="R32" s="94"/>
      <c r="S32" s="95"/>
      <c r="T32" s="95"/>
      <c r="U32" s="95"/>
      <c r="V32" s="95"/>
      <c r="W32" s="94"/>
      <c r="X32" s="95"/>
      <c r="Y32" s="95"/>
      <c r="Z32" s="95"/>
      <c r="AA32" s="121"/>
      <c r="AB32" s="111">
        <v>4714.7009800000005</v>
      </c>
      <c r="AC32" s="126"/>
      <c r="AD32" s="110"/>
      <c r="AE32" s="110"/>
      <c r="AF32" s="113"/>
      <c r="AG32" s="124">
        <v>1084.04448</v>
      </c>
      <c r="AH32" s="116"/>
      <c r="AI32" s="110"/>
      <c r="AJ32" s="110"/>
      <c r="AK32" s="113"/>
    </row>
    <row r="33" spans="1:39" x14ac:dyDescent="0.2">
      <c r="A33" s="214"/>
      <c r="B33" s="101" t="s">
        <v>115</v>
      </c>
      <c r="C33" s="92">
        <v>124.253</v>
      </c>
      <c r="D33" s="127"/>
      <c r="E33" s="8"/>
      <c r="F33" s="8"/>
      <c r="G33" s="8"/>
      <c r="H33" s="111">
        <v>881.1</v>
      </c>
      <c r="I33" s="126"/>
      <c r="J33" s="37"/>
      <c r="K33" s="37"/>
      <c r="L33" s="113"/>
      <c r="M33" s="111">
        <v>754.6</v>
      </c>
      <c r="N33" s="126"/>
      <c r="O33" s="37"/>
      <c r="P33" s="110"/>
      <c r="Q33" s="113"/>
      <c r="R33" s="94"/>
      <c r="S33" s="95"/>
      <c r="T33" s="95"/>
      <c r="U33" s="95"/>
      <c r="V33" s="95"/>
      <c r="W33" s="94"/>
      <c r="X33" s="95"/>
      <c r="Y33" s="95"/>
      <c r="Z33" s="95"/>
      <c r="AA33" s="121"/>
      <c r="AB33" s="111">
        <v>9593.7999999999993</v>
      </c>
      <c r="AC33" s="126"/>
      <c r="AD33" s="110"/>
      <c r="AE33" s="110"/>
      <c r="AF33" s="113"/>
      <c r="AG33" s="124">
        <v>2347.5459999999998</v>
      </c>
      <c r="AH33" s="116"/>
      <c r="AI33" s="110"/>
      <c r="AJ33" s="110"/>
      <c r="AK33" s="113"/>
    </row>
    <row r="34" spans="1:39" x14ac:dyDescent="0.2">
      <c r="A34" s="214"/>
      <c r="B34" s="101" t="s">
        <v>118</v>
      </c>
      <c r="C34" s="92">
        <v>117.11</v>
      </c>
      <c r="D34" s="127"/>
      <c r="E34" s="8"/>
      <c r="F34" s="8"/>
      <c r="G34" s="8"/>
      <c r="H34" s="111">
        <v>118.09</v>
      </c>
      <c r="I34" s="126"/>
      <c r="J34" s="37"/>
      <c r="K34" s="37"/>
      <c r="L34" s="113"/>
      <c r="M34" s="111">
        <v>118.523</v>
      </c>
      <c r="N34" s="126"/>
      <c r="O34" s="37"/>
      <c r="P34" s="110"/>
      <c r="Q34" s="113"/>
      <c r="R34" s="94"/>
      <c r="S34" s="95"/>
      <c r="T34" s="95"/>
      <c r="U34" s="95"/>
      <c r="V34" s="95"/>
      <c r="W34" s="94"/>
      <c r="X34" s="95"/>
      <c r="Y34" s="95"/>
      <c r="Z34" s="95"/>
      <c r="AA34" s="121"/>
      <c r="AB34" s="111">
        <v>826.63</v>
      </c>
      <c r="AC34" s="126"/>
      <c r="AD34" s="110"/>
      <c r="AE34" s="110"/>
      <c r="AF34" s="113"/>
      <c r="AG34" s="124">
        <v>237.04599999999999</v>
      </c>
      <c r="AH34" s="116"/>
      <c r="AI34" s="110"/>
      <c r="AJ34" s="110"/>
      <c r="AK34" s="113"/>
    </row>
    <row r="35" spans="1:39" x14ac:dyDescent="0.2">
      <c r="A35" s="214"/>
      <c r="B35" s="101" t="s">
        <v>156</v>
      </c>
      <c r="C35" s="92">
        <v>60.526000000000003</v>
      </c>
      <c r="D35" s="127"/>
      <c r="E35" s="8"/>
      <c r="F35" s="8"/>
      <c r="G35" s="8"/>
      <c r="H35" s="111">
        <v>566.70000000000005</v>
      </c>
      <c r="I35" s="126"/>
      <c r="J35" s="37"/>
      <c r="K35" s="37"/>
      <c r="L35" s="113"/>
      <c r="M35" s="111">
        <v>560.70000000000005</v>
      </c>
      <c r="N35" s="126"/>
      <c r="O35" s="37"/>
      <c r="P35" s="110"/>
      <c r="Q35" s="113"/>
      <c r="R35" s="94"/>
      <c r="S35" s="95"/>
      <c r="T35" s="95"/>
      <c r="U35" s="95"/>
      <c r="V35" s="95"/>
      <c r="W35" s="94"/>
      <c r="X35" s="95"/>
      <c r="Y35" s="95"/>
      <c r="Z35" s="95"/>
      <c r="AA35" s="121"/>
      <c r="AB35" s="111">
        <v>7450.9030000000002</v>
      </c>
      <c r="AC35" s="126"/>
      <c r="AD35" s="110"/>
      <c r="AE35" s="110"/>
      <c r="AF35" s="113"/>
      <c r="AG35" s="124">
        <v>2106.29</v>
      </c>
      <c r="AH35" s="116"/>
      <c r="AI35" s="110"/>
      <c r="AJ35" s="110"/>
      <c r="AK35" s="113"/>
    </row>
    <row r="36" spans="1:39" x14ac:dyDescent="0.2">
      <c r="A36" s="214"/>
      <c r="B36" s="101" t="s">
        <v>119</v>
      </c>
      <c r="C36" s="92">
        <v>54.89</v>
      </c>
      <c r="D36" s="127"/>
      <c r="E36" s="8"/>
      <c r="F36" s="8"/>
      <c r="G36" s="8"/>
      <c r="H36" s="111">
        <v>260.33</v>
      </c>
      <c r="I36" s="126"/>
      <c r="J36" s="37"/>
      <c r="K36" s="37"/>
      <c r="L36" s="113"/>
      <c r="M36" s="111">
        <v>174.995</v>
      </c>
      <c r="N36" s="126"/>
      <c r="O36" s="37"/>
      <c r="P36" s="110"/>
      <c r="Q36" s="113"/>
      <c r="R36" s="94"/>
      <c r="S36" s="95"/>
      <c r="T36" s="95"/>
      <c r="U36" s="95"/>
      <c r="V36" s="95"/>
      <c r="W36" s="94"/>
      <c r="X36" s="95"/>
      <c r="Y36" s="95"/>
      <c r="Z36" s="95"/>
      <c r="AA36" s="121"/>
      <c r="AB36" s="111">
        <v>1373.587</v>
      </c>
      <c r="AC36" s="126"/>
      <c r="AD36" s="110"/>
      <c r="AE36" s="110"/>
      <c r="AF36" s="113"/>
      <c r="AG36" s="124">
        <v>463.80900000000003</v>
      </c>
      <c r="AH36" s="116"/>
      <c r="AI36" s="110"/>
      <c r="AJ36" s="110"/>
      <c r="AK36" s="113"/>
    </row>
    <row r="37" spans="1:39" x14ac:dyDescent="0.2">
      <c r="A37" s="214"/>
      <c r="B37" s="101" t="s">
        <v>120</v>
      </c>
      <c r="C37" s="92">
        <v>23.056999999999999</v>
      </c>
      <c r="D37" s="127"/>
      <c r="E37" s="8"/>
      <c r="F37" s="8"/>
      <c r="G37" s="8"/>
      <c r="H37" s="111">
        <v>91.965999999999994</v>
      </c>
      <c r="I37" s="126"/>
      <c r="J37" s="37"/>
      <c r="K37" s="37"/>
      <c r="L37" s="113"/>
      <c r="M37" s="111">
        <v>73.369</v>
      </c>
      <c r="N37" s="126"/>
      <c r="O37" s="37"/>
      <c r="P37" s="110"/>
      <c r="Q37" s="113"/>
      <c r="R37" s="94"/>
      <c r="S37" s="95"/>
      <c r="T37" s="95"/>
      <c r="U37" s="95"/>
      <c r="V37" s="95"/>
      <c r="W37" s="94"/>
      <c r="X37" s="95"/>
      <c r="Y37" s="95"/>
      <c r="Z37" s="95"/>
      <c r="AA37" s="121"/>
      <c r="AB37" s="111">
        <v>1586.92445</v>
      </c>
      <c r="AC37" s="126"/>
      <c r="AD37" s="110"/>
      <c r="AE37" s="110"/>
      <c r="AF37" s="113"/>
      <c r="AG37" s="124">
        <v>361.72082</v>
      </c>
      <c r="AH37" s="116"/>
      <c r="AI37" s="110"/>
      <c r="AJ37" s="110"/>
      <c r="AK37" s="113"/>
    </row>
    <row r="38" spans="1:39" x14ac:dyDescent="0.2">
      <c r="A38" s="214"/>
      <c r="B38" s="101" t="s">
        <v>121</v>
      </c>
      <c r="C38" s="92">
        <v>71.13</v>
      </c>
      <c r="D38" s="127"/>
      <c r="E38" s="8"/>
      <c r="F38" s="8"/>
      <c r="G38" s="8"/>
      <c r="H38" s="111">
        <v>316.95800000000003</v>
      </c>
      <c r="I38" s="126"/>
      <c r="J38" s="37"/>
      <c r="K38" s="37"/>
      <c r="L38" s="113"/>
      <c r="M38" s="111">
        <v>197.495</v>
      </c>
      <c r="N38" s="126"/>
      <c r="O38" s="37"/>
      <c r="P38" s="110"/>
      <c r="Q38" s="113"/>
      <c r="R38" s="94"/>
      <c r="S38" s="95"/>
      <c r="T38" s="95"/>
      <c r="U38" s="95"/>
      <c r="V38" s="95"/>
      <c r="W38" s="94"/>
      <c r="X38" s="95"/>
      <c r="Y38" s="95"/>
      <c r="Z38" s="95"/>
      <c r="AA38" s="121"/>
      <c r="AB38" s="111">
        <v>1932.38</v>
      </c>
      <c r="AC38" s="126"/>
      <c r="AD38" s="110"/>
      <c r="AE38" s="110"/>
      <c r="AF38" s="113"/>
      <c r="AG38" s="124">
        <v>344.01600000000002</v>
      </c>
      <c r="AH38" s="116"/>
      <c r="AI38" s="110"/>
      <c r="AJ38" s="110"/>
      <c r="AK38" s="113"/>
    </row>
    <row r="39" spans="1:39" ht="17" thickBot="1" x14ac:dyDescent="0.25">
      <c r="A39" s="215"/>
      <c r="B39" s="136" t="s">
        <v>122</v>
      </c>
      <c r="C39" s="146">
        <v>64.617999999999995</v>
      </c>
      <c r="D39" s="142"/>
      <c r="E39" s="143"/>
      <c r="F39" s="143"/>
      <c r="G39" s="143"/>
      <c r="H39" s="145">
        <v>85.929000000000002</v>
      </c>
      <c r="I39" s="139"/>
      <c r="J39" s="140"/>
      <c r="K39" s="140"/>
      <c r="L39" s="150"/>
      <c r="M39" s="145">
        <v>80.177999999999997</v>
      </c>
      <c r="N39" s="126"/>
      <c r="O39" s="140"/>
      <c r="P39" s="138"/>
      <c r="Q39" s="150"/>
      <c r="R39" s="166"/>
      <c r="S39" s="147"/>
      <c r="T39" s="147"/>
      <c r="U39" s="147"/>
      <c r="V39" s="147"/>
      <c r="W39" s="166"/>
      <c r="X39" s="147"/>
      <c r="Y39" s="147"/>
      <c r="Z39" s="147"/>
      <c r="AA39" s="169"/>
      <c r="AB39" s="145">
        <v>1816.4013500000001</v>
      </c>
      <c r="AC39" s="139"/>
      <c r="AD39" s="138"/>
      <c r="AE39" s="138"/>
      <c r="AF39" s="150"/>
      <c r="AG39" s="151">
        <v>484.23840999999999</v>
      </c>
      <c r="AH39" s="168"/>
      <c r="AI39" s="138"/>
      <c r="AJ39" s="138"/>
      <c r="AK39" s="150"/>
    </row>
    <row r="40" spans="1:39" ht="16" customHeight="1" thickTop="1" x14ac:dyDescent="0.2">
      <c r="A40" s="205" t="s">
        <v>272</v>
      </c>
      <c r="B40" s="128" t="s">
        <v>286</v>
      </c>
      <c r="C40" s="157">
        <v>39.5</v>
      </c>
      <c r="D40" s="129"/>
      <c r="E40" s="129"/>
      <c r="F40" s="129"/>
      <c r="G40" s="129"/>
      <c r="H40" s="130">
        <v>500.2</v>
      </c>
      <c r="I40" s="131"/>
      <c r="J40" s="131"/>
      <c r="K40" s="131"/>
      <c r="L40" s="149"/>
      <c r="M40" s="130">
        <v>419.7</v>
      </c>
      <c r="N40" s="126"/>
      <c r="O40" s="131"/>
      <c r="P40" s="131"/>
      <c r="Q40" s="149"/>
      <c r="R40" s="153" t="s">
        <v>309</v>
      </c>
      <c r="S40" s="157"/>
      <c r="T40" s="157"/>
      <c r="U40" s="157"/>
      <c r="V40" s="157"/>
      <c r="W40" s="153" t="s">
        <v>309</v>
      </c>
      <c r="X40" s="170"/>
      <c r="Y40" s="170"/>
      <c r="Z40" s="170"/>
      <c r="AA40" s="171"/>
      <c r="AB40" s="156">
        <f>AG40*AM40</f>
        <v>20051.338930997488</v>
      </c>
      <c r="AC40" s="135"/>
      <c r="AD40" s="135"/>
      <c r="AE40" s="135"/>
      <c r="AF40" s="149"/>
      <c r="AG40" s="135">
        <v>7890</v>
      </c>
      <c r="AH40" s="135"/>
      <c r="AI40" s="135"/>
      <c r="AJ40" s="135"/>
      <c r="AK40" s="149"/>
      <c r="AM40">
        <v>2.5413610812417602</v>
      </c>
    </row>
    <row r="41" spans="1:39" x14ac:dyDescent="0.2">
      <c r="A41" s="206"/>
      <c r="B41" s="100" t="s">
        <v>287</v>
      </c>
      <c r="C41" s="95">
        <v>0.3</v>
      </c>
      <c r="D41" s="91"/>
      <c r="E41" s="91"/>
      <c r="F41" s="91"/>
      <c r="G41" s="91"/>
      <c r="H41" s="111">
        <v>0.9</v>
      </c>
      <c r="I41" s="110"/>
      <c r="J41" s="110"/>
      <c r="K41" s="110"/>
      <c r="L41" s="113"/>
      <c r="M41" s="111">
        <v>0.7</v>
      </c>
      <c r="N41" s="126"/>
      <c r="O41" s="110"/>
      <c r="P41" s="110"/>
      <c r="Q41" s="113"/>
      <c r="R41" s="154"/>
      <c r="S41" s="95"/>
      <c r="T41" s="95"/>
      <c r="U41" s="95"/>
      <c r="V41" s="95"/>
      <c r="W41" s="154"/>
      <c r="X41" s="95"/>
      <c r="Y41" s="95"/>
      <c r="Z41" s="95"/>
      <c r="AA41" s="121"/>
      <c r="AB41" s="156">
        <f t="shared" ref="AB41:AB52" si="1">AG41*AM41</f>
        <v>88.673736814182149</v>
      </c>
      <c r="AC41" s="110">
        <v>195</v>
      </c>
      <c r="AD41" s="110"/>
      <c r="AE41" s="110"/>
      <c r="AF41" s="113"/>
      <c r="AG41" s="111">
        <v>23.8</v>
      </c>
      <c r="AH41" s="110"/>
      <c r="AI41" s="110"/>
      <c r="AJ41" s="110"/>
      <c r="AK41" s="113"/>
      <c r="AM41">
        <v>3.72578726110009</v>
      </c>
    </row>
    <row r="42" spans="1:39" x14ac:dyDescent="0.2">
      <c r="A42" s="206"/>
      <c r="B42" s="100" t="s">
        <v>288</v>
      </c>
      <c r="C42" s="95">
        <v>87.3</v>
      </c>
      <c r="D42" s="91"/>
      <c r="E42" s="91"/>
      <c r="F42" s="91"/>
      <c r="G42" s="91"/>
      <c r="H42" s="111">
        <v>532</v>
      </c>
      <c r="I42" s="110"/>
      <c r="J42" s="110"/>
      <c r="K42" s="110"/>
      <c r="L42" s="113"/>
      <c r="M42" s="111">
        <v>352.8</v>
      </c>
      <c r="N42" s="126"/>
      <c r="O42" s="110"/>
      <c r="P42" s="110"/>
      <c r="Q42" s="113"/>
      <c r="R42" s="154"/>
      <c r="S42" s="95"/>
      <c r="T42" s="95"/>
      <c r="U42" s="95"/>
      <c r="V42" s="95"/>
      <c r="W42" s="154"/>
      <c r="X42" s="95"/>
      <c r="Y42" s="95"/>
      <c r="Z42" s="95"/>
      <c r="AA42" s="121"/>
      <c r="AB42" s="156">
        <f t="shared" si="1"/>
        <v>17317.663193485801</v>
      </c>
      <c r="AC42" s="110"/>
      <c r="AD42" s="110"/>
      <c r="AE42" s="110"/>
      <c r="AF42" s="113"/>
      <c r="AG42" s="111">
        <v>4471</v>
      </c>
      <c r="AH42" s="110"/>
      <c r="AI42" s="110"/>
      <c r="AJ42" s="110"/>
      <c r="AK42" s="113"/>
      <c r="AM42">
        <v>3.8733310654184301</v>
      </c>
    </row>
    <row r="43" spans="1:39" x14ac:dyDescent="0.2">
      <c r="A43" s="206"/>
      <c r="B43" s="105" t="s">
        <v>289</v>
      </c>
      <c r="C43" s="95">
        <v>28.8</v>
      </c>
      <c r="D43" s="91"/>
      <c r="E43" s="91"/>
      <c r="F43" s="91"/>
      <c r="G43" s="91"/>
      <c r="H43" s="111">
        <v>70.3</v>
      </c>
      <c r="I43" s="110"/>
      <c r="J43" s="110"/>
      <c r="K43" s="110"/>
      <c r="L43" s="113"/>
      <c r="M43" s="111">
        <v>57.7</v>
      </c>
      <c r="N43" s="126"/>
      <c r="O43" s="110"/>
      <c r="P43" s="110"/>
      <c r="Q43" s="113"/>
      <c r="R43" s="154"/>
      <c r="S43" s="95"/>
      <c r="T43" s="95"/>
      <c r="U43" s="95"/>
      <c r="V43" s="95"/>
      <c r="W43" s="154"/>
      <c r="X43" s="95"/>
      <c r="Y43" s="95"/>
      <c r="Z43" s="95"/>
      <c r="AA43" s="121"/>
      <c r="AB43" s="156">
        <f t="shared" si="1"/>
        <v>21766.828887055228</v>
      </c>
      <c r="AC43" s="110"/>
      <c r="AD43" s="110"/>
      <c r="AE43" s="110"/>
      <c r="AF43" s="113"/>
      <c r="AG43" s="111">
        <v>7286</v>
      </c>
      <c r="AH43" s="110"/>
      <c r="AI43" s="110"/>
      <c r="AJ43" s="110"/>
      <c r="AK43" s="113"/>
      <c r="AM43">
        <v>2.9874868085444999</v>
      </c>
    </row>
    <row r="44" spans="1:39" x14ac:dyDescent="0.2">
      <c r="A44" s="206"/>
      <c r="B44" s="105" t="s">
        <v>290</v>
      </c>
      <c r="C44" s="95">
        <v>31.4</v>
      </c>
      <c r="D44" s="91"/>
      <c r="E44" s="91"/>
      <c r="F44" s="91"/>
      <c r="G44" s="91"/>
      <c r="H44" s="111">
        <v>185.1</v>
      </c>
      <c r="I44" s="110"/>
      <c r="J44" s="110"/>
      <c r="K44" s="110"/>
      <c r="L44" s="113"/>
      <c r="M44" s="111">
        <v>158.30000000000001</v>
      </c>
      <c r="N44" s="126"/>
      <c r="O44" s="110"/>
      <c r="P44" s="110"/>
      <c r="Q44" s="113"/>
      <c r="R44" s="154"/>
      <c r="S44" s="95"/>
      <c r="T44" s="95"/>
      <c r="U44" s="95"/>
      <c r="V44" s="95"/>
      <c r="W44" s="154"/>
      <c r="X44" s="95"/>
      <c r="Y44" s="95"/>
      <c r="Z44" s="95"/>
      <c r="AA44" s="121"/>
      <c r="AB44" s="156">
        <f t="shared" si="1"/>
        <v>9544.6549063615203</v>
      </c>
      <c r="AC44" s="110"/>
      <c r="AD44" s="110"/>
      <c r="AE44" s="110"/>
      <c r="AF44" s="113"/>
      <c r="AG44" s="111">
        <v>2993.8</v>
      </c>
      <c r="AH44" s="110"/>
      <c r="AI44" s="110"/>
      <c r="AJ44" s="110"/>
      <c r="AK44" s="113"/>
      <c r="AM44">
        <v>3.1881404590692499</v>
      </c>
    </row>
    <row r="45" spans="1:39" x14ac:dyDescent="0.2">
      <c r="A45" s="206"/>
      <c r="B45" s="105" t="s">
        <v>291</v>
      </c>
      <c r="C45" s="95">
        <v>41.3</v>
      </c>
      <c r="D45" s="91"/>
      <c r="E45" s="91"/>
      <c r="F45" s="91"/>
      <c r="G45" s="91"/>
      <c r="H45" s="111">
        <v>211.5</v>
      </c>
      <c r="I45" s="110"/>
      <c r="J45" s="110"/>
      <c r="K45" s="110"/>
      <c r="L45" s="113"/>
      <c r="M45" s="111">
        <v>189.6</v>
      </c>
      <c r="N45" s="126"/>
      <c r="O45" s="110"/>
      <c r="P45" s="110"/>
      <c r="Q45" s="113"/>
      <c r="R45" s="154"/>
      <c r="S45" s="95"/>
      <c r="T45" s="95"/>
      <c r="U45" s="95"/>
      <c r="V45" s="95"/>
      <c r="W45" s="154"/>
      <c r="X45" s="95"/>
      <c r="Y45" s="95"/>
      <c r="Z45" s="95"/>
      <c r="AA45" s="121"/>
      <c r="AB45" s="156">
        <f t="shared" si="1"/>
        <v>17508.044841976407</v>
      </c>
      <c r="AC45" s="110"/>
      <c r="AD45" s="110"/>
      <c r="AE45" s="110"/>
      <c r="AF45" s="113"/>
      <c r="AG45" s="111">
        <v>3651</v>
      </c>
      <c r="AH45" s="110"/>
      <c r="AI45" s="110"/>
      <c r="AJ45" s="110"/>
      <c r="AK45" s="113"/>
      <c r="AM45">
        <v>4.7954108030611904</v>
      </c>
    </row>
    <row r="46" spans="1:39" x14ac:dyDescent="0.2">
      <c r="A46" s="206"/>
      <c r="B46" s="105" t="s">
        <v>292</v>
      </c>
      <c r="C46" s="95">
        <v>34.9</v>
      </c>
      <c r="D46" s="91"/>
      <c r="E46" s="91"/>
      <c r="F46" s="91"/>
      <c r="G46" s="91"/>
      <c r="H46" s="111">
        <v>37.799999999999997</v>
      </c>
      <c r="I46" s="110"/>
      <c r="J46" s="110"/>
      <c r="K46" s="110"/>
      <c r="L46" s="113"/>
      <c r="M46" s="111">
        <v>36.1</v>
      </c>
      <c r="N46" s="126"/>
      <c r="O46" s="110"/>
      <c r="P46" s="110"/>
      <c r="Q46" s="113"/>
      <c r="R46" s="154"/>
      <c r="S46" s="95"/>
      <c r="T46" s="95"/>
      <c r="U46" s="95"/>
      <c r="V46" s="95"/>
      <c r="W46" s="154"/>
      <c r="X46" s="95"/>
      <c r="Y46" s="95"/>
      <c r="Z46" s="95"/>
      <c r="AA46" s="121"/>
      <c r="AB46" s="156">
        <f t="shared" si="1"/>
        <v>5133.6231037997013</v>
      </c>
      <c r="AC46" s="110"/>
      <c r="AD46" s="110"/>
      <c r="AE46" s="110"/>
      <c r="AF46" s="113"/>
      <c r="AG46" s="111">
        <v>1819.9</v>
      </c>
      <c r="AH46" s="110"/>
      <c r="AI46" s="110"/>
      <c r="AJ46" s="110"/>
      <c r="AK46" s="113"/>
      <c r="AM46">
        <v>2.82082702555069</v>
      </c>
    </row>
    <row r="47" spans="1:39" x14ac:dyDescent="0.2">
      <c r="A47" s="206"/>
      <c r="B47" s="105" t="s">
        <v>293</v>
      </c>
      <c r="C47" s="95">
        <v>56.1</v>
      </c>
      <c r="D47" s="91"/>
      <c r="E47" s="91"/>
      <c r="F47" s="91"/>
      <c r="G47" s="91"/>
      <c r="H47" s="111">
        <v>57.2</v>
      </c>
      <c r="I47" s="110"/>
      <c r="J47" s="110"/>
      <c r="K47" s="110"/>
      <c r="L47" s="113"/>
      <c r="M47" s="111">
        <v>57.4</v>
      </c>
      <c r="N47" s="126"/>
      <c r="O47" s="110"/>
      <c r="P47" s="110"/>
      <c r="Q47" s="113"/>
      <c r="R47" s="154"/>
      <c r="S47" s="95"/>
      <c r="T47" s="95"/>
      <c r="U47" s="95"/>
      <c r="V47" s="95"/>
      <c r="W47" s="154"/>
      <c r="X47" s="95"/>
      <c r="Y47" s="95"/>
      <c r="Z47" s="95"/>
      <c r="AA47" s="121"/>
      <c r="AB47" s="156">
        <f t="shared" si="1"/>
        <v>8257.003443941454</v>
      </c>
      <c r="AC47" s="110"/>
      <c r="AD47" s="110"/>
      <c r="AE47" s="110"/>
      <c r="AF47" s="113"/>
      <c r="AG47" s="111">
        <v>2623.8</v>
      </c>
      <c r="AH47" s="110"/>
      <c r="AI47" s="110"/>
      <c r="AJ47" s="110"/>
      <c r="AK47" s="113"/>
      <c r="AM47">
        <v>3.1469637334939602</v>
      </c>
    </row>
    <row r="48" spans="1:39" x14ac:dyDescent="0.2">
      <c r="A48" s="206"/>
      <c r="B48" s="105" t="s">
        <v>294</v>
      </c>
      <c r="C48" s="95">
        <v>21.7</v>
      </c>
      <c r="D48" s="91"/>
      <c r="E48" s="91"/>
      <c r="F48" s="91"/>
      <c r="G48" s="91"/>
      <c r="H48" s="111">
        <v>254.5</v>
      </c>
      <c r="I48" s="110"/>
      <c r="J48" s="110"/>
      <c r="K48" s="110"/>
      <c r="L48" s="113"/>
      <c r="M48" s="111">
        <v>198.9</v>
      </c>
      <c r="N48" s="126"/>
      <c r="O48" s="110"/>
      <c r="P48" s="110"/>
      <c r="Q48" s="113"/>
      <c r="R48" s="154"/>
      <c r="S48" s="95"/>
      <c r="T48" s="95"/>
      <c r="U48" s="95"/>
      <c r="V48" s="95"/>
      <c r="W48" s="154"/>
      <c r="X48" s="95"/>
      <c r="Y48" s="95"/>
      <c r="Z48" s="95"/>
      <c r="AA48" s="121"/>
      <c r="AB48" s="156">
        <f t="shared" si="1"/>
        <v>16222.974578117368</v>
      </c>
      <c r="AC48" s="110"/>
      <c r="AD48" s="110"/>
      <c r="AE48" s="110"/>
      <c r="AF48" s="113"/>
      <c r="AG48" s="111">
        <v>3536.3</v>
      </c>
      <c r="AH48" s="110"/>
      <c r="AI48" s="110"/>
      <c r="AJ48" s="110"/>
      <c r="AK48" s="113"/>
      <c r="AM48">
        <v>4.58755608351027</v>
      </c>
    </row>
    <row r="49" spans="1:39" x14ac:dyDescent="0.2">
      <c r="A49" s="206"/>
      <c r="B49" s="105" t="s">
        <v>295</v>
      </c>
      <c r="C49" s="95">
        <v>9.9</v>
      </c>
      <c r="D49" s="91"/>
      <c r="E49" s="91"/>
      <c r="F49" s="91"/>
      <c r="G49" s="91"/>
      <c r="H49" s="111">
        <v>56</v>
      </c>
      <c r="I49" s="110"/>
      <c r="J49" s="110"/>
      <c r="K49" s="110"/>
      <c r="L49" s="113"/>
      <c r="M49" s="111">
        <v>40.4</v>
      </c>
      <c r="N49" s="126"/>
      <c r="O49" s="110"/>
      <c r="P49" s="110"/>
      <c r="Q49" s="113"/>
      <c r="R49" s="154"/>
      <c r="S49" s="95"/>
      <c r="T49" s="95"/>
      <c r="U49" s="95"/>
      <c r="V49" s="95"/>
      <c r="W49" s="154"/>
      <c r="X49" s="95"/>
      <c r="Y49" s="95"/>
      <c r="Z49" s="95"/>
      <c r="AA49" s="121"/>
      <c r="AB49" s="156">
        <f t="shared" si="1"/>
        <v>1900.1598858443119</v>
      </c>
      <c r="AC49" s="110"/>
      <c r="AD49" s="110"/>
      <c r="AE49" s="110"/>
      <c r="AF49" s="113"/>
      <c r="AG49" s="111">
        <v>437.5</v>
      </c>
      <c r="AH49" s="110"/>
      <c r="AI49" s="110"/>
      <c r="AJ49" s="110"/>
      <c r="AK49" s="113"/>
      <c r="AM49">
        <v>4.3432225962155702</v>
      </c>
    </row>
    <row r="50" spans="1:39" x14ac:dyDescent="0.2">
      <c r="A50" s="206"/>
      <c r="B50" s="105" t="s">
        <v>296</v>
      </c>
      <c r="C50" s="95">
        <v>71.3</v>
      </c>
      <c r="D50" s="91"/>
      <c r="E50" s="91"/>
      <c r="F50" s="91"/>
      <c r="G50" s="91"/>
      <c r="H50" s="111">
        <v>842.1</v>
      </c>
      <c r="I50" s="110"/>
      <c r="J50" s="110"/>
      <c r="K50" s="110"/>
      <c r="L50" s="113"/>
      <c r="M50" s="111">
        <v>839.7</v>
      </c>
      <c r="N50" s="126"/>
      <c r="O50" s="110"/>
      <c r="P50" s="110"/>
      <c r="Q50" s="113"/>
      <c r="R50" s="155"/>
      <c r="S50" s="167"/>
      <c r="T50" s="167"/>
      <c r="U50" s="167"/>
      <c r="V50" s="167"/>
      <c r="W50" s="154"/>
      <c r="X50" s="95"/>
      <c r="Y50" s="95"/>
      <c r="Z50" s="95"/>
      <c r="AA50" s="121"/>
      <c r="AB50" s="156">
        <f t="shared" si="1"/>
        <v>14551.805383269084</v>
      </c>
      <c r="AC50" s="110"/>
      <c r="AD50" s="110"/>
      <c r="AE50" s="110"/>
      <c r="AF50" s="113"/>
      <c r="AG50" s="111">
        <v>5602</v>
      </c>
      <c r="AH50" s="110"/>
      <c r="AI50" s="110"/>
      <c r="AJ50" s="110"/>
      <c r="AK50" s="113"/>
      <c r="AM50">
        <v>2.5976089580987298</v>
      </c>
    </row>
    <row r="51" spans="1:39" x14ac:dyDescent="0.2">
      <c r="A51" s="206"/>
      <c r="B51" s="105" t="s">
        <v>297</v>
      </c>
      <c r="C51" s="95">
        <v>18.8</v>
      </c>
      <c r="D51" s="91"/>
      <c r="E51" s="91"/>
      <c r="F51" s="91"/>
      <c r="G51" s="91"/>
      <c r="H51" s="110">
        <v>84.8</v>
      </c>
      <c r="I51" s="110"/>
      <c r="J51" s="110"/>
      <c r="K51" s="110"/>
      <c r="L51" s="113"/>
      <c r="M51" s="110">
        <v>73</v>
      </c>
      <c r="N51" s="126"/>
      <c r="O51" s="110"/>
      <c r="P51" s="110"/>
      <c r="Q51" s="113"/>
      <c r="R51" s="154"/>
      <c r="S51" s="95"/>
      <c r="T51" s="95"/>
      <c r="U51" s="95"/>
      <c r="V51" s="95"/>
      <c r="W51" s="154"/>
      <c r="X51" s="95"/>
      <c r="Y51" s="95"/>
      <c r="Z51" s="95"/>
      <c r="AA51" s="121"/>
      <c r="AB51" s="156">
        <f t="shared" si="1"/>
        <v>8749.8873159427367</v>
      </c>
      <c r="AC51" s="110"/>
      <c r="AD51" s="110"/>
      <c r="AE51" s="110"/>
      <c r="AF51" s="113"/>
      <c r="AG51" s="111">
        <v>2152.6</v>
      </c>
      <c r="AH51" s="110"/>
      <c r="AI51" s="110"/>
      <c r="AJ51" s="110"/>
      <c r="AK51" s="113"/>
      <c r="AM51">
        <v>4.0647994592319696</v>
      </c>
    </row>
    <row r="52" spans="1:39" x14ac:dyDescent="0.2">
      <c r="A52" s="206"/>
      <c r="B52" s="105" t="s">
        <v>298</v>
      </c>
      <c r="C52" s="95">
        <v>72.2</v>
      </c>
      <c r="D52" s="91"/>
      <c r="E52" s="91"/>
      <c r="F52" s="91"/>
      <c r="G52" s="91"/>
      <c r="H52" s="110">
        <v>82.5</v>
      </c>
      <c r="I52" s="110"/>
      <c r="J52" s="110"/>
      <c r="K52" s="110"/>
      <c r="L52" s="113"/>
      <c r="M52" s="110">
        <v>78.7</v>
      </c>
      <c r="N52" s="126"/>
      <c r="O52" s="110"/>
      <c r="P52" s="110"/>
      <c r="Q52" s="113"/>
      <c r="R52" s="154"/>
      <c r="S52" s="95"/>
      <c r="T52" s="95"/>
      <c r="U52" s="95"/>
      <c r="V52" s="95"/>
      <c r="W52" s="154"/>
      <c r="X52" s="95"/>
      <c r="Y52" s="95"/>
      <c r="Z52" s="95"/>
      <c r="AA52" s="121"/>
      <c r="AB52" s="156">
        <f t="shared" si="1"/>
        <v>113481.69667516707</v>
      </c>
      <c r="AC52" s="110"/>
      <c r="AD52" s="110"/>
      <c r="AE52" s="110"/>
      <c r="AF52" s="113"/>
      <c r="AG52" s="111">
        <v>23273</v>
      </c>
      <c r="AH52" s="110"/>
      <c r="AI52" s="110"/>
      <c r="AJ52" s="110"/>
      <c r="AK52" s="113"/>
      <c r="AM52">
        <v>4.8761095121027402</v>
      </c>
    </row>
    <row r="53" spans="1:39" x14ac:dyDescent="0.2">
      <c r="AG53" s="87">
        <f>SUM(AG40:AG51)/3600</f>
        <v>11.802138888888889</v>
      </c>
    </row>
    <row r="54" spans="1:39" x14ac:dyDescent="0.2">
      <c r="A54" s="159" t="s">
        <v>302</v>
      </c>
      <c r="B54" s="160"/>
      <c r="C54" s="224" t="s">
        <v>300</v>
      </c>
      <c r="D54" s="225"/>
      <c r="E54" s="225"/>
      <c r="F54" s="225"/>
      <c r="G54" s="225"/>
      <c r="H54" s="225"/>
      <c r="I54" s="226"/>
      <c r="J54" s="223" t="s">
        <v>301</v>
      </c>
      <c r="K54" s="223"/>
      <c r="L54" s="223"/>
      <c r="M54" s="223"/>
      <c r="N54" s="223"/>
      <c r="O54" s="223"/>
      <c r="P54" s="223"/>
    </row>
    <row r="55" spans="1:39" x14ac:dyDescent="0.2">
      <c r="A55" s="161"/>
      <c r="B55" s="162"/>
      <c r="C55" s="86" t="s">
        <v>86</v>
      </c>
      <c r="D55" s="86" t="s">
        <v>233</v>
      </c>
      <c r="E55" s="86" t="s">
        <v>234</v>
      </c>
      <c r="F55" s="89" t="s">
        <v>263</v>
      </c>
      <c r="G55" s="89" t="s">
        <v>262</v>
      </c>
      <c r="H55" s="89" t="s">
        <v>237</v>
      </c>
      <c r="I55" s="89" t="s">
        <v>238</v>
      </c>
      <c r="J55" s="86" t="s">
        <v>285</v>
      </c>
      <c r="K55" s="86" t="s">
        <v>306</v>
      </c>
      <c r="L55" s="86" t="s">
        <v>234</v>
      </c>
      <c r="M55" s="89" t="s">
        <v>261</v>
      </c>
      <c r="N55" s="89" t="s">
        <v>262</v>
      </c>
      <c r="O55" s="89" t="s">
        <v>241</v>
      </c>
      <c r="P55" s="89" t="s">
        <v>238</v>
      </c>
    </row>
    <row r="56" spans="1:39" ht="16" customHeight="1" x14ac:dyDescent="0.2">
      <c r="A56" s="212" t="s">
        <v>271</v>
      </c>
      <c r="B56" s="99" t="s">
        <v>116</v>
      </c>
      <c r="C56" s="117">
        <f t="shared" ref="C56:C64" si="2">AVERAGE(C4:G4)</f>
        <v>25.97</v>
      </c>
      <c r="D56" s="114">
        <f t="shared" ref="D56:D64" si="3">AVERAGE(H4:L4)</f>
        <v>45.805999999999997</v>
      </c>
      <c r="E56" s="114">
        <f t="shared" ref="E56:E64" si="4">AVERAGE(M4:Q4)</f>
        <v>49.231566945804019</v>
      </c>
      <c r="F56" s="114" t="s">
        <v>153</v>
      </c>
      <c r="G56" s="114" t="s">
        <v>153</v>
      </c>
      <c r="H56" s="114">
        <f t="shared" ref="H56:H64" si="5">AVERAGE(AB4:AF4)</f>
        <v>57.71</v>
      </c>
      <c r="I56" s="114">
        <f t="shared" ref="I56:I64" si="6">AVERAGE(AG4:AK4)</f>
        <v>54.771000000000001</v>
      </c>
      <c r="J56" s="117">
        <f>AVERAGE(C31:G31)</f>
        <v>45.112000000000002</v>
      </c>
      <c r="K56" s="114">
        <f t="shared" ref="K56:K64" si="7">AVERAGE(H31:L31)</f>
        <v>58.866</v>
      </c>
      <c r="L56" s="114">
        <f t="shared" ref="L56:L64" si="8">AVERAGE(M31:Q31)</f>
        <v>52.843000000000004</v>
      </c>
      <c r="M56" s="114" t="s">
        <v>153</v>
      </c>
      <c r="N56" s="114" t="s">
        <v>153</v>
      </c>
      <c r="O56" s="114">
        <f t="shared" ref="O56:O64" si="9">AVERAGE(AB31:AF31)</f>
        <v>824.12400000000002</v>
      </c>
      <c r="P56" s="114">
        <f t="shared" ref="P56:P64" si="10">AVERAGE(AG31:AK31)</f>
        <v>211.37200000000001</v>
      </c>
    </row>
    <row r="57" spans="1:39" ht="16" customHeight="1" x14ac:dyDescent="0.2">
      <c r="A57" s="213"/>
      <c r="B57" s="101" t="s">
        <v>117</v>
      </c>
      <c r="C57" s="117">
        <f t="shared" si="2"/>
        <v>39.798000000000002</v>
      </c>
      <c r="D57" s="114">
        <f t="shared" si="3"/>
        <v>108.992</v>
      </c>
      <c r="E57" s="114">
        <f t="shared" si="4"/>
        <v>114.24549999999999</v>
      </c>
      <c r="F57" s="114" t="s">
        <v>153</v>
      </c>
      <c r="G57" s="114" t="s">
        <v>153</v>
      </c>
      <c r="H57" s="114">
        <f t="shared" si="5"/>
        <v>172.54499999999999</v>
      </c>
      <c r="I57" s="114">
        <f t="shared" si="6"/>
        <v>142.46199999999999</v>
      </c>
      <c r="J57" s="117">
        <f t="shared" ref="J57:J64" si="11">AVERAGE(C32:G32)</f>
        <v>104.03</v>
      </c>
      <c r="K57" s="114">
        <f t="shared" si="7"/>
        <v>195.83099999999999</v>
      </c>
      <c r="L57" s="114">
        <f t="shared" si="8"/>
        <v>157.595</v>
      </c>
      <c r="M57" s="114" t="s">
        <v>153</v>
      </c>
      <c r="N57" s="114" t="s">
        <v>153</v>
      </c>
      <c r="O57" s="114">
        <f t="shared" si="9"/>
        <v>4714.7009800000005</v>
      </c>
      <c r="P57" s="114">
        <f t="shared" si="10"/>
        <v>1084.04448</v>
      </c>
    </row>
    <row r="58" spans="1:39" x14ac:dyDescent="0.2">
      <c r="A58" s="213"/>
      <c r="B58" s="101" t="s">
        <v>115</v>
      </c>
      <c r="C58" s="117">
        <f t="shared" si="2"/>
        <v>66.450999999999993</v>
      </c>
      <c r="D58" s="114">
        <f t="shared" si="3"/>
        <v>131.286</v>
      </c>
      <c r="E58" s="114">
        <f t="shared" si="4"/>
        <v>155.2835</v>
      </c>
      <c r="F58" s="114" t="s">
        <v>153</v>
      </c>
      <c r="G58" s="114" t="s">
        <v>153</v>
      </c>
      <c r="H58" s="114">
        <f t="shared" si="5"/>
        <v>821.5</v>
      </c>
      <c r="I58" s="114">
        <f t="shared" si="6"/>
        <v>245.54300000000001</v>
      </c>
      <c r="J58" s="117">
        <f t="shared" si="11"/>
        <v>124.253</v>
      </c>
      <c r="K58" s="114">
        <f t="shared" si="7"/>
        <v>881.1</v>
      </c>
      <c r="L58" s="114">
        <f t="shared" si="8"/>
        <v>754.6</v>
      </c>
      <c r="M58" s="114" t="s">
        <v>153</v>
      </c>
      <c r="N58" s="114" t="s">
        <v>153</v>
      </c>
      <c r="O58" s="114">
        <f t="shared" si="9"/>
        <v>9593.7999999999993</v>
      </c>
      <c r="P58" s="114">
        <f t="shared" si="10"/>
        <v>2347.5459999999998</v>
      </c>
    </row>
    <row r="59" spans="1:39" x14ac:dyDescent="0.2">
      <c r="A59" s="213"/>
      <c r="B59" s="101" t="s">
        <v>118</v>
      </c>
      <c r="C59" s="117">
        <f t="shared" si="2"/>
        <v>116.294</v>
      </c>
      <c r="D59" s="114">
        <f t="shared" si="3"/>
        <v>123.51</v>
      </c>
      <c r="E59" s="114">
        <f t="shared" si="4"/>
        <v>126.715</v>
      </c>
      <c r="F59" s="114" t="s">
        <v>153</v>
      </c>
      <c r="G59" s="114" t="s">
        <v>153</v>
      </c>
      <c r="H59" s="114">
        <f t="shared" si="5"/>
        <v>131.83699999999999</v>
      </c>
      <c r="I59" s="114">
        <f t="shared" si="6"/>
        <v>148.05500000000001</v>
      </c>
      <c r="J59" s="117">
        <f t="shared" si="11"/>
        <v>117.11</v>
      </c>
      <c r="K59" s="114">
        <f t="shared" si="7"/>
        <v>118.09</v>
      </c>
      <c r="L59" s="114">
        <f t="shared" si="8"/>
        <v>118.523</v>
      </c>
      <c r="M59" s="114" t="s">
        <v>153</v>
      </c>
      <c r="N59" s="114" t="s">
        <v>153</v>
      </c>
      <c r="O59" s="114">
        <f t="shared" si="9"/>
        <v>826.63</v>
      </c>
      <c r="P59" s="114">
        <f t="shared" si="10"/>
        <v>237.04599999999999</v>
      </c>
    </row>
    <row r="60" spans="1:39" x14ac:dyDescent="0.2">
      <c r="A60" s="213"/>
      <c r="B60" s="101" t="s">
        <v>156</v>
      </c>
      <c r="C60" s="117">
        <f t="shared" si="2"/>
        <v>38.444000000000003</v>
      </c>
      <c r="D60" s="114">
        <f t="shared" si="3"/>
        <v>53.665999999999997</v>
      </c>
      <c r="E60" s="114">
        <f t="shared" si="4"/>
        <v>55.802999999999997</v>
      </c>
      <c r="F60" s="114" t="s">
        <v>153</v>
      </c>
      <c r="G60" s="114" t="s">
        <v>153</v>
      </c>
      <c r="H60" s="114">
        <f t="shared" si="5"/>
        <v>427.4</v>
      </c>
      <c r="I60" s="114">
        <f t="shared" si="6"/>
        <v>102.843</v>
      </c>
      <c r="J60" s="117">
        <f t="shared" si="11"/>
        <v>60.526000000000003</v>
      </c>
      <c r="K60" s="114">
        <f t="shared" si="7"/>
        <v>566.70000000000005</v>
      </c>
      <c r="L60" s="114">
        <f t="shared" si="8"/>
        <v>560.70000000000005</v>
      </c>
      <c r="M60" s="114" t="s">
        <v>153</v>
      </c>
      <c r="N60" s="114" t="s">
        <v>153</v>
      </c>
      <c r="O60" s="114">
        <f t="shared" si="9"/>
        <v>7450.9030000000002</v>
      </c>
      <c r="P60" s="114">
        <f t="shared" si="10"/>
        <v>2106.29</v>
      </c>
    </row>
    <row r="61" spans="1:39" x14ac:dyDescent="0.2">
      <c r="A61" s="213"/>
      <c r="B61" s="101" t="s">
        <v>119</v>
      </c>
      <c r="C61" s="117">
        <f t="shared" si="2"/>
        <v>29.341000000000001</v>
      </c>
      <c r="D61" s="114">
        <f t="shared" si="3"/>
        <v>53.457000000000001</v>
      </c>
      <c r="E61" s="114">
        <f t="shared" si="4"/>
        <v>56.3765</v>
      </c>
      <c r="F61" s="114" t="s">
        <v>153</v>
      </c>
      <c r="G61" s="114" t="s">
        <v>153</v>
      </c>
      <c r="H61" s="114">
        <f t="shared" si="5"/>
        <v>258.36599999999999</v>
      </c>
      <c r="I61" s="114">
        <f t="shared" si="6"/>
        <v>80.608999999999995</v>
      </c>
      <c r="J61" s="117">
        <f t="shared" si="11"/>
        <v>54.89</v>
      </c>
      <c r="K61" s="114">
        <f t="shared" si="7"/>
        <v>260.33</v>
      </c>
      <c r="L61" s="114">
        <f t="shared" si="8"/>
        <v>174.995</v>
      </c>
      <c r="M61" s="114" t="s">
        <v>153</v>
      </c>
      <c r="N61" s="114" t="s">
        <v>153</v>
      </c>
      <c r="O61" s="114">
        <f t="shared" si="9"/>
        <v>1373.587</v>
      </c>
      <c r="P61" s="114">
        <f t="shared" si="10"/>
        <v>463.80900000000003</v>
      </c>
      <c r="T61" t="s">
        <v>313</v>
      </c>
      <c r="V61" t="s">
        <v>314</v>
      </c>
    </row>
    <row r="62" spans="1:39" x14ac:dyDescent="0.2">
      <c r="A62" s="213"/>
      <c r="B62" s="101" t="s">
        <v>120</v>
      </c>
      <c r="C62" s="117">
        <f t="shared" si="2"/>
        <v>11.135999999999999</v>
      </c>
      <c r="D62" s="114">
        <f t="shared" si="3"/>
        <v>21.411999999999999</v>
      </c>
      <c r="E62" s="114">
        <f t="shared" si="4"/>
        <v>22.782499999999999</v>
      </c>
      <c r="F62" s="114" t="s">
        <v>153</v>
      </c>
      <c r="G62" s="114" t="s">
        <v>153</v>
      </c>
      <c r="H62" s="114">
        <f t="shared" si="5"/>
        <v>84.658000000000001</v>
      </c>
      <c r="I62" s="114">
        <f t="shared" si="6"/>
        <v>29.675999999999998</v>
      </c>
      <c r="J62" s="117">
        <f t="shared" si="11"/>
        <v>23.056999999999999</v>
      </c>
      <c r="K62" s="114">
        <f t="shared" si="7"/>
        <v>91.965999999999994</v>
      </c>
      <c r="L62" s="114">
        <f t="shared" si="8"/>
        <v>73.369</v>
      </c>
      <c r="M62" s="114" t="s">
        <v>153</v>
      </c>
      <c r="N62" s="114" t="s">
        <v>153</v>
      </c>
      <c r="O62" s="114">
        <f t="shared" si="9"/>
        <v>1586.92445</v>
      </c>
      <c r="P62" s="114">
        <f t="shared" si="10"/>
        <v>361.72082</v>
      </c>
      <c r="T62" t="s">
        <v>316</v>
      </c>
      <c r="U62" t="s">
        <v>315</v>
      </c>
      <c r="V62" t="s">
        <v>317</v>
      </c>
      <c r="W62" t="s">
        <v>315</v>
      </c>
    </row>
    <row r="63" spans="1:39" x14ac:dyDescent="0.2">
      <c r="A63" s="213"/>
      <c r="B63" s="101" t="s">
        <v>121</v>
      </c>
      <c r="C63" s="117">
        <f t="shared" si="2"/>
        <v>38.180999999999997</v>
      </c>
      <c r="D63" s="114">
        <f t="shared" si="3"/>
        <v>69.069999999999993</v>
      </c>
      <c r="E63" s="114">
        <f t="shared" si="4"/>
        <v>77.540500000000009</v>
      </c>
      <c r="F63" s="114" t="s">
        <v>153</v>
      </c>
      <c r="G63" s="114" t="s">
        <v>153</v>
      </c>
      <c r="H63" s="114">
        <f t="shared" si="5"/>
        <v>284.53100000000001</v>
      </c>
      <c r="I63" s="114">
        <f t="shared" si="6"/>
        <v>98.882000000000005</v>
      </c>
      <c r="J63" s="117">
        <f t="shared" si="11"/>
        <v>71.13</v>
      </c>
      <c r="K63" s="114">
        <f t="shared" si="7"/>
        <v>316.95800000000003</v>
      </c>
      <c r="L63" s="114">
        <f t="shared" si="8"/>
        <v>197.495</v>
      </c>
      <c r="M63" s="114" t="s">
        <v>153</v>
      </c>
      <c r="N63" s="114" t="s">
        <v>153</v>
      </c>
      <c r="O63" s="114">
        <f t="shared" si="9"/>
        <v>1932.38</v>
      </c>
      <c r="P63" s="114">
        <f t="shared" si="10"/>
        <v>344.01600000000002</v>
      </c>
      <c r="R63" s="238" t="s">
        <v>318</v>
      </c>
      <c r="S63" t="s">
        <v>271</v>
      </c>
      <c r="T63" s="87">
        <f>H66</f>
        <v>5.7004855330384316</v>
      </c>
      <c r="U63" s="87">
        <f>I66</f>
        <v>2.6004717491992952</v>
      </c>
      <c r="V63" s="87">
        <f>O66</f>
        <v>62.547436076140784</v>
      </c>
      <c r="W63" s="87">
        <f>P66</f>
        <v>15.835238211838549</v>
      </c>
    </row>
    <row r="64" spans="1:39" x14ac:dyDescent="0.2">
      <c r="A64" s="213"/>
      <c r="B64" s="101" t="s">
        <v>122</v>
      </c>
      <c r="C64" s="117">
        <f t="shared" si="2"/>
        <v>31.297999999999998</v>
      </c>
      <c r="D64" s="114">
        <f t="shared" si="3"/>
        <v>63.173999999999999</v>
      </c>
      <c r="E64" s="114">
        <f t="shared" si="4"/>
        <v>69.081999999999994</v>
      </c>
      <c r="F64" s="114" t="s">
        <v>153</v>
      </c>
      <c r="G64" s="114" t="s">
        <v>153</v>
      </c>
      <c r="H64" s="114">
        <f t="shared" si="5"/>
        <v>265.66199999999998</v>
      </c>
      <c r="I64" s="114">
        <f t="shared" si="6"/>
        <v>94.488</v>
      </c>
      <c r="J64" s="117">
        <f t="shared" si="11"/>
        <v>64.617999999999995</v>
      </c>
      <c r="K64" s="114">
        <f t="shared" si="7"/>
        <v>85.929000000000002</v>
      </c>
      <c r="L64" s="114">
        <f t="shared" si="8"/>
        <v>80.177999999999997</v>
      </c>
      <c r="M64" s="114" t="s">
        <v>153</v>
      </c>
      <c r="N64" s="114" t="s">
        <v>153</v>
      </c>
      <c r="O64" s="114">
        <f t="shared" si="9"/>
        <v>1816.4013500000001</v>
      </c>
      <c r="P64" s="114">
        <f t="shared" si="10"/>
        <v>484.23840999999999</v>
      </c>
      <c r="R64" s="238"/>
      <c r="S64" t="s">
        <v>305</v>
      </c>
      <c r="T64" s="87">
        <f>H83</f>
        <v>16.217694720521266</v>
      </c>
      <c r="U64" s="87">
        <f>I83</f>
        <v>8.7470148804949286</v>
      </c>
      <c r="V64" s="87">
        <f>O83</f>
        <v>371.24784525334616</v>
      </c>
      <c r="W64" s="87">
        <f>P83</f>
        <v>97.230929064848638</v>
      </c>
    </row>
    <row r="65" spans="1:22" x14ac:dyDescent="0.2">
      <c r="A65" s="158"/>
      <c r="B65" s="101" t="s">
        <v>66</v>
      </c>
      <c r="C65" s="117">
        <f>GEOMEAN(C56:C64)</f>
        <v>36.669910164318871</v>
      </c>
      <c r="D65" s="117">
        <f>GEOMEAN(D56:D64)</f>
        <v>65.336894655578377</v>
      </c>
      <c r="E65" s="117">
        <f>GEOMEAN(E56:E64)</f>
        <v>70.402390225376735</v>
      </c>
      <c r="F65" s="114" t="s">
        <v>153</v>
      </c>
      <c r="G65" s="114" t="s">
        <v>153</v>
      </c>
      <c r="H65" s="117">
        <f>GEOMEAN(H56:H64)</f>
        <v>209.03629238951865</v>
      </c>
      <c r="I65" s="117">
        <f>GEOMEAN(I56:I64)</f>
        <v>95.359065427987304</v>
      </c>
      <c r="J65" s="117">
        <f>GEOMEAN(J56:J64)</f>
        <v>66.086180480459262</v>
      </c>
      <c r="K65" s="117">
        <f>GEOMEAN(K56:K64)</f>
        <v>196.82037506493862</v>
      </c>
      <c r="L65" s="117">
        <f>GEOMEAN(L56:L64)</f>
        <v>163.80437429128131</v>
      </c>
      <c r="M65" s="114" t="s">
        <v>153</v>
      </c>
      <c r="N65" s="114" t="s">
        <v>153</v>
      </c>
      <c r="O65" s="117">
        <f>GEOMEAN(O56:O64)</f>
        <v>2293.6088619205598</v>
      </c>
      <c r="P65" s="117">
        <f>GEOMEAN(P56:P64)</f>
        <v>580.67676265870898</v>
      </c>
    </row>
    <row r="66" spans="1:22" x14ac:dyDescent="0.2">
      <c r="A66" s="158"/>
      <c r="B66" s="163" t="s">
        <v>281</v>
      </c>
      <c r="C66" s="113"/>
      <c r="D66" s="113">
        <f>D65/$C$65</f>
        <v>1.7817576962365591</v>
      </c>
      <c r="E66" s="113">
        <f>E65/$C$65</f>
        <v>1.9198953558899299</v>
      </c>
      <c r="F66" s="113"/>
      <c r="G66" s="113"/>
      <c r="H66" s="113">
        <f>H65/$C$65</f>
        <v>5.7004855330384316</v>
      </c>
      <c r="I66" s="113">
        <f>I65/$C$65</f>
        <v>2.6004717491992952</v>
      </c>
      <c r="J66" s="113"/>
      <c r="K66" s="113">
        <f>K65/$C$65</f>
        <v>5.3673536199838265</v>
      </c>
      <c r="L66" s="113">
        <f>L65/$C$65</f>
        <v>4.4669968799287867</v>
      </c>
      <c r="M66" s="113"/>
      <c r="N66" s="113"/>
      <c r="O66" s="113">
        <f>O65/$C$65</f>
        <v>62.547436076140784</v>
      </c>
      <c r="P66" s="113">
        <f>P65/$C$65</f>
        <v>15.835238211838549</v>
      </c>
    </row>
    <row r="67" spans="1:22" ht="17" thickBot="1" x14ac:dyDescent="0.25">
      <c r="A67" s="158"/>
      <c r="B67" s="164" t="s">
        <v>282</v>
      </c>
      <c r="C67" s="150"/>
      <c r="D67" s="150"/>
      <c r="E67" s="150">
        <f>D66/E66</f>
        <v>0.92804938080110111</v>
      </c>
      <c r="F67" s="150"/>
      <c r="G67" s="150"/>
      <c r="H67" s="150"/>
      <c r="I67" s="150">
        <f>H66/I66</f>
        <v>2.1920966973756411</v>
      </c>
      <c r="J67" s="150"/>
      <c r="K67" s="150"/>
      <c r="L67" s="150">
        <f>K66/L66</f>
        <v>1.2015575036778161</v>
      </c>
      <c r="M67" s="150"/>
      <c r="N67" s="150"/>
      <c r="O67" s="150"/>
      <c r="P67" s="150">
        <f>O66/P66</f>
        <v>3.9498891800301323</v>
      </c>
      <c r="T67" t="s">
        <v>319</v>
      </c>
      <c r="U67" t="s">
        <v>320</v>
      </c>
      <c r="V67" t="s">
        <v>320</v>
      </c>
    </row>
    <row r="68" spans="1:22" ht="17" thickTop="1" x14ac:dyDescent="0.2">
      <c r="A68" s="118"/>
      <c r="B68" s="103"/>
      <c r="C68" s="86" t="s">
        <v>86</v>
      </c>
      <c r="D68" s="86" t="s">
        <v>233</v>
      </c>
      <c r="E68" s="86" t="s">
        <v>234</v>
      </c>
      <c r="F68" s="89" t="s">
        <v>263</v>
      </c>
      <c r="G68" s="89" t="s">
        <v>262</v>
      </c>
      <c r="H68" s="89" t="s">
        <v>237</v>
      </c>
      <c r="I68" s="89" t="s">
        <v>238</v>
      </c>
      <c r="J68" s="178" t="s">
        <v>285</v>
      </c>
      <c r="K68" s="184" t="s">
        <v>306</v>
      </c>
      <c r="L68" s="178" t="s">
        <v>234</v>
      </c>
      <c r="M68" s="179" t="s">
        <v>261</v>
      </c>
      <c r="N68" s="179" t="s">
        <v>262</v>
      </c>
      <c r="O68" s="90" t="s">
        <v>241</v>
      </c>
      <c r="P68" s="179" t="s">
        <v>238</v>
      </c>
      <c r="R68" s="238"/>
      <c r="S68" t="s">
        <v>271</v>
      </c>
      <c r="T68" s="87">
        <f>I67</f>
        <v>2.1920966973756411</v>
      </c>
      <c r="U68" s="87">
        <f>P67</f>
        <v>3.9498891800301323</v>
      </c>
      <c r="V68" s="87"/>
    </row>
    <row r="69" spans="1:22" ht="17" customHeight="1" x14ac:dyDescent="0.2">
      <c r="A69" s="211" t="s">
        <v>272</v>
      </c>
      <c r="B69" s="128" t="s">
        <v>286</v>
      </c>
      <c r="C69" s="148">
        <f t="shared" ref="C69:C81" si="12">AVERAGE(C13:G13)</f>
        <v>35.679999999999993</v>
      </c>
      <c r="D69" s="107">
        <f t="shared" ref="D69:D81" si="13">AVERAGE(H13:L13)</f>
        <v>55.724999999999994</v>
      </c>
      <c r="E69" s="107">
        <f t="shared" ref="E69:E81" si="14">AVERAGE(M13:Q13)</f>
        <v>76.036581508568261</v>
      </c>
      <c r="F69" s="107">
        <f t="shared" ref="F69:F81" si="15">AVERAGE(R13:V13)</f>
        <v>59.650000000000006</v>
      </c>
      <c r="G69" s="107">
        <f t="shared" ref="G69:G81" si="16">AVERAGE(W13:AA13)</f>
        <v>64.825000000000003</v>
      </c>
      <c r="H69" s="107">
        <f t="shared" ref="H69:H81" si="17">AVERAGE(AB13:AF13)</f>
        <v>13896.5</v>
      </c>
      <c r="I69" s="107">
        <f t="shared" ref="I69:I81" si="18">AVERAGE(AG13:AK13)</f>
        <v>4476</v>
      </c>
      <c r="J69" s="180">
        <f t="shared" ref="J69:J81" si="19">AVERAGE(C40:G40)</f>
        <v>39.5</v>
      </c>
      <c r="K69" s="185">
        <f t="shared" ref="K69:K81" si="20">AVERAGE(H40:L40)</f>
        <v>500.2</v>
      </c>
      <c r="L69" s="181">
        <f t="shared" ref="L69:L81" si="21">AVERAGE(M40:Q40)</f>
        <v>419.7</v>
      </c>
      <c r="M69" s="181" t="e">
        <f t="shared" ref="M69:M81" si="22">AVERAGE(R40:V40)</f>
        <v>#DIV/0!</v>
      </c>
      <c r="N69" s="181" t="e">
        <f t="shared" ref="N69:N81" si="23">AVERAGE(W40:AA40)</f>
        <v>#DIV/0!</v>
      </c>
      <c r="O69" s="185">
        <f t="shared" ref="O69:O81" si="24">AVERAGE(AB40:AF40)</f>
        <v>20051.338930997488</v>
      </c>
      <c r="P69" s="181">
        <f t="shared" ref="P69:P81" si="25">AVERAGE(AG40:AK40)</f>
        <v>7890</v>
      </c>
      <c r="R69" s="238"/>
      <c r="S69" t="s">
        <v>305</v>
      </c>
      <c r="T69" s="87">
        <f>I84</f>
        <v>1.8540833578190536</v>
      </c>
      <c r="U69" s="87">
        <f>P84</f>
        <v>3.8182073217231172</v>
      </c>
      <c r="V69" s="87"/>
    </row>
    <row r="70" spans="1:22" ht="16" customHeight="1" x14ac:dyDescent="0.2">
      <c r="A70" s="211"/>
      <c r="B70" s="100" t="s">
        <v>287</v>
      </c>
      <c r="C70" s="117">
        <f t="shared" si="12"/>
        <v>0.3</v>
      </c>
      <c r="D70" s="98">
        <f t="shared" si="13"/>
        <v>0.3</v>
      </c>
      <c r="E70" s="98">
        <f t="shared" si="14"/>
        <v>0.32499999999999996</v>
      </c>
      <c r="F70" s="98">
        <f t="shared" si="15"/>
        <v>0.3</v>
      </c>
      <c r="G70" s="98">
        <f t="shared" si="16"/>
        <v>0.32500000000000001</v>
      </c>
      <c r="H70" s="98">
        <f t="shared" si="17"/>
        <v>0.82499999999999996</v>
      </c>
      <c r="I70" s="98">
        <f t="shared" si="18"/>
        <v>0.4</v>
      </c>
      <c r="J70" s="182">
        <f t="shared" si="19"/>
        <v>0.3</v>
      </c>
      <c r="K70" s="186">
        <f t="shared" si="20"/>
        <v>0.9</v>
      </c>
      <c r="L70" s="183">
        <f t="shared" si="21"/>
        <v>0.7</v>
      </c>
      <c r="M70" s="183" t="e">
        <f t="shared" si="22"/>
        <v>#DIV/0!</v>
      </c>
      <c r="N70" s="183" t="e">
        <f t="shared" si="23"/>
        <v>#DIV/0!</v>
      </c>
      <c r="O70" s="186">
        <f t="shared" si="24"/>
        <v>141.83686840709106</v>
      </c>
      <c r="P70" s="183">
        <f t="shared" si="25"/>
        <v>23.8</v>
      </c>
    </row>
    <row r="71" spans="1:22" x14ac:dyDescent="0.2">
      <c r="A71" s="211"/>
      <c r="B71" s="100" t="s">
        <v>288</v>
      </c>
      <c r="C71" s="117">
        <f t="shared" si="12"/>
        <v>56.679999999999993</v>
      </c>
      <c r="D71" s="98">
        <f t="shared" si="13"/>
        <v>60.25</v>
      </c>
      <c r="E71" s="98">
        <f t="shared" si="14"/>
        <v>131.40098879695597</v>
      </c>
      <c r="F71" s="98">
        <f t="shared" si="15"/>
        <v>60.375</v>
      </c>
      <c r="G71" s="98">
        <f t="shared" si="16"/>
        <v>66.525000000000006</v>
      </c>
      <c r="H71" s="98">
        <f t="shared" si="17"/>
        <v>385.92500000000001</v>
      </c>
      <c r="I71" s="98">
        <f t="shared" si="18"/>
        <v>229</v>
      </c>
      <c r="J71" s="182">
        <f t="shared" si="19"/>
        <v>87.3</v>
      </c>
      <c r="K71" s="186">
        <f t="shared" si="20"/>
        <v>532</v>
      </c>
      <c r="L71" s="183">
        <f t="shared" si="21"/>
        <v>352.8</v>
      </c>
      <c r="M71" s="183" t="e">
        <f t="shared" si="22"/>
        <v>#DIV/0!</v>
      </c>
      <c r="N71" s="183" t="e">
        <f t="shared" si="23"/>
        <v>#DIV/0!</v>
      </c>
      <c r="O71" s="186">
        <f t="shared" si="24"/>
        <v>17317.663193485801</v>
      </c>
      <c r="P71" s="183">
        <f t="shared" si="25"/>
        <v>4471</v>
      </c>
    </row>
    <row r="72" spans="1:22" x14ac:dyDescent="0.2">
      <c r="A72" s="211"/>
      <c r="B72" s="105" t="s">
        <v>289</v>
      </c>
      <c r="C72" s="117">
        <f t="shared" si="12"/>
        <v>28.1</v>
      </c>
      <c r="D72" s="98">
        <f t="shared" si="13"/>
        <v>29</v>
      </c>
      <c r="E72" s="98">
        <f t="shared" si="14"/>
        <v>40.433037811966315</v>
      </c>
      <c r="F72" s="98">
        <f t="shared" si="15"/>
        <v>30.524999999999999</v>
      </c>
      <c r="G72" s="98">
        <f t="shared" si="16"/>
        <v>29.9</v>
      </c>
      <c r="H72" s="98">
        <f t="shared" si="17"/>
        <v>294.52499999999998</v>
      </c>
      <c r="I72" s="98">
        <f t="shared" si="18"/>
        <v>121.5</v>
      </c>
      <c r="J72" s="182">
        <f t="shared" si="19"/>
        <v>28.8</v>
      </c>
      <c r="K72" s="186">
        <f t="shared" si="20"/>
        <v>70.3</v>
      </c>
      <c r="L72" s="183">
        <f t="shared" si="21"/>
        <v>57.7</v>
      </c>
      <c r="M72" s="183" t="e">
        <f t="shared" si="22"/>
        <v>#DIV/0!</v>
      </c>
      <c r="N72" s="183" t="e">
        <f t="shared" si="23"/>
        <v>#DIV/0!</v>
      </c>
      <c r="O72" s="186">
        <f t="shared" si="24"/>
        <v>21766.828887055228</v>
      </c>
      <c r="P72" s="183">
        <f t="shared" si="25"/>
        <v>7286</v>
      </c>
    </row>
    <row r="73" spans="1:22" x14ac:dyDescent="0.2">
      <c r="A73" s="211"/>
      <c r="B73" s="105" t="s">
        <v>290</v>
      </c>
      <c r="C73" s="117">
        <f t="shared" si="12"/>
        <v>29.880000000000003</v>
      </c>
      <c r="D73" s="98">
        <f t="shared" si="13"/>
        <v>36.75</v>
      </c>
      <c r="E73" s="98">
        <f t="shared" si="14"/>
        <v>36.583055910395757</v>
      </c>
      <c r="F73" s="98">
        <f t="shared" si="15"/>
        <v>37.549999999999997</v>
      </c>
      <c r="G73" s="98">
        <f t="shared" si="16"/>
        <v>36.549999999999997</v>
      </c>
      <c r="H73" s="98">
        <f t="shared" si="17"/>
        <v>945.07499999999993</v>
      </c>
      <c r="I73" s="98">
        <f t="shared" si="18"/>
        <v>593.4</v>
      </c>
      <c r="J73" s="182">
        <f t="shared" si="19"/>
        <v>31.4</v>
      </c>
      <c r="K73" s="186">
        <f t="shared" si="20"/>
        <v>185.1</v>
      </c>
      <c r="L73" s="183">
        <f t="shared" si="21"/>
        <v>158.30000000000001</v>
      </c>
      <c r="M73" s="183" t="e">
        <f t="shared" si="22"/>
        <v>#DIV/0!</v>
      </c>
      <c r="N73" s="183" t="e">
        <f t="shared" si="23"/>
        <v>#DIV/0!</v>
      </c>
      <c r="O73" s="186">
        <f t="shared" si="24"/>
        <v>9544.6549063615203</v>
      </c>
      <c r="P73" s="183">
        <f t="shared" si="25"/>
        <v>2993.8</v>
      </c>
    </row>
    <row r="74" spans="1:22" x14ac:dyDescent="0.2">
      <c r="A74" s="211"/>
      <c r="B74" s="105" t="s">
        <v>291</v>
      </c>
      <c r="C74" s="117">
        <f t="shared" si="12"/>
        <v>40.660000000000004</v>
      </c>
      <c r="D74" s="98">
        <f t="shared" si="13"/>
        <v>51.375</v>
      </c>
      <c r="E74" s="98">
        <f t="shared" si="14"/>
        <v>49.348221616070603</v>
      </c>
      <c r="F74" s="98">
        <f t="shared" si="15"/>
        <v>53.024999999999999</v>
      </c>
      <c r="G74" s="98">
        <f t="shared" si="16"/>
        <v>49.475000000000001</v>
      </c>
      <c r="H74" s="98">
        <f t="shared" si="17"/>
        <v>1021.075</v>
      </c>
      <c r="I74" s="98">
        <f t="shared" si="18"/>
        <v>548</v>
      </c>
      <c r="J74" s="182">
        <f t="shared" si="19"/>
        <v>41.3</v>
      </c>
      <c r="K74" s="186">
        <f t="shared" si="20"/>
        <v>211.5</v>
      </c>
      <c r="L74" s="183">
        <f t="shared" si="21"/>
        <v>189.6</v>
      </c>
      <c r="M74" s="183" t="e">
        <f t="shared" si="22"/>
        <v>#DIV/0!</v>
      </c>
      <c r="N74" s="183" t="e">
        <f t="shared" si="23"/>
        <v>#DIV/0!</v>
      </c>
      <c r="O74" s="186">
        <f t="shared" si="24"/>
        <v>17508.044841976407</v>
      </c>
      <c r="P74" s="183">
        <f t="shared" si="25"/>
        <v>3651</v>
      </c>
      <c r="R74" s="34">
        <f>GEOMEAN(H70:H81)</f>
        <v>278.82582306184219</v>
      </c>
      <c r="S74" s="34">
        <f>GEOMEAN(I70:I81)</f>
        <v>156.98599573893128</v>
      </c>
    </row>
    <row r="75" spans="1:22" x14ac:dyDescent="0.2">
      <c r="A75" s="211"/>
      <c r="B75" s="175" t="s">
        <v>292</v>
      </c>
      <c r="C75" s="176">
        <f t="shared" si="12"/>
        <v>35.559999999999995</v>
      </c>
      <c r="D75" s="103">
        <f t="shared" si="13"/>
        <v>37.700000000000003</v>
      </c>
      <c r="E75" s="103">
        <f t="shared" si="14"/>
        <v>39.701800495226941</v>
      </c>
      <c r="F75" s="103">
        <f t="shared" si="15"/>
        <v>39.299999999999997</v>
      </c>
      <c r="G75" s="103">
        <f t="shared" si="16"/>
        <v>38.725000000000009</v>
      </c>
      <c r="H75" s="103">
        <f t="shared" si="17"/>
        <v>37.924999999999997</v>
      </c>
      <c r="I75" s="103">
        <f t="shared" si="18"/>
        <v>39.4</v>
      </c>
      <c r="J75" s="182">
        <f t="shared" si="19"/>
        <v>34.9</v>
      </c>
      <c r="K75" s="186">
        <f t="shared" si="20"/>
        <v>37.799999999999997</v>
      </c>
      <c r="L75" s="183">
        <f t="shared" si="21"/>
        <v>36.1</v>
      </c>
      <c r="M75" s="183" t="e">
        <f t="shared" si="22"/>
        <v>#DIV/0!</v>
      </c>
      <c r="N75" s="183" t="e">
        <f t="shared" si="23"/>
        <v>#DIV/0!</v>
      </c>
      <c r="O75" s="186">
        <f t="shared" si="24"/>
        <v>5133.6231037997013</v>
      </c>
      <c r="P75" s="183">
        <f t="shared" si="25"/>
        <v>1819.9</v>
      </c>
      <c r="R75" s="34"/>
      <c r="S75" s="34">
        <f>R74/S74</f>
        <v>1.7761190846954993</v>
      </c>
    </row>
    <row r="76" spans="1:22" x14ac:dyDescent="0.2">
      <c r="A76" s="211"/>
      <c r="B76" s="175" t="s">
        <v>293</v>
      </c>
      <c r="C76" s="176">
        <f t="shared" si="12"/>
        <v>57.2</v>
      </c>
      <c r="D76" s="103">
        <f t="shared" si="13"/>
        <v>58.05</v>
      </c>
      <c r="E76" s="103">
        <f t="shared" si="14"/>
        <v>57.85</v>
      </c>
      <c r="F76" s="103">
        <f t="shared" si="15"/>
        <v>58.524999999999999</v>
      </c>
      <c r="G76" s="103">
        <f t="shared" si="16"/>
        <v>57.774999999999999</v>
      </c>
      <c r="H76" s="103">
        <f t="shared" si="17"/>
        <v>65.650000000000006</v>
      </c>
      <c r="I76" s="103">
        <f t="shared" si="18"/>
        <v>60.8</v>
      </c>
      <c r="J76" s="182">
        <f t="shared" si="19"/>
        <v>56.1</v>
      </c>
      <c r="K76" s="186">
        <f t="shared" si="20"/>
        <v>57.2</v>
      </c>
      <c r="L76" s="183">
        <f t="shared" si="21"/>
        <v>57.4</v>
      </c>
      <c r="M76" s="183" t="e">
        <f t="shared" si="22"/>
        <v>#DIV/0!</v>
      </c>
      <c r="N76" s="183" t="e">
        <f t="shared" si="23"/>
        <v>#DIV/0!</v>
      </c>
      <c r="O76" s="186">
        <f t="shared" si="24"/>
        <v>8257.003443941454</v>
      </c>
      <c r="P76" s="183">
        <f t="shared" si="25"/>
        <v>2623.8</v>
      </c>
    </row>
    <row r="77" spans="1:22" x14ac:dyDescent="0.2">
      <c r="A77" s="211"/>
      <c r="B77" s="175" t="s">
        <v>294</v>
      </c>
      <c r="C77" s="176">
        <f t="shared" si="12"/>
        <v>19.399999999999999</v>
      </c>
      <c r="D77" s="103">
        <f t="shared" si="13"/>
        <v>32.4</v>
      </c>
      <c r="E77" s="103">
        <f t="shared" si="14"/>
        <v>44.528464376639391</v>
      </c>
      <c r="F77" s="103">
        <f t="shared" si="15"/>
        <v>32.549999999999997</v>
      </c>
      <c r="G77" s="103">
        <f t="shared" si="16"/>
        <v>37.875</v>
      </c>
      <c r="H77" s="103">
        <f t="shared" si="17"/>
        <v>10079.75</v>
      </c>
      <c r="I77" s="103">
        <f t="shared" si="18"/>
        <v>3043.4</v>
      </c>
      <c r="J77" s="182">
        <f t="shared" si="19"/>
        <v>21.7</v>
      </c>
      <c r="K77" s="186">
        <f t="shared" si="20"/>
        <v>254.5</v>
      </c>
      <c r="L77" s="183">
        <f t="shared" si="21"/>
        <v>198.9</v>
      </c>
      <c r="M77" s="183" t="e">
        <f t="shared" si="22"/>
        <v>#DIV/0!</v>
      </c>
      <c r="N77" s="183" t="e">
        <f t="shared" si="23"/>
        <v>#DIV/0!</v>
      </c>
      <c r="O77" s="186">
        <f t="shared" si="24"/>
        <v>16222.974578117368</v>
      </c>
      <c r="P77" s="183">
        <f t="shared" si="25"/>
        <v>3536.3</v>
      </c>
    </row>
    <row r="78" spans="1:22" x14ac:dyDescent="0.2">
      <c r="A78" s="211"/>
      <c r="B78" s="175" t="s">
        <v>295</v>
      </c>
      <c r="C78" s="176">
        <f t="shared" si="12"/>
        <v>10.6</v>
      </c>
      <c r="D78" s="103">
        <f t="shared" si="13"/>
        <v>10.975000000000001</v>
      </c>
      <c r="E78" s="103">
        <f t="shared" si="14"/>
        <v>13.649999378589509</v>
      </c>
      <c r="F78" s="103">
        <f t="shared" si="15"/>
        <v>10.975</v>
      </c>
      <c r="G78" s="103">
        <f t="shared" si="16"/>
        <v>11.425000000000001</v>
      </c>
      <c r="H78" s="103">
        <f t="shared" si="17"/>
        <v>248.32499999999999</v>
      </c>
      <c r="I78" s="103">
        <f t="shared" si="18"/>
        <v>119.5</v>
      </c>
      <c r="J78" s="182">
        <f t="shared" si="19"/>
        <v>9.9</v>
      </c>
      <c r="K78" s="186">
        <f t="shared" si="20"/>
        <v>56</v>
      </c>
      <c r="L78" s="183">
        <f t="shared" si="21"/>
        <v>40.4</v>
      </c>
      <c r="M78" s="183" t="e">
        <f t="shared" si="22"/>
        <v>#DIV/0!</v>
      </c>
      <c r="N78" s="183" t="e">
        <f t="shared" si="23"/>
        <v>#DIV/0!</v>
      </c>
      <c r="O78" s="186">
        <f t="shared" si="24"/>
        <v>1900.1598858443119</v>
      </c>
      <c r="P78" s="183">
        <f t="shared" si="25"/>
        <v>437.5</v>
      </c>
    </row>
    <row r="79" spans="1:22" x14ac:dyDescent="0.2">
      <c r="A79" s="211"/>
      <c r="B79" s="175" t="s">
        <v>296</v>
      </c>
      <c r="C79" s="176">
        <f t="shared" si="12"/>
        <v>59.279999999999994</v>
      </c>
      <c r="D79" s="103">
        <f t="shared" si="13"/>
        <v>68.325000000000003</v>
      </c>
      <c r="E79" s="103">
        <f t="shared" si="14"/>
        <v>96.721900965009212</v>
      </c>
      <c r="F79" s="177">
        <f t="shared" si="15"/>
        <v>72.275000000000006</v>
      </c>
      <c r="G79" s="177">
        <f t="shared" si="16"/>
        <v>62.550000000000004</v>
      </c>
      <c r="H79" s="103">
        <f t="shared" si="17"/>
        <v>4531</v>
      </c>
      <c r="I79" s="103">
        <f t="shared" si="18"/>
        <v>3181.7</v>
      </c>
      <c r="J79" s="182">
        <f t="shared" si="19"/>
        <v>71.3</v>
      </c>
      <c r="K79" s="186">
        <f t="shared" si="20"/>
        <v>842.1</v>
      </c>
      <c r="L79" s="183">
        <f t="shared" si="21"/>
        <v>839.7</v>
      </c>
      <c r="M79" s="183" t="e">
        <f t="shared" si="22"/>
        <v>#DIV/0!</v>
      </c>
      <c r="N79" s="183" t="e">
        <f t="shared" si="23"/>
        <v>#DIV/0!</v>
      </c>
      <c r="O79" s="186">
        <f t="shared" si="24"/>
        <v>14551.805383269084</v>
      </c>
      <c r="P79" s="183">
        <f t="shared" si="25"/>
        <v>5602</v>
      </c>
    </row>
    <row r="80" spans="1:22" x14ac:dyDescent="0.2">
      <c r="A80" s="211"/>
      <c r="B80" s="175" t="s">
        <v>297</v>
      </c>
      <c r="C80" s="176">
        <f t="shared" si="12"/>
        <v>17.8</v>
      </c>
      <c r="D80" s="103">
        <f t="shared" si="13"/>
        <v>20.475000000000001</v>
      </c>
      <c r="E80" s="103">
        <f t="shared" si="14"/>
        <v>25.283752773442885</v>
      </c>
      <c r="F80" s="177">
        <f t="shared" si="15"/>
        <v>21.225000000000001</v>
      </c>
      <c r="G80" s="177">
        <f t="shared" si="16"/>
        <v>22.049999999999997</v>
      </c>
      <c r="H80" s="103">
        <f t="shared" si="17"/>
        <v>385.5333333333333</v>
      </c>
      <c r="I80" s="103">
        <f t="shared" si="18"/>
        <v>174</v>
      </c>
      <c r="J80" s="182">
        <f t="shared" si="19"/>
        <v>18.8</v>
      </c>
      <c r="K80" s="186">
        <f t="shared" si="20"/>
        <v>84.8</v>
      </c>
      <c r="L80" s="183">
        <f t="shared" si="21"/>
        <v>73</v>
      </c>
      <c r="M80" s="183" t="e">
        <f t="shared" si="22"/>
        <v>#DIV/0!</v>
      </c>
      <c r="N80" s="183" t="e">
        <f t="shared" si="23"/>
        <v>#DIV/0!</v>
      </c>
      <c r="O80" s="186">
        <f t="shared" si="24"/>
        <v>8749.8873159427367</v>
      </c>
      <c r="P80" s="183">
        <f t="shared" si="25"/>
        <v>2152.6</v>
      </c>
    </row>
    <row r="81" spans="1:22" x14ac:dyDescent="0.2">
      <c r="A81" s="211"/>
      <c r="B81" s="105" t="s">
        <v>298</v>
      </c>
      <c r="C81" s="117">
        <f t="shared" si="12"/>
        <v>62.519999999999996</v>
      </c>
      <c r="D81" s="98">
        <f t="shared" si="13"/>
        <v>70.125</v>
      </c>
      <c r="E81" s="98">
        <f t="shared" si="14"/>
        <v>82.093494149464988</v>
      </c>
      <c r="F81" s="172">
        <f t="shared" si="15"/>
        <v>72.55</v>
      </c>
      <c r="G81" s="172">
        <f t="shared" si="16"/>
        <v>73.224999999999994</v>
      </c>
      <c r="H81" s="98">
        <f t="shared" si="17"/>
        <v>224.13333333333333</v>
      </c>
      <c r="I81" s="98">
        <f t="shared" si="18"/>
        <v>128.35000000000002</v>
      </c>
      <c r="J81" s="182">
        <f t="shared" si="19"/>
        <v>72.2</v>
      </c>
      <c r="K81" s="186">
        <f t="shared" si="20"/>
        <v>82.5</v>
      </c>
      <c r="L81" s="183">
        <f t="shared" si="21"/>
        <v>78.7</v>
      </c>
      <c r="M81" s="183" t="e">
        <f t="shared" si="22"/>
        <v>#DIV/0!</v>
      </c>
      <c r="N81" s="183" t="e">
        <f t="shared" si="23"/>
        <v>#DIV/0!</v>
      </c>
      <c r="O81" s="186">
        <f t="shared" si="24"/>
        <v>113481.69667516707</v>
      </c>
      <c r="P81" s="183">
        <f t="shared" si="25"/>
        <v>23273</v>
      </c>
    </row>
    <row r="82" spans="1:22" x14ac:dyDescent="0.2">
      <c r="A82" s="211"/>
      <c r="B82" s="103" t="s">
        <v>66</v>
      </c>
      <c r="C82" s="98">
        <f>GEOMEAN(C69:C81)</f>
        <v>23.22343018950146</v>
      </c>
      <c r="D82" s="98">
        <f t="shared" ref="D82:I82" si="26">GEOMEAN(D69:D81)</f>
        <v>27.079388542501079</v>
      </c>
      <c r="E82" s="98">
        <f t="shared" si="26"/>
        <v>33.480833839521722</v>
      </c>
      <c r="F82" s="98">
        <f t="shared" si="26"/>
        <v>27.829143132104864</v>
      </c>
      <c r="G82" s="98">
        <f t="shared" si="26"/>
        <v>28.282797141138214</v>
      </c>
      <c r="H82" s="98">
        <f t="shared" si="26"/>
        <v>376.630501176672</v>
      </c>
      <c r="I82" s="98">
        <f t="shared" si="26"/>
        <v>203.13568944370442</v>
      </c>
      <c r="J82" s="183">
        <f t="shared" ref="J82:P82" si="27">GEOMEAN(J70:J81)</f>
        <v>24.173504913238883</v>
      </c>
      <c r="K82" s="186">
        <f t="shared" si="27"/>
        <v>88.763335587324903</v>
      </c>
      <c r="L82" s="183">
        <f t="shared" si="27"/>
        <v>75.508913657302685</v>
      </c>
      <c r="M82" s="183" t="e">
        <f t="shared" si="27"/>
        <v>#DIV/0!</v>
      </c>
      <c r="N82" s="183" t="e">
        <f t="shared" si="27"/>
        <v>#DIV/0!</v>
      </c>
      <c r="O82" s="186">
        <f t="shared" si="27"/>
        <v>8621.648417243925</v>
      </c>
      <c r="P82" s="183">
        <f t="shared" si="27"/>
        <v>2258.035693397881</v>
      </c>
    </row>
    <row r="83" spans="1:22" x14ac:dyDescent="0.2">
      <c r="A83" s="211"/>
      <c r="B83" s="163" t="s">
        <v>281</v>
      </c>
      <c r="C83" s="163"/>
      <c r="D83" s="163">
        <f t="shared" ref="D83:I83" si="28">D82/$C$82</f>
        <v>1.1660374165889915</v>
      </c>
      <c r="E83" s="163">
        <f t="shared" si="28"/>
        <v>1.441683401905774</v>
      </c>
      <c r="F83" s="173">
        <f t="shared" si="28"/>
        <v>1.1983218200335235</v>
      </c>
      <c r="G83" s="173">
        <f t="shared" si="28"/>
        <v>1.2178561440042532</v>
      </c>
      <c r="H83" s="163">
        <f t="shared" si="28"/>
        <v>16.217694720521266</v>
      </c>
      <c r="I83" s="163">
        <f t="shared" si="28"/>
        <v>8.7470148804949286</v>
      </c>
      <c r="J83" s="163"/>
      <c r="K83" s="163">
        <f t="shared" ref="K83:P83" si="29">K82/$C$82</f>
        <v>3.8221457753235719</v>
      </c>
      <c r="L83" s="163">
        <f t="shared" si="29"/>
        <v>3.2514108829382899</v>
      </c>
      <c r="M83" s="163" t="e">
        <f t="shared" si="29"/>
        <v>#DIV/0!</v>
      </c>
      <c r="N83" s="163" t="e">
        <f t="shared" si="29"/>
        <v>#DIV/0!</v>
      </c>
      <c r="O83" s="163">
        <f t="shared" si="29"/>
        <v>371.24784525334616</v>
      </c>
      <c r="P83" s="163">
        <f t="shared" si="29"/>
        <v>97.230929064848638</v>
      </c>
    </row>
    <row r="84" spans="1:22" x14ac:dyDescent="0.2">
      <c r="A84" s="211"/>
      <c r="B84" s="163" t="s">
        <v>282</v>
      </c>
      <c r="C84" s="163"/>
      <c r="D84" s="163"/>
      <c r="E84" s="163">
        <f>D83/E83</f>
        <v>0.80880269208038069</v>
      </c>
      <c r="F84" s="173"/>
      <c r="G84" s="173">
        <f>F82/G82</f>
        <v>0.98396007273363018</v>
      </c>
      <c r="H84" s="163"/>
      <c r="I84" s="163">
        <f>H82/I82</f>
        <v>1.8540833578190536</v>
      </c>
      <c r="J84" s="163"/>
      <c r="K84" s="163"/>
      <c r="L84" s="163"/>
      <c r="M84" s="163"/>
      <c r="N84" s="163" t="e">
        <f>M82/N82</f>
        <v>#DIV/0!</v>
      </c>
      <c r="O84" s="163"/>
      <c r="P84" s="163">
        <f>O82/P82</f>
        <v>3.8182073217231172</v>
      </c>
    </row>
    <row r="86" spans="1:22" x14ac:dyDescent="0.2">
      <c r="A86" s="8"/>
      <c r="B86" s="8" t="s">
        <v>271</v>
      </c>
      <c r="C86" s="8"/>
      <c r="D86" s="8" t="s">
        <v>86</v>
      </c>
      <c r="E86" s="8" t="s">
        <v>303</v>
      </c>
      <c r="F86" s="8" t="s">
        <v>304</v>
      </c>
      <c r="H86" s="8"/>
      <c r="I86" s="8"/>
      <c r="J86" s="8"/>
      <c r="K86" s="8" t="s">
        <v>86</v>
      </c>
      <c r="L86" s="8" t="s">
        <v>303</v>
      </c>
      <c r="M86" s="8" t="s">
        <v>304</v>
      </c>
      <c r="N86" s="8"/>
      <c r="O86" s="8"/>
      <c r="P86" s="8"/>
      <c r="Q86" s="8" t="s">
        <v>86</v>
      </c>
      <c r="R86" s="8" t="s">
        <v>303</v>
      </c>
      <c r="S86" s="8" t="s">
        <v>304</v>
      </c>
    </row>
    <row r="87" spans="1:22" ht="16" customHeight="1" x14ac:dyDescent="0.2">
      <c r="A87" s="239" t="s">
        <v>307</v>
      </c>
      <c r="B87" s="99" t="s">
        <v>116</v>
      </c>
      <c r="C87" s="8" t="s">
        <v>237</v>
      </c>
      <c r="D87" s="127">
        <f>C56</f>
        <v>25.97</v>
      </c>
      <c r="E87" s="127">
        <f>D56-C56</f>
        <v>19.835999999999999</v>
      </c>
      <c r="F87" s="127">
        <f>H56-D56</f>
        <v>11.904000000000003</v>
      </c>
      <c r="G87" s="187">
        <f>E87/SUM(D87:F87)</f>
        <v>0.3437185929648241</v>
      </c>
      <c r="H87" s="236" t="s">
        <v>310</v>
      </c>
      <c r="I87" s="100" t="s">
        <v>286</v>
      </c>
      <c r="J87" s="8" t="s">
        <v>263</v>
      </c>
      <c r="K87" s="127">
        <f>C69</f>
        <v>35.679999999999993</v>
      </c>
      <c r="L87" s="127">
        <f>D69-C69</f>
        <v>20.045000000000002</v>
      </c>
      <c r="M87" s="127">
        <f>F69-D69</f>
        <v>3.9250000000000114</v>
      </c>
      <c r="N87" s="237" t="s">
        <v>311</v>
      </c>
      <c r="O87" s="100" t="s">
        <v>286</v>
      </c>
      <c r="P87" s="8" t="s">
        <v>312</v>
      </c>
      <c r="Q87" s="127">
        <f>J69</f>
        <v>39.5</v>
      </c>
      <c r="R87" s="127">
        <f>K69-J69</f>
        <v>460.7</v>
      </c>
      <c r="S87" s="127">
        <f>O69-K69</f>
        <v>19551.138930997487</v>
      </c>
      <c r="T87" s="127"/>
      <c r="U87" s="127"/>
      <c r="V87" s="127"/>
    </row>
    <row r="88" spans="1:22" ht="16" customHeight="1" x14ac:dyDescent="0.2">
      <c r="A88" s="240"/>
      <c r="B88" s="99"/>
      <c r="C88" s="8" t="s">
        <v>238</v>
      </c>
      <c r="D88" s="127">
        <f>C56</f>
        <v>25.97</v>
      </c>
      <c r="E88" s="127">
        <f>E56-C56</f>
        <v>23.26156694580402</v>
      </c>
      <c r="F88" s="127">
        <f>I56-E56</f>
        <v>5.5394330541959818</v>
      </c>
      <c r="G88" s="187">
        <f t="shared" ref="G88:G126" si="30">E88/SUM(D88:F88)</f>
        <v>0.42470590176925782</v>
      </c>
      <c r="H88" s="236"/>
      <c r="I88" s="8"/>
      <c r="J88" s="8" t="s">
        <v>262</v>
      </c>
      <c r="K88" s="127">
        <f>K87</f>
        <v>35.679999999999993</v>
      </c>
      <c r="L88" s="127">
        <f>E69-C69</f>
        <v>40.356581508568269</v>
      </c>
      <c r="M88" s="127">
        <v>3.5</v>
      </c>
      <c r="N88" s="237"/>
      <c r="O88" s="8"/>
      <c r="P88" s="8" t="s">
        <v>238</v>
      </c>
      <c r="Q88" s="127">
        <f>Q87</f>
        <v>39.5</v>
      </c>
      <c r="R88" s="127">
        <f>L69-J69</f>
        <v>380.2</v>
      </c>
      <c r="S88" s="127">
        <f>P69-L69</f>
        <v>7470.3</v>
      </c>
      <c r="T88" s="127"/>
      <c r="U88" s="127"/>
      <c r="V88" s="127"/>
    </row>
    <row r="89" spans="1:22" x14ac:dyDescent="0.2">
      <c r="A89" s="240"/>
      <c r="B89" s="101" t="s">
        <v>117</v>
      </c>
      <c r="C89" s="8" t="s">
        <v>237</v>
      </c>
      <c r="D89" s="127">
        <f>C57</f>
        <v>39.798000000000002</v>
      </c>
      <c r="E89" s="127">
        <f>D57-C57</f>
        <v>69.194000000000003</v>
      </c>
      <c r="F89" s="127">
        <f>H57-D57</f>
        <v>63.552999999999983</v>
      </c>
      <c r="G89" s="187">
        <f t="shared" si="30"/>
        <v>0.4010200237619172</v>
      </c>
      <c r="H89" s="236"/>
      <c r="I89" s="8"/>
      <c r="J89" s="8" t="s">
        <v>237</v>
      </c>
      <c r="K89" s="127">
        <f>K88</f>
        <v>35.679999999999993</v>
      </c>
      <c r="L89" s="127">
        <f>L87</f>
        <v>20.045000000000002</v>
      </c>
      <c r="M89" s="127">
        <f>H69-D69</f>
        <v>13840.775</v>
      </c>
      <c r="N89" s="237"/>
      <c r="O89" s="100" t="s">
        <v>287</v>
      </c>
      <c r="P89" s="8" t="s">
        <v>312</v>
      </c>
      <c r="Q89" s="127">
        <f>J70</f>
        <v>0.3</v>
      </c>
      <c r="R89" s="127">
        <f>K70-J70</f>
        <v>0.60000000000000009</v>
      </c>
      <c r="S89" s="127">
        <f>O70-K70</f>
        <v>140.93686840709105</v>
      </c>
      <c r="T89" s="127"/>
      <c r="U89" s="127"/>
      <c r="V89" s="127"/>
    </row>
    <row r="90" spans="1:22" x14ac:dyDescent="0.2">
      <c r="A90" s="240"/>
      <c r="B90" s="101"/>
      <c r="C90" s="8" t="s">
        <v>238</v>
      </c>
      <c r="D90" s="127">
        <f>C57</f>
        <v>39.798000000000002</v>
      </c>
      <c r="E90" s="127">
        <f>E57-C57</f>
        <v>74.447499999999991</v>
      </c>
      <c r="F90" s="127">
        <f>I57-E57</f>
        <v>28.216499999999996</v>
      </c>
      <c r="G90" s="187">
        <f t="shared" si="30"/>
        <v>0.52257795061139112</v>
      </c>
      <c r="H90" s="236"/>
      <c r="I90" s="8"/>
      <c r="J90" s="8" t="s">
        <v>238</v>
      </c>
      <c r="K90" s="127">
        <f>K89</f>
        <v>35.679999999999993</v>
      </c>
      <c r="L90" s="127">
        <f>L88</f>
        <v>40.356581508568269</v>
      </c>
      <c r="M90" s="127">
        <f>H69-E69</f>
        <v>13820.463418491432</v>
      </c>
      <c r="N90" s="237"/>
      <c r="O90" s="8"/>
      <c r="P90" s="8" t="s">
        <v>238</v>
      </c>
      <c r="Q90" s="127">
        <f>Q89</f>
        <v>0.3</v>
      </c>
      <c r="R90" s="127">
        <f>L70-J70</f>
        <v>0.39999999999999997</v>
      </c>
      <c r="S90" s="127">
        <f>P70-L70</f>
        <v>23.1</v>
      </c>
      <c r="T90" s="127"/>
      <c r="U90" s="127"/>
      <c r="V90" s="127"/>
    </row>
    <row r="91" spans="1:22" x14ac:dyDescent="0.2">
      <c r="A91" s="240"/>
      <c r="B91" s="101" t="s">
        <v>115</v>
      </c>
      <c r="C91" s="8" t="s">
        <v>237</v>
      </c>
      <c r="D91" s="127">
        <f>C58</f>
        <v>66.450999999999993</v>
      </c>
      <c r="E91" s="127">
        <f>D58-C58</f>
        <v>64.835000000000008</v>
      </c>
      <c r="F91" s="127">
        <f>H58-D58</f>
        <v>690.21399999999994</v>
      </c>
      <c r="G91" s="187">
        <f t="shared" si="30"/>
        <v>7.8922702373706646E-2</v>
      </c>
      <c r="H91" s="236"/>
      <c r="I91" s="100" t="s">
        <v>287</v>
      </c>
      <c r="J91" s="8" t="s">
        <v>263</v>
      </c>
      <c r="K91" s="127">
        <f>C70</f>
        <v>0.3</v>
      </c>
      <c r="L91" s="127">
        <v>0.01</v>
      </c>
      <c r="M91" s="127">
        <v>0.01</v>
      </c>
      <c r="N91" s="237"/>
      <c r="O91" s="100" t="s">
        <v>288</v>
      </c>
      <c r="P91" s="8" t="s">
        <v>312</v>
      </c>
      <c r="Q91" s="127">
        <f>J71</f>
        <v>87.3</v>
      </c>
      <c r="R91" s="127">
        <f>K71-J71</f>
        <v>444.7</v>
      </c>
      <c r="S91" s="127">
        <f>O71-K71</f>
        <v>16785.663193485801</v>
      </c>
      <c r="T91" s="127"/>
    </row>
    <row r="92" spans="1:22" x14ac:dyDescent="0.2">
      <c r="A92" s="240"/>
      <c r="B92" s="101"/>
      <c r="C92" s="8" t="s">
        <v>238</v>
      </c>
      <c r="D92" s="127">
        <f>C58</f>
        <v>66.450999999999993</v>
      </c>
      <c r="E92" s="127">
        <f>E58-C58</f>
        <v>88.83250000000001</v>
      </c>
      <c r="F92" s="127">
        <f>I58-E58</f>
        <v>90.259500000000003</v>
      </c>
      <c r="G92" s="187">
        <f t="shared" si="30"/>
        <v>0.36177981046089691</v>
      </c>
      <c r="H92" s="236"/>
      <c r="I92" s="8"/>
      <c r="J92" s="8" t="s">
        <v>262</v>
      </c>
      <c r="K92" s="127">
        <f>K91</f>
        <v>0.3</v>
      </c>
      <c r="L92" s="127">
        <f>E70-C70</f>
        <v>2.4999999999999967E-2</v>
      </c>
      <c r="M92" s="127">
        <v>0.01</v>
      </c>
      <c r="N92" s="237"/>
      <c r="O92" s="8"/>
      <c r="P92" s="8" t="s">
        <v>238</v>
      </c>
      <c r="Q92" s="127">
        <f>Q91</f>
        <v>87.3</v>
      </c>
      <c r="R92" s="127">
        <f>L71-J71</f>
        <v>265.5</v>
      </c>
      <c r="S92" s="127">
        <f>P71-L71</f>
        <v>4118.2</v>
      </c>
      <c r="T92" s="127"/>
    </row>
    <row r="93" spans="1:22" x14ac:dyDescent="0.2">
      <c r="A93" s="240"/>
      <c r="B93" s="101" t="s">
        <v>118</v>
      </c>
      <c r="C93" s="8" t="s">
        <v>237</v>
      </c>
      <c r="D93" s="127">
        <f>C59</f>
        <v>116.294</v>
      </c>
      <c r="E93" s="127">
        <f>D59-C59</f>
        <v>7.2160000000000082</v>
      </c>
      <c r="F93" s="127">
        <f>H59-D59</f>
        <v>8.326999999999984</v>
      </c>
      <c r="G93" s="187">
        <f t="shared" si="30"/>
        <v>5.4734255178743516E-2</v>
      </c>
      <c r="H93" s="236"/>
      <c r="I93" s="8"/>
      <c r="J93" s="8" t="s">
        <v>237</v>
      </c>
      <c r="K93" s="127">
        <f>K92</f>
        <v>0.3</v>
      </c>
      <c r="L93" s="127">
        <f>L91</f>
        <v>0.01</v>
      </c>
      <c r="M93" s="127">
        <f>H70-D70</f>
        <v>0.52499999999999991</v>
      </c>
      <c r="N93" s="237"/>
      <c r="O93" s="105" t="s">
        <v>289</v>
      </c>
      <c r="P93" s="8" t="s">
        <v>312</v>
      </c>
      <c r="Q93" s="127">
        <f>J72</f>
        <v>28.8</v>
      </c>
      <c r="R93" s="127">
        <f>K72-J72</f>
        <v>41.5</v>
      </c>
      <c r="S93" s="127">
        <f>O72-K72</f>
        <v>21696.528887055229</v>
      </c>
      <c r="T93" s="127"/>
    </row>
    <row r="94" spans="1:22" x14ac:dyDescent="0.2">
      <c r="A94" s="240"/>
      <c r="B94" s="101"/>
      <c r="C94" s="8" t="s">
        <v>238</v>
      </c>
      <c r="D94" s="127">
        <f>C59</f>
        <v>116.294</v>
      </c>
      <c r="E94" s="127">
        <f>E59-C59</f>
        <v>10.421000000000006</v>
      </c>
      <c r="F94" s="127">
        <f>I59-E59</f>
        <v>21.340000000000003</v>
      </c>
      <c r="G94" s="187">
        <f t="shared" si="30"/>
        <v>7.0386005200770027E-2</v>
      </c>
      <c r="H94" s="236"/>
      <c r="I94" s="8"/>
      <c r="J94" s="8" t="s">
        <v>238</v>
      </c>
      <c r="K94" s="127">
        <f>K93</f>
        <v>0.3</v>
      </c>
      <c r="L94" s="127">
        <f>L92</f>
        <v>2.4999999999999967E-2</v>
      </c>
      <c r="M94" s="127">
        <f>I70-E70</f>
        <v>7.5000000000000067E-2</v>
      </c>
      <c r="N94" s="237"/>
      <c r="O94" s="8"/>
      <c r="P94" s="8" t="s">
        <v>238</v>
      </c>
      <c r="Q94" s="127">
        <f>Q93</f>
        <v>28.8</v>
      </c>
      <c r="R94" s="127">
        <f>L72-J72</f>
        <v>28.900000000000002</v>
      </c>
      <c r="S94" s="127">
        <f>P72-L72</f>
        <v>7228.3</v>
      </c>
      <c r="T94" s="127"/>
    </row>
    <row r="95" spans="1:22" x14ac:dyDescent="0.2">
      <c r="A95" s="240"/>
      <c r="B95" s="101" t="s">
        <v>156</v>
      </c>
      <c r="C95" s="8" t="s">
        <v>237</v>
      </c>
      <c r="D95" s="127">
        <f>C60</f>
        <v>38.444000000000003</v>
      </c>
      <c r="E95" s="127">
        <f>D60-C60</f>
        <v>15.221999999999994</v>
      </c>
      <c r="F95" s="127">
        <f>H60-D60</f>
        <v>373.73399999999998</v>
      </c>
      <c r="G95" s="187">
        <f t="shared" si="30"/>
        <v>3.5615348619560117E-2</v>
      </c>
      <c r="H95" s="236"/>
      <c r="I95" s="100" t="s">
        <v>288</v>
      </c>
      <c r="J95" s="8" t="s">
        <v>263</v>
      </c>
      <c r="K95" s="127">
        <f>C71</f>
        <v>56.679999999999993</v>
      </c>
      <c r="L95" s="127">
        <f>D71-C71</f>
        <v>3.5700000000000074</v>
      </c>
      <c r="M95" s="127">
        <f>F71-D71</f>
        <v>0.125</v>
      </c>
      <c r="N95" s="237"/>
      <c r="O95" s="105" t="s">
        <v>290</v>
      </c>
      <c r="P95" s="8" t="s">
        <v>312</v>
      </c>
      <c r="Q95" s="127">
        <f>J73</f>
        <v>31.4</v>
      </c>
      <c r="R95" s="127">
        <f>K73-J73</f>
        <v>153.69999999999999</v>
      </c>
      <c r="S95" s="127">
        <f>O73-K73</f>
        <v>9359.5549063615199</v>
      </c>
      <c r="T95" s="127"/>
    </row>
    <row r="96" spans="1:22" x14ac:dyDescent="0.2">
      <c r="A96" s="240"/>
      <c r="B96" s="101"/>
      <c r="C96" s="8" t="s">
        <v>238</v>
      </c>
      <c r="D96" s="127">
        <f>C60</f>
        <v>38.444000000000003</v>
      </c>
      <c r="E96" s="127">
        <f>E60-C60</f>
        <v>17.358999999999995</v>
      </c>
      <c r="F96" s="127">
        <f>I60-E60</f>
        <v>47.040000000000006</v>
      </c>
      <c r="G96" s="187">
        <f t="shared" si="30"/>
        <v>0.16879126435440422</v>
      </c>
      <c r="H96" s="236"/>
      <c r="I96" s="8"/>
      <c r="J96" s="8" t="s">
        <v>262</v>
      </c>
      <c r="K96" s="127">
        <f>K95</f>
        <v>56.679999999999993</v>
      </c>
      <c r="L96" s="127">
        <f>E71-C71</f>
        <v>74.720988796955979</v>
      </c>
      <c r="M96" s="127">
        <v>0.1</v>
      </c>
      <c r="N96" s="237"/>
      <c r="O96" s="8"/>
      <c r="P96" s="8" t="s">
        <v>238</v>
      </c>
      <c r="Q96" s="127">
        <f>Q95</f>
        <v>31.4</v>
      </c>
      <c r="R96" s="127">
        <f>L73-J73</f>
        <v>126.9</v>
      </c>
      <c r="S96" s="127">
        <f>P73-L73</f>
        <v>2835.5</v>
      </c>
      <c r="T96" s="127"/>
    </row>
    <row r="97" spans="1:20" x14ac:dyDescent="0.2">
      <c r="A97" s="240"/>
      <c r="B97" s="101" t="s">
        <v>119</v>
      </c>
      <c r="C97" s="8" t="s">
        <v>237</v>
      </c>
      <c r="D97" s="127">
        <f>C61</f>
        <v>29.341000000000001</v>
      </c>
      <c r="E97" s="127">
        <f>D61-C61</f>
        <v>24.116</v>
      </c>
      <c r="F97" s="127">
        <f>H61-D61</f>
        <v>204.90899999999999</v>
      </c>
      <c r="G97" s="187">
        <f t="shared" si="30"/>
        <v>9.3340455013430565E-2</v>
      </c>
      <c r="H97" s="236"/>
      <c r="I97" s="8"/>
      <c r="J97" s="8" t="s">
        <v>237</v>
      </c>
      <c r="K97" s="127">
        <f>K96</f>
        <v>56.679999999999993</v>
      </c>
      <c r="L97" s="127">
        <f>L95</f>
        <v>3.5700000000000074</v>
      </c>
      <c r="M97" s="127">
        <f>H71-D71</f>
        <v>325.67500000000001</v>
      </c>
      <c r="N97" s="237"/>
      <c r="O97" s="105" t="s">
        <v>291</v>
      </c>
      <c r="P97" s="8" t="s">
        <v>312</v>
      </c>
      <c r="Q97" s="127">
        <f>J74</f>
        <v>41.3</v>
      </c>
      <c r="R97" s="127">
        <f>K74-J74</f>
        <v>170.2</v>
      </c>
      <c r="S97" s="127">
        <f>O74-K74</f>
        <v>17296.544841976407</v>
      </c>
      <c r="T97" s="127"/>
    </row>
    <row r="98" spans="1:20" x14ac:dyDescent="0.2">
      <c r="A98" s="240"/>
      <c r="B98" s="101"/>
      <c r="C98" s="8" t="s">
        <v>238</v>
      </c>
      <c r="D98" s="127">
        <f>C61</f>
        <v>29.341000000000001</v>
      </c>
      <c r="E98" s="127">
        <f>E61-C61</f>
        <v>27.035499999999999</v>
      </c>
      <c r="F98" s="127">
        <f>I61-E61</f>
        <v>24.232499999999995</v>
      </c>
      <c r="G98" s="187">
        <f t="shared" si="30"/>
        <v>0.33539058914017045</v>
      </c>
      <c r="H98" s="236"/>
      <c r="I98" s="8"/>
      <c r="J98" s="8" t="s">
        <v>238</v>
      </c>
      <c r="K98" s="127">
        <f>K97</f>
        <v>56.679999999999993</v>
      </c>
      <c r="L98" s="127">
        <f>L96</f>
        <v>74.720988796955979</v>
      </c>
      <c r="M98" s="127">
        <f>I71-E71</f>
        <v>97.599011203044029</v>
      </c>
      <c r="N98" s="237"/>
      <c r="O98" s="8"/>
      <c r="P98" s="8" t="s">
        <v>238</v>
      </c>
      <c r="Q98" s="127">
        <f>Q97</f>
        <v>41.3</v>
      </c>
      <c r="R98" s="127">
        <f>L74-J74</f>
        <v>148.30000000000001</v>
      </c>
      <c r="S98" s="127">
        <f>P74-L74</f>
        <v>3461.4</v>
      </c>
      <c r="T98" s="127"/>
    </row>
    <row r="99" spans="1:20" x14ac:dyDescent="0.2">
      <c r="A99" s="240"/>
      <c r="B99" s="101" t="s">
        <v>120</v>
      </c>
      <c r="C99" s="8" t="s">
        <v>237</v>
      </c>
      <c r="D99" s="127">
        <f>C62</f>
        <v>11.135999999999999</v>
      </c>
      <c r="E99" s="127">
        <f>D62-C62</f>
        <v>10.276</v>
      </c>
      <c r="F99" s="127">
        <f>H62-D62</f>
        <v>63.246000000000002</v>
      </c>
      <c r="G99" s="187">
        <f t="shared" si="30"/>
        <v>0.12138250372085331</v>
      </c>
      <c r="H99" s="236"/>
      <c r="I99" s="105" t="s">
        <v>289</v>
      </c>
      <c r="J99" s="8" t="s">
        <v>263</v>
      </c>
      <c r="K99" s="127">
        <f>C72</f>
        <v>28.1</v>
      </c>
      <c r="L99" s="127">
        <f>D72-C72</f>
        <v>0.89999999999999858</v>
      </c>
      <c r="M99" s="127">
        <f>F72-D72</f>
        <v>1.5249999999999986</v>
      </c>
      <c r="N99" s="237"/>
      <c r="O99" s="105" t="s">
        <v>292</v>
      </c>
      <c r="P99" s="8" t="s">
        <v>312</v>
      </c>
      <c r="Q99" s="127">
        <f>J75</f>
        <v>34.9</v>
      </c>
      <c r="R99" s="127">
        <f>K75-J75</f>
        <v>2.8999999999999986</v>
      </c>
      <c r="S99" s="127">
        <f>O75-K75</f>
        <v>5095.8231037997011</v>
      </c>
      <c r="T99" s="127"/>
    </row>
    <row r="100" spans="1:20" x14ac:dyDescent="0.2">
      <c r="A100" s="240"/>
      <c r="B100" s="101"/>
      <c r="C100" s="8" t="s">
        <v>238</v>
      </c>
      <c r="D100" s="127">
        <f>C62</f>
        <v>11.135999999999999</v>
      </c>
      <c r="E100" s="127">
        <f>E62-C62</f>
        <v>11.6465</v>
      </c>
      <c r="F100" s="127">
        <f>I62-E62</f>
        <v>6.8934999999999995</v>
      </c>
      <c r="G100" s="187">
        <f t="shared" si="30"/>
        <v>0.39245518263916973</v>
      </c>
      <c r="H100" s="236"/>
      <c r="I100" s="8"/>
      <c r="J100" s="8" t="s">
        <v>262</v>
      </c>
      <c r="K100" s="127">
        <f>K99</f>
        <v>28.1</v>
      </c>
      <c r="L100" s="127">
        <f>E72-C72</f>
        <v>12.333037811966314</v>
      </c>
      <c r="M100" s="127">
        <v>1</v>
      </c>
      <c r="N100" s="237"/>
      <c r="O100" s="8"/>
      <c r="P100" s="8" t="s">
        <v>238</v>
      </c>
      <c r="Q100" s="127">
        <f>Q99</f>
        <v>34.9</v>
      </c>
      <c r="R100" s="127">
        <f>L75-J75</f>
        <v>1.2000000000000028</v>
      </c>
      <c r="S100" s="127">
        <f>P75-L75</f>
        <v>1783.8000000000002</v>
      </c>
      <c r="T100" s="127"/>
    </row>
    <row r="101" spans="1:20" x14ac:dyDescent="0.2">
      <c r="A101" s="240"/>
      <c r="B101" s="101" t="s">
        <v>121</v>
      </c>
      <c r="C101" s="8" t="s">
        <v>237</v>
      </c>
      <c r="D101" s="127">
        <f>C63</f>
        <v>38.180999999999997</v>
      </c>
      <c r="E101" s="127">
        <f>D63-C63</f>
        <v>30.888999999999996</v>
      </c>
      <c r="F101" s="127">
        <f>H63-D63</f>
        <v>215.46100000000001</v>
      </c>
      <c r="G101" s="187">
        <f t="shared" si="30"/>
        <v>0.10856110581975249</v>
      </c>
      <c r="H101" s="236"/>
      <c r="I101" s="8"/>
      <c r="J101" s="8" t="s">
        <v>237</v>
      </c>
      <c r="K101" s="127">
        <f>K100</f>
        <v>28.1</v>
      </c>
      <c r="L101" s="127">
        <f>L99</f>
        <v>0.89999999999999858</v>
      </c>
      <c r="M101" s="127">
        <f>H72-D72</f>
        <v>265.52499999999998</v>
      </c>
      <c r="N101" s="237"/>
      <c r="O101" s="105" t="s">
        <v>293</v>
      </c>
      <c r="P101" s="8" t="s">
        <v>312</v>
      </c>
      <c r="Q101" s="127">
        <f>J76</f>
        <v>56.1</v>
      </c>
      <c r="R101" s="127">
        <f>K76-J76</f>
        <v>1.1000000000000014</v>
      </c>
      <c r="S101" s="127">
        <f>O76-K76</f>
        <v>8199.8034439414532</v>
      </c>
      <c r="T101" s="127"/>
    </row>
    <row r="102" spans="1:20" x14ac:dyDescent="0.2">
      <c r="A102" s="240"/>
      <c r="B102" s="101"/>
      <c r="C102" s="8" t="s">
        <v>238</v>
      </c>
      <c r="D102" s="127">
        <f>C63</f>
        <v>38.180999999999997</v>
      </c>
      <c r="E102" s="127">
        <f>E63-C63</f>
        <v>39.359500000000011</v>
      </c>
      <c r="F102" s="127">
        <f>I63-E63</f>
        <v>21.341499999999996</v>
      </c>
      <c r="G102" s="187">
        <f t="shared" si="30"/>
        <v>0.39804514471794672</v>
      </c>
      <c r="H102" s="236"/>
      <c r="I102" s="8"/>
      <c r="J102" s="8" t="s">
        <v>238</v>
      </c>
      <c r="K102" s="127">
        <f>K101</f>
        <v>28.1</v>
      </c>
      <c r="L102" s="127">
        <f>L100</f>
        <v>12.333037811966314</v>
      </c>
      <c r="M102" s="127">
        <f>I72-E72</f>
        <v>81.066962188033685</v>
      </c>
      <c r="N102" s="237"/>
      <c r="O102" s="8"/>
      <c r="P102" s="8" t="s">
        <v>238</v>
      </c>
      <c r="Q102" s="127">
        <f>Q101</f>
        <v>56.1</v>
      </c>
      <c r="R102" s="127">
        <f>L76-J76</f>
        <v>1.2999999999999972</v>
      </c>
      <c r="S102" s="127">
        <f>P76-L76</f>
        <v>2566.4</v>
      </c>
      <c r="T102" s="127"/>
    </row>
    <row r="103" spans="1:20" x14ac:dyDescent="0.2">
      <c r="A103" s="240"/>
      <c r="B103" s="101" t="s">
        <v>122</v>
      </c>
      <c r="C103" s="8" t="s">
        <v>237</v>
      </c>
      <c r="D103" s="127">
        <f>C64</f>
        <v>31.297999999999998</v>
      </c>
      <c r="E103" s="127">
        <v>15</v>
      </c>
      <c r="F103" s="127">
        <f>H64-D64</f>
        <v>202.48799999999997</v>
      </c>
      <c r="G103" s="187">
        <f t="shared" si="30"/>
        <v>6.0292781748169114E-2</v>
      </c>
      <c r="H103" s="236"/>
      <c r="I103" s="105" t="s">
        <v>290</v>
      </c>
      <c r="J103" s="8" t="s">
        <v>263</v>
      </c>
      <c r="K103" s="127">
        <f>C73</f>
        <v>29.880000000000003</v>
      </c>
      <c r="L103" s="127">
        <f>D73-C73</f>
        <v>6.8699999999999974</v>
      </c>
      <c r="M103" s="127">
        <f>F73-D73</f>
        <v>0.79999999999999716</v>
      </c>
      <c r="N103" s="237"/>
      <c r="O103" s="105" t="s">
        <v>294</v>
      </c>
      <c r="P103" s="8" t="s">
        <v>312</v>
      </c>
      <c r="Q103" s="127">
        <f>J77</f>
        <v>21.7</v>
      </c>
      <c r="R103" s="127">
        <f>K77-J77</f>
        <v>232.8</v>
      </c>
      <c r="S103" s="127">
        <f>O77-K77</f>
        <v>15968.474578117368</v>
      </c>
      <c r="T103" s="127"/>
    </row>
    <row r="104" spans="1:20" x14ac:dyDescent="0.2">
      <c r="A104" s="240"/>
      <c r="B104" s="8"/>
      <c r="C104" s="8" t="s">
        <v>238</v>
      </c>
      <c r="D104" s="127">
        <f>C64</f>
        <v>31.297999999999998</v>
      </c>
      <c r="E104" s="127">
        <v>100</v>
      </c>
      <c r="F104" s="127">
        <f>I64-E64</f>
        <v>25.406000000000006</v>
      </c>
      <c r="G104" s="187">
        <f t="shared" si="30"/>
        <v>0.63814580355319583</v>
      </c>
      <c r="H104" s="236"/>
      <c r="I104" s="8"/>
      <c r="J104" s="8" t="s">
        <v>262</v>
      </c>
      <c r="K104" s="127">
        <f>K103</f>
        <v>29.880000000000003</v>
      </c>
      <c r="L104" s="127">
        <f>E73-C73</f>
        <v>6.7030559103957543</v>
      </c>
      <c r="M104" s="127">
        <v>0.8</v>
      </c>
      <c r="N104" s="237"/>
      <c r="O104" s="8"/>
      <c r="P104" s="8" t="s">
        <v>238</v>
      </c>
      <c r="Q104" s="127">
        <f>Q103</f>
        <v>21.7</v>
      </c>
      <c r="R104" s="127">
        <f>L77-J77</f>
        <v>177.20000000000002</v>
      </c>
      <c r="S104" s="127">
        <f>P77-L77</f>
        <v>3337.4</v>
      </c>
      <c r="T104" s="127"/>
    </row>
    <row r="105" spans="1:20" ht="16" customHeight="1" x14ac:dyDescent="0.2">
      <c r="A105" s="240"/>
      <c r="B105" s="101" t="s">
        <v>66</v>
      </c>
      <c r="C105" s="8" t="s">
        <v>237</v>
      </c>
      <c r="D105" s="127">
        <f>GEOMEAN(D87,D89,D91,D93,D95,D97,D99,D101,D103)</f>
        <v>36.669910164318871</v>
      </c>
      <c r="E105" s="127">
        <f>GEOMEAN(E87,E89,E91,E93,E95,E97,E99,E101,E103)</f>
        <v>21.82241208386262</v>
      </c>
      <c r="F105" s="127">
        <f>GEOMEAN(F87,F89,F91,F93,F95,F97,F99,F101,F103)</f>
        <v>99.063575030639612</v>
      </c>
      <c r="G105" s="34">
        <f>E106/E105</f>
        <v>1.4631312984904499</v>
      </c>
      <c r="H105" s="236"/>
      <c r="I105" s="8"/>
      <c r="J105" s="8" t="s">
        <v>237</v>
      </c>
      <c r="K105" s="127">
        <f>K104</f>
        <v>29.880000000000003</v>
      </c>
      <c r="L105" s="127">
        <f>L103</f>
        <v>6.8699999999999974</v>
      </c>
      <c r="M105" s="127">
        <f>H73-D73</f>
        <v>908.32499999999993</v>
      </c>
      <c r="N105" s="237"/>
      <c r="O105" s="105" t="s">
        <v>295</v>
      </c>
      <c r="P105" s="8" t="s">
        <v>312</v>
      </c>
      <c r="Q105" s="127">
        <f>J78</f>
        <v>9.9</v>
      </c>
      <c r="R105" s="127">
        <f>K78-J78</f>
        <v>46.1</v>
      </c>
      <c r="S105" s="127">
        <f>O78-K78</f>
        <v>1844.1598858443119</v>
      </c>
      <c r="T105" s="127"/>
    </row>
    <row r="106" spans="1:20" x14ac:dyDescent="0.2">
      <c r="A106" s="241"/>
      <c r="B106" s="8"/>
      <c r="C106" s="8" t="s">
        <v>238</v>
      </c>
      <c r="D106" s="127">
        <f>GEOMEAN(D88,D90,D92,D94,D96,D98,D100,D102,D104)</f>
        <v>36.669910164318871</v>
      </c>
      <c r="E106" s="127">
        <f>GEOMEAN(E88,E90,E92,E94,E96,E98,E100,E102,E104)</f>
        <v>31.929054128455601</v>
      </c>
      <c r="F106" s="127">
        <f>GEOMEAN(F88,F90,F92,F94,F96,F98,F100,F102,F104)</f>
        <v>22.148633028799303</v>
      </c>
      <c r="G106" s="246">
        <f>SUM(D105:F105)/SUM(D106:F106)</f>
        <v>1.7361991053107997</v>
      </c>
      <c r="H106" s="236"/>
      <c r="I106" s="8"/>
      <c r="J106" s="8" t="s">
        <v>238</v>
      </c>
      <c r="K106" s="127">
        <f>K105</f>
        <v>29.880000000000003</v>
      </c>
      <c r="L106" s="127">
        <f>L104</f>
        <v>6.7030559103957543</v>
      </c>
      <c r="M106" s="127">
        <f>I73-E73</f>
        <v>556.81694408960425</v>
      </c>
      <c r="N106" s="237"/>
      <c r="O106" s="8"/>
      <c r="P106" s="8" t="s">
        <v>238</v>
      </c>
      <c r="Q106" s="127">
        <f>Q105</f>
        <v>9.9</v>
      </c>
      <c r="R106" s="127">
        <f>L78-J78</f>
        <v>30.5</v>
      </c>
      <c r="S106" s="127">
        <f>P78-L78</f>
        <v>397.1</v>
      </c>
      <c r="T106" s="127"/>
    </row>
    <row r="107" spans="1:20" ht="22" customHeight="1" x14ac:dyDescent="0.2">
      <c r="A107" s="207" t="s">
        <v>308</v>
      </c>
      <c r="B107" s="99" t="s">
        <v>116</v>
      </c>
      <c r="C107" s="8" t="s">
        <v>241</v>
      </c>
      <c r="D107" s="127">
        <f>J56</f>
        <v>45.112000000000002</v>
      </c>
      <c r="E107" s="127">
        <f>K56-J56</f>
        <v>13.753999999999998</v>
      </c>
      <c r="F107" s="127">
        <f>O56-K56</f>
        <v>765.25800000000004</v>
      </c>
      <c r="G107" s="187">
        <f t="shared" si="30"/>
        <v>1.6689236085831741E-2</v>
      </c>
      <c r="H107" s="236"/>
      <c r="I107" s="105" t="s">
        <v>291</v>
      </c>
      <c r="J107" s="8" t="s">
        <v>263</v>
      </c>
      <c r="K107" s="127">
        <f>C73</f>
        <v>29.880000000000003</v>
      </c>
      <c r="L107" s="127">
        <f>D74-C74</f>
        <v>10.714999999999996</v>
      </c>
      <c r="M107" s="127">
        <f>F74-D74</f>
        <v>1.6499999999999986</v>
      </c>
      <c r="N107" s="237"/>
      <c r="O107" s="105" t="s">
        <v>296</v>
      </c>
      <c r="P107" s="8" t="s">
        <v>312</v>
      </c>
      <c r="Q107" s="127">
        <f>J79</f>
        <v>71.3</v>
      </c>
      <c r="R107" s="127">
        <f>K79-J79</f>
        <v>770.80000000000007</v>
      </c>
      <c r="S107" s="127">
        <f>O79-K79</f>
        <v>13709.705383269084</v>
      </c>
      <c r="T107" s="127"/>
    </row>
    <row r="108" spans="1:20" x14ac:dyDescent="0.2">
      <c r="A108" s="208"/>
      <c r="B108" s="99"/>
      <c r="C108" s="8" t="s">
        <v>238</v>
      </c>
      <c r="D108" s="127">
        <f>D107</f>
        <v>45.112000000000002</v>
      </c>
      <c r="E108" s="127">
        <f>L56-J56</f>
        <v>7.7310000000000016</v>
      </c>
      <c r="F108" s="127">
        <f>P56-L56</f>
        <v>158.529</v>
      </c>
      <c r="G108" s="187">
        <f t="shared" si="30"/>
        <v>3.6575326911795325E-2</v>
      </c>
      <c r="H108" s="236"/>
      <c r="I108" s="8"/>
      <c r="J108" s="8" t="s">
        <v>262</v>
      </c>
      <c r="K108" s="127">
        <f>K107</f>
        <v>29.880000000000003</v>
      </c>
      <c r="L108" s="127">
        <f>E74-C74</f>
        <v>8.6882216160705994</v>
      </c>
      <c r="M108" s="127">
        <f>G74-E74</f>
        <v>0.12677838392939833</v>
      </c>
      <c r="N108" s="237"/>
      <c r="O108" s="8"/>
      <c r="P108" s="8" t="s">
        <v>238</v>
      </c>
      <c r="Q108" s="127">
        <f>Q107</f>
        <v>71.3</v>
      </c>
      <c r="R108" s="127">
        <f>L79-J79</f>
        <v>768.40000000000009</v>
      </c>
      <c r="S108" s="127">
        <f>P79-L79</f>
        <v>4762.3</v>
      </c>
      <c r="T108" s="127"/>
    </row>
    <row r="109" spans="1:20" x14ac:dyDescent="0.2">
      <c r="A109" s="208"/>
      <c r="B109" s="101" t="s">
        <v>117</v>
      </c>
      <c r="C109" s="8" t="s">
        <v>241</v>
      </c>
      <c r="D109" s="127">
        <f>J57</f>
        <v>104.03</v>
      </c>
      <c r="E109" s="127">
        <f>K57-J57</f>
        <v>91.800999999999988</v>
      </c>
      <c r="F109" s="127">
        <f>O57-K57</f>
        <v>4518.8699800000004</v>
      </c>
      <c r="G109" s="187">
        <f t="shared" si="30"/>
        <v>1.9471224238700284E-2</v>
      </c>
      <c r="H109" s="236"/>
      <c r="I109" s="8"/>
      <c r="J109" s="8" t="s">
        <v>237</v>
      </c>
      <c r="K109" s="127">
        <f>K108</f>
        <v>29.880000000000003</v>
      </c>
      <c r="L109" s="127">
        <f>L107</f>
        <v>10.714999999999996</v>
      </c>
      <c r="M109" s="127">
        <f>H74-D74</f>
        <v>969.7</v>
      </c>
      <c r="N109" s="237"/>
      <c r="O109" s="105" t="s">
        <v>297</v>
      </c>
      <c r="P109" s="8" t="s">
        <v>312</v>
      </c>
      <c r="Q109" s="127">
        <f>J80</f>
        <v>18.8</v>
      </c>
      <c r="R109" s="127">
        <f>K80-J80</f>
        <v>66</v>
      </c>
      <c r="S109" s="127">
        <f>O80-K80</f>
        <v>8665.0873159427374</v>
      </c>
      <c r="T109" s="127"/>
    </row>
    <row r="110" spans="1:20" x14ac:dyDescent="0.2">
      <c r="A110" s="208"/>
      <c r="B110" s="101"/>
      <c r="C110" s="8" t="s">
        <v>238</v>
      </c>
      <c r="D110" s="127">
        <f>D109</f>
        <v>104.03</v>
      </c>
      <c r="E110" s="127">
        <f>L57-J57</f>
        <v>53.564999999999998</v>
      </c>
      <c r="F110" s="127">
        <f>P57-K57</f>
        <v>888.21348</v>
      </c>
      <c r="G110" s="187">
        <f t="shared" si="30"/>
        <v>5.1218747050129104E-2</v>
      </c>
      <c r="H110" s="236"/>
      <c r="I110" s="8"/>
      <c r="J110" s="8" t="s">
        <v>238</v>
      </c>
      <c r="K110" s="127">
        <f>K109</f>
        <v>29.880000000000003</v>
      </c>
      <c r="L110" s="127">
        <f>L108</f>
        <v>8.6882216160705994</v>
      </c>
      <c r="M110" s="127">
        <f>I74-E74</f>
        <v>498.65177838392941</v>
      </c>
      <c r="N110" s="237"/>
      <c r="O110" s="8"/>
      <c r="P110" s="8" t="s">
        <v>238</v>
      </c>
      <c r="Q110" s="127">
        <f>Q109</f>
        <v>18.8</v>
      </c>
      <c r="R110" s="127">
        <f>L80-J80</f>
        <v>54.2</v>
      </c>
      <c r="S110" s="127">
        <f>P80-L80</f>
        <v>2079.6</v>
      </c>
      <c r="T110" s="127"/>
    </row>
    <row r="111" spans="1:20" x14ac:dyDescent="0.2">
      <c r="A111" s="208"/>
      <c r="B111" s="101" t="s">
        <v>115</v>
      </c>
      <c r="C111" s="8" t="s">
        <v>241</v>
      </c>
      <c r="D111" s="127">
        <f>J58</f>
        <v>124.253</v>
      </c>
      <c r="E111" s="127">
        <f>K58-J58</f>
        <v>756.84699999999998</v>
      </c>
      <c r="F111" s="127">
        <f>O58-K58</f>
        <v>8712.6999999999989</v>
      </c>
      <c r="G111" s="187">
        <f t="shared" si="30"/>
        <v>7.8889178427734588E-2</v>
      </c>
      <c r="H111" s="236"/>
      <c r="I111" s="105" t="s">
        <v>292</v>
      </c>
      <c r="J111" s="8" t="s">
        <v>263</v>
      </c>
      <c r="K111" s="127">
        <f>C75</f>
        <v>35.559999999999995</v>
      </c>
      <c r="L111" s="127">
        <f>D75-C75</f>
        <v>2.1400000000000077</v>
      </c>
      <c r="M111" s="127">
        <f>F75-D75</f>
        <v>1.5999999999999943</v>
      </c>
      <c r="N111" s="237"/>
      <c r="O111" s="105" t="s">
        <v>298</v>
      </c>
      <c r="P111" s="8" t="s">
        <v>312</v>
      </c>
      <c r="Q111" s="127">
        <f>J81</f>
        <v>72.2</v>
      </c>
      <c r="R111" s="127">
        <f>K81-J81</f>
        <v>10.299999999999997</v>
      </c>
      <c r="S111" s="127">
        <f>O81-K81</f>
        <v>113399.19667516707</v>
      </c>
      <c r="T111" s="127"/>
    </row>
    <row r="112" spans="1:20" x14ac:dyDescent="0.2">
      <c r="A112" s="208"/>
      <c r="B112" s="101"/>
      <c r="C112" s="8" t="s">
        <v>238</v>
      </c>
      <c r="D112" s="127">
        <f>D111</f>
        <v>124.253</v>
      </c>
      <c r="E112" s="127">
        <f>L58-J58</f>
        <v>630.34699999999998</v>
      </c>
      <c r="F112" s="127">
        <f>P58-L58</f>
        <v>1592.9459999999999</v>
      </c>
      <c r="G112" s="187">
        <f t="shared" si="30"/>
        <v>0.26851316225539351</v>
      </c>
      <c r="H112" s="236"/>
      <c r="I112" s="8"/>
      <c r="J112" s="8" t="s">
        <v>262</v>
      </c>
      <c r="K112" s="127">
        <f>K111</f>
        <v>35.559999999999995</v>
      </c>
      <c r="L112" s="127">
        <f>E75-C75</f>
        <v>4.1418004952269456</v>
      </c>
      <c r="M112" s="127">
        <v>1</v>
      </c>
      <c r="N112" s="237"/>
      <c r="O112" s="8"/>
      <c r="P112" s="8" t="s">
        <v>238</v>
      </c>
      <c r="Q112" s="127">
        <f>Q111</f>
        <v>72.2</v>
      </c>
      <c r="R112" s="127">
        <f>L81-J81</f>
        <v>6.5</v>
      </c>
      <c r="S112" s="127">
        <f>P81-L81</f>
        <v>23194.3</v>
      </c>
      <c r="T112" s="127"/>
    </row>
    <row r="113" spans="1:20" x14ac:dyDescent="0.2">
      <c r="A113" s="208"/>
      <c r="B113" s="101" t="s">
        <v>118</v>
      </c>
      <c r="C113" s="8" t="s">
        <v>241</v>
      </c>
      <c r="D113" s="127">
        <f>J59</f>
        <v>117.11</v>
      </c>
      <c r="E113" s="127">
        <f>K59-J59</f>
        <v>0.98000000000000398</v>
      </c>
      <c r="F113" s="127">
        <f>O59-K59</f>
        <v>708.54</v>
      </c>
      <c r="G113" s="187">
        <f t="shared" si="30"/>
        <v>1.1855364552460037E-3</v>
      </c>
      <c r="H113" s="236"/>
      <c r="I113" s="8"/>
      <c r="J113" s="8" t="s">
        <v>237</v>
      </c>
      <c r="K113" s="127">
        <f>K112</f>
        <v>35.559999999999995</v>
      </c>
      <c r="L113" s="127">
        <f>L111</f>
        <v>2.1400000000000077</v>
      </c>
      <c r="M113" s="127">
        <f>H75-D75</f>
        <v>0.22499999999999432</v>
      </c>
      <c r="N113" s="237"/>
      <c r="O113" s="103" t="s">
        <v>66</v>
      </c>
      <c r="P113" s="8" t="s">
        <v>312</v>
      </c>
      <c r="Q113" s="127">
        <f>J82</f>
        <v>24.173504913238883</v>
      </c>
      <c r="R113" s="127">
        <f>K82-J82</f>
        <v>64.589830674086016</v>
      </c>
      <c r="S113" s="127">
        <f>O82-K82</f>
        <v>8532.885081656601</v>
      </c>
      <c r="T113" s="127"/>
    </row>
    <row r="114" spans="1:20" x14ac:dyDescent="0.2">
      <c r="A114" s="208"/>
      <c r="B114" s="101"/>
      <c r="C114" s="8" t="s">
        <v>238</v>
      </c>
      <c r="D114" s="127">
        <f>D113</f>
        <v>117.11</v>
      </c>
      <c r="E114" s="127">
        <f>L59-J59</f>
        <v>1.4129999999999967</v>
      </c>
      <c r="F114" s="127">
        <f>P59-L59</f>
        <v>118.523</v>
      </c>
      <c r="G114" s="187">
        <f t="shared" si="30"/>
        <v>5.9608683546653251E-3</v>
      </c>
      <c r="H114" s="236"/>
      <c r="I114" s="8"/>
      <c r="J114" s="8" t="s">
        <v>238</v>
      </c>
      <c r="K114" s="127">
        <f>K113</f>
        <v>35.559999999999995</v>
      </c>
      <c r="L114" s="127">
        <f>L112</f>
        <v>4.1418004952269456</v>
      </c>
      <c r="M114" s="127">
        <v>0.2</v>
      </c>
      <c r="N114" s="237"/>
      <c r="P114" s="8" t="s">
        <v>238</v>
      </c>
      <c r="Q114" s="127">
        <f>Q113</f>
        <v>24.173504913238883</v>
      </c>
      <c r="R114" s="127">
        <f>L82-J82</f>
        <v>51.335408744063798</v>
      </c>
      <c r="S114" s="127">
        <f>P82-L82</f>
        <v>2182.5267797405781</v>
      </c>
      <c r="T114" s="127">
        <f>SUM(Q113:S113)/SUM(Q114:S114)</f>
        <v>3.8182073217231172</v>
      </c>
    </row>
    <row r="115" spans="1:20" x14ac:dyDescent="0.2">
      <c r="A115" s="208"/>
      <c r="B115" s="101" t="s">
        <v>156</v>
      </c>
      <c r="C115" s="8" t="s">
        <v>241</v>
      </c>
      <c r="D115" s="127">
        <f>J60</f>
        <v>60.526000000000003</v>
      </c>
      <c r="E115" s="127">
        <f>K60-J60</f>
        <v>506.17400000000004</v>
      </c>
      <c r="F115" s="127">
        <f>O60-K60</f>
        <v>6884.2030000000004</v>
      </c>
      <c r="G115" s="187">
        <f t="shared" si="30"/>
        <v>6.7934584573171877E-2</v>
      </c>
      <c r="H115" s="236"/>
      <c r="I115" s="105" t="s">
        <v>293</v>
      </c>
      <c r="J115" s="8" t="s">
        <v>263</v>
      </c>
      <c r="K115" s="127">
        <f>C76</f>
        <v>57.2</v>
      </c>
      <c r="L115" s="127">
        <f>D76-C76</f>
        <v>0.84999999999999432</v>
      </c>
      <c r="M115" s="127">
        <f>F76-D76</f>
        <v>0.47500000000000142</v>
      </c>
      <c r="N115" s="237"/>
      <c r="P115" s="8"/>
      <c r="Q115" s="127"/>
      <c r="R115" s="127"/>
      <c r="S115" s="127"/>
      <c r="T115" s="127"/>
    </row>
    <row r="116" spans="1:20" x14ac:dyDescent="0.2">
      <c r="A116" s="208"/>
      <c r="B116" s="101"/>
      <c r="C116" s="8" t="s">
        <v>238</v>
      </c>
      <c r="D116" s="127">
        <f>D115</f>
        <v>60.526000000000003</v>
      </c>
      <c r="E116" s="127">
        <f>L60-J60</f>
        <v>500.17400000000004</v>
      </c>
      <c r="F116" s="127">
        <f>P60-L60</f>
        <v>1545.59</v>
      </c>
      <c r="G116" s="187">
        <f t="shared" si="30"/>
        <v>0.23746682555583518</v>
      </c>
      <c r="H116" s="236"/>
      <c r="I116" s="8"/>
      <c r="J116" s="8" t="s">
        <v>262</v>
      </c>
      <c r="K116" s="127">
        <f>K115</f>
        <v>57.2</v>
      </c>
      <c r="L116" s="127">
        <f>E76-C76</f>
        <v>0.64999999999999858</v>
      </c>
      <c r="M116" s="127">
        <v>0.4</v>
      </c>
      <c r="N116" s="237"/>
      <c r="P116" s="8"/>
      <c r="Q116" s="127"/>
      <c r="R116" s="127"/>
      <c r="S116" s="127"/>
      <c r="T116" s="127"/>
    </row>
    <row r="117" spans="1:20" x14ac:dyDescent="0.2">
      <c r="A117" s="208"/>
      <c r="B117" s="101" t="s">
        <v>119</v>
      </c>
      <c r="C117" s="8" t="s">
        <v>241</v>
      </c>
      <c r="D117" s="127">
        <f>J61</f>
        <v>54.89</v>
      </c>
      <c r="E117" s="127">
        <f>K61-J61</f>
        <v>205.44</v>
      </c>
      <c r="F117" s="127">
        <f>O61-K61</f>
        <v>1113.2570000000001</v>
      </c>
      <c r="G117" s="187">
        <f t="shared" si="30"/>
        <v>0.1495646071198985</v>
      </c>
      <c r="H117" s="236"/>
      <c r="I117" s="8"/>
      <c r="J117" s="8" t="s">
        <v>237</v>
      </c>
      <c r="K117" s="127">
        <f>K116</f>
        <v>57.2</v>
      </c>
      <c r="L117" s="127">
        <f>L115</f>
        <v>0.84999999999999432</v>
      </c>
      <c r="M117" s="127">
        <f>H76-D76</f>
        <v>7.6000000000000085</v>
      </c>
      <c r="N117" s="237"/>
      <c r="P117" s="8"/>
      <c r="Q117" s="127"/>
      <c r="R117" s="127"/>
      <c r="S117" s="127"/>
      <c r="T117" s="127"/>
    </row>
    <row r="118" spans="1:20" x14ac:dyDescent="0.2">
      <c r="A118" s="208"/>
      <c r="B118" s="101"/>
      <c r="C118" s="8" t="s">
        <v>238</v>
      </c>
      <c r="D118" s="127">
        <f>D117</f>
        <v>54.89</v>
      </c>
      <c r="E118" s="127">
        <f>L61-J61</f>
        <v>120.105</v>
      </c>
      <c r="F118" s="127">
        <f>P61-L61</f>
        <v>288.81400000000002</v>
      </c>
      <c r="G118" s="187">
        <f t="shared" si="30"/>
        <v>0.25895357787365059</v>
      </c>
      <c r="H118" s="236"/>
      <c r="I118" s="8"/>
      <c r="J118" s="8" t="s">
        <v>238</v>
      </c>
      <c r="K118" s="127">
        <f>K117</f>
        <v>57.2</v>
      </c>
      <c r="L118" s="127">
        <f>L116</f>
        <v>0.64999999999999858</v>
      </c>
      <c r="M118" s="127">
        <f>I76-E76</f>
        <v>2.9499999999999957</v>
      </c>
      <c r="N118" s="237"/>
      <c r="P118" s="8"/>
      <c r="Q118" s="127"/>
      <c r="R118" s="127"/>
      <c r="S118" s="127"/>
      <c r="T118" s="127"/>
    </row>
    <row r="119" spans="1:20" x14ac:dyDescent="0.2">
      <c r="A119" s="208"/>
      <c r="B119" s="101" t="s">
        <v>120</v>
      </c>
      <c r="C119" s="8" t="s">
        <v>241</v>
      </c>
      <c r="D119" s="127">
        <f>J62</f>
        <v>23.056999999999999</v>
      </c>
      <c r="E119" s="127">
        <f>K62-J62</f>
        <v>68.908999999999992</v>
      </c>
      <c r="F119" s="127">
        <f>O62-K62</f>
        <v>1494.9584500000001</v>
      </c>
      <c r="G119" s="187">
        <f t="shared" si="30"/>
        <v>4.3422987149766328E-2</v>
      </c>
      <c r="H119" s="236"/>
      <c r="I119" s="105" t="s">
        <v>294</v>
      </c>
      <c r="J119" s="8" t="s">
        <v>263</v>
      </c>
      <c r="K119" s="127">
        <f>C77</f>
        <v>19.399999999999999</v>
      </c>
      <c r="L119" s="127">
        <f>D77-C77</f>
        <v>13</v>
      </c>
      <c r="M119" s="127">
        <f>F77-D77</f>
        <v>0.14999999999999858</v>
      </c>
      <c r="N119" s="237"/>
      <c r="P119" s="8"/>
      <c r="Q119" s="127"/>
      <c r="R119" s="127"/>
      <c r="S119" s="127"/>
      <c r="T119" s="127"/>
    </row>
    <row r="120" spans="1:20" x14ac:dyDescent="0.2">
      <c r="A120" s="208"/>
      <c r="B120" s="101"/>
      <c r="C120" s="8" t="s">
        <v>238</v>
      </c>
      <c r="D120" s="127">
        <f>D119</f>
        <v>23.056999999999999</v>
      </c>
      <c r="E120" s="127">
        <f>L62-J62</f>
        <v>50.311999999999998</v>
      </c>
      <c r="F120" s="127">
        <f>P62-L62</f>
        <v>288.35181999999998</v>
      </c>
      <c r="G120" s="187">
        <f t="shared" si="30"/>
        <v>0.13909069430949536</v>
      </c>
      <c r="H120" s="236"/>
      <c r="I120" s="8"/>
      <c r="J120" s="8" t="s">
        <v>262</v>
      </c>
      <c r="K120" s="127">
        <f>K119</f>
        <v>19.399999999999999</v>
      </c>
      <c r="L120" s="127">
        <f>E77-C77</f>
        <v>25.128464376639393</v>
      </c>
      <c r="M120" s="127">
        <v>0.14000000000000001</v>
      </c>
      <c r="N120" s="237"/>
      <c r="P120" s="8"/>
      <c r="Q120" s="127"/>
      <c r="R120" s="127"/>
      <c r="S120" s="127"/>
      <c r="T120" s="127"/>
    </row>
    <row r="121" spans="1:20" x14ac:dyDescent="0.2">
      <c r="A121" s="208"/>
      <c r="B121" s="101" t="s">
        <v>121</v>
      </c>
      <c r="C121" s="8" t="s">
        <v>241</v>
      </c>
      <c r="D121" s="127">
        <f>J63</f>
        <v>71.13</v>
      </c>
      <c r="E121" s="127">
        <f>K63-J63</f>
        <v>245.82800000000003</v>
      </c>
      <c r="F121" s="127">
        <f>O63-K63</f>
        <v>1615.422</v>
      </c>
      <c r="G121" s="187">
        <f t="shared" si="30"/>
        <v>0.12721514401929229</v>
      </c>
      <c r="H121" s="236"/>
      <c r="I121" s="8"/>
      <c r="J121" s="8" t="s">
        <v>237</v>
      </c>
      <c r="K121" s="127">
        <f>K120</f>
        <v>19.399999999999999</v>
      </c>
      <c r="L121" s="127">
        <f>L119</f>
        <v>13</v>
      </c>
      <c r="M121" s="127">
        <f>H77-D77</f>
        <v>10047.35</v>
      </c>
      <c r="N121" s="237"/>
      <c r="P121" s="8"/>
      <c r="Q121" s="127"/>
      <c r="R121" s="127"/>
      <c r="S121" s="127"/>
      <c r="T121" s="127"/>
    </row>
    <row r="122" spans="1:20" x14ac:dyDescent="0.2">
      <c r="A122" s="208"/>
      <c r="B122" s="101"/>
      <c r="C122" s="8" t="s">
        <v>238</v>
      </c>
      <c r="D122" s="127">
        <f>D121</f>
        <v>71.13</v>
      </c>
      <c r="E122" s="127">
        <f>L63-J63</f>
        <v>126.36500000000001</v>
      </c>
      <c r="F122" s="127">
        <f>P63-L63</f>
        <v>146.52100000000002</v>
      </c>
      <c r="G122" s="187">
        <f t="shared" si="30"/>
        <v>0.36732303148690759</v>
      </c>
      <c r="H122" s="236"/>
      <c r="I122" s="8"/>
      <c r="J122" s="8" t="s">
        <v>238</v>
      </c>
      <c r="K122" s="127">
        <f>K121</f>
        <v>19.399999999999999</v>
      </c>
      <c r="L122" s="127">
        <f>L120</f>
        <v>25.128464376639393</v>
      </c>
      <c r="M122" s="127">
        <f>I77-E77</f>
        <v>2998.8715356233606</v>
      </c>
      <c r="N122" s="237"/>
      <c r="P122" s="8"/>
      <c r="Q122" s="127"/>
      <c r="R122" s="127"/>
      <c r="S122" s="127"/>
      <c r="T122" s="127"/>
    </row>
    <row r="123" spans="1:20" x14ac:dyDescent="0.2">
      <c r="A123" s="208"/>
      <c r="B123" s="101" t="s">
        <v>122</v>
      </c>
      <c r="C123" s="8" t="s">
        <v>241</v>
      </c>
      <c r="D123" s="127">
        <f>J64</f>
        <v>64.617999999999995</v>
      </c>
      <c r="E123" s="127">
        <f>K64-J64</f>
        <v>21.311000000000007</v>
      </c>
      <c r="F123" s="127">
        <f>O64-K64</f>
        <v>1730.47235</v>
      </c>
      <c r="G123" s="187">
        <f t="shared" si="30"/>
        <v>1.1732539176983107E-2</v>
      </c>
      <c r="H123" s="236"/>
      <c r="I123" s="105" t="s">
        <v>295</v>
      </c>
      <c r="J123" s="8" t="s">
        <v>263</v>
      </c>
      <c r="K123" s="127">
        <f>C78</f>
        <v>10.6</v>
      </c>
      <c r="L123" s="127">
        <f>D78-C78</f>
        <v>0.37500000000000178</v>
      </c>
      <c r="M123" s="127">
        <v>0.01</v>
      </c>
      <c r="N123" s="237"/>
      <c r="P123" s="8"/>
      <c r="Q123" s="127"/>
      <c r="R123" s="127"/>
      <c r="S123" s="127"/>
      <c r="T123" s="127"/>
    </row>
    <row r="124" spans="1:20" x14ac:dyDescent="0.2">
      <c r="A124" s="208"/>
      <c r="B124" s="8"/>
      <c r="C124" s="8" t="s">
        <v>238</v>
      </c>
      <c r="D124" s="127">
        <f>D123</f>
        <v>64.617999999999995</v>
      </c>
      <c r="E124" s="127">
        <f>L64-J64</f>
        <v>15.560000000000002</v>
      </c>
      <c r="F124" s="127">
        <f>P64-L64</f>
        <v>404.06040999999999</v>
      </c>
      <c r="G124" s="187">
        <f t="shared" si="30"/>
        <v>3.21329322058529E-2</v>
      </c>
      <c r="H124" s="236"/>
      <c r="I124" s="8"/>
      <c r="J124" s="8" t="s">
        <v>262</v>
      </c>
      <c r="K124" s="127">
        <f>K123</f>
        <v>10.6</v>
      </c>
      <c r="L124" s="127">
        <f>E78-C78</f>
        <v>3.0499993785895096</v>
      </c>
      <c r="M124" s="127">
        <v>0.01</v>
      </c>
      <c r="N124" s="237"/>
      <c r="P124" s="8"/>
      <c r="Q124" s="127"/>
      <c r="R124" s="127"/>
      <c r="S124" s="127"/>
      <c r="T124" s="127"/>
    </row>
    <row r="125" spans="1:20" x14ac:dyDescent="0.2">
      <c r="A125" s="208"/>
      <c r="B125" s="101" t="s">
        <v>66</v>
      </c>
      <c r="C125" s="8" t="s">
        <v>241</v>
      </c>
      <c r="D125" s="127">
        <f>J65</f>
        <v>66.086180480459262</v>
      </c>
      <c r="E125" s="127">
        <f>K65-J65</f>
        <v>130.73419458447935</v>
      </c>
      <c r="F125" s="127">
        <f>O65-K65</f>
        <v>2096.7884868556212</v>
      </c>
      <c r="G125" s="187">
        <f t="shared" si="30"/>
        <v>5.6999341411250355E-2</v>
      </c>
      <c r="H125" s="236"/>
      <c r="I125" s="8"/>
      <c r="J125" s="8" t="s">
        <v>237</v>
      </c>
      <c r="K125" s="127">
        <f>K124</f>
        <v>10.6</v>
      </c>
      <c r="L125" s="127">
        <f>L123</f>
        <v>0.37500000000000178</v>
      </c>
      <c r="M125" s="127">
        <f>H78-D78</f>
        <v>237.35</v>
      </c>
      <c r="N125" s="237"/>
      <c r="P125" s="8"/>
      <c r="Q125" s="127"/>
      <c r="R125" s="127"/>
      <c r="S125" s="127"/>
      <c r="T125" s="127"/>
    </row>
    <row r="126" spans="1:20" x14ac:dyDescent="0.2">
      <c r="A126" s="108"/>
      <c r="B126" s="8"/>
      <c r="C126" s="8" t="s">
        <v>238</v>
      </c>
      <c r="D126" s="127">
        <f>D125</f>
        <v>66.086180480459262</v>
      </c>
      <c r="E126" s="127">
        <f>L65-J65</f>
        <v>97.718193810822044</v>
      </c>
      <c r="F126" s="127">
        <f>P65-L65</f>
        <v>416.87238836742767</v>
      </c>
      <c r="G126" s="246">
        <f>SUM(D125:F125)/SUM(D126:F126)</f>
        <v>3.9498891800301323</v>
      </c>
      <c r="H126" s="236"/>
      <c r="I126" s="8"/>
      <c r="J126" s="8" t="s">
        <v>238</v>
      </c>
      <c r="K126" s="127">
        <f>K125</f>
        <v>10.6</v>
      </c>
      <c r="L126" s="127">
        <f>L124</f>
        <v>3.0499993785895096</v>
      </c>
      <c r="M126" s="127">
        <f>I78-E78</f>
        <v>105.85000062141049</v>
      </c>
      <c r="N126" s="237"/>
      <c r="P126" s="8"/>
      <c r="Q126" s="127"/>
      <c r="R126" s="127"/>
      <c r="S126" s="127"/>
      <c r="T126" s="127"/>
    </row>
    <row r="127" spans="1:20" x14ac:dyDescent="0.2">
      <c r="A127" s="119"/>
      <c r="B127" s="105"/>
      <c r="C127" s="8"/>
      <c r="D127" s="127"/>
      <c r="E127" s="8"/>
      <c r="F127" s="114"/>
      <c r="G127" s="34"/>
      <c r="H127" s="236"/>
      <c r="I127" s="105" t="s">
        <v>296</v>
      </c>
      <c r="J127" s="8" t="s">
        <v>263</v>
      </c>
      <c r="K127" s="114">
        <f>C79</f>
        <v>59.279999999999994</v>
      </c>
      <c r="L127" s="114">
        <f>D79-C79</f>
        <v>9.0450000000000088</v>
      </c>
      <c r="M127" s="127">
        <f>F79-D79</f>
        <v>3.9500000000000028</v>
      </c>
      <c r="N127" s="237"/>
      <c r="P127" s="8"/>
      <c r="Q127" s="127"/>
      <c r="R127" s="114"/>
      <c r="S127" s="114"/>
      <c r="T127" s="127"/>
    </row>
    <row r="128" spans="1:20" x14ac:dyDescent="0.2">
      <c r="A128" s="119"/>
      <c r="B128" s="8"/>
      <c r="C128" s="8"/>
      <c r="D128" s="114"/>
      <c r="E128" s="114"/>
      <c r="F128" s="8"/>
      <c r="H128" s="236"/>
      <c r="I128" s="8"/>
      <c r="J128" s="8" t="s">
        <v>262</v>
      </c>
      <c r="K128" s="127">
        <f>K127</f>
        <v>59.279999999999994</v>
      </c>
      <c r="L128" s="114">
        <f>E79-C79</f>
        <v>37.441900965009218</v>
      </c>
      <c r="M128" s="127">
        <v>3</v>
      </c>
      <c r="N128" s="237"/>
      <c r="P128" s="8"/>
      <c r="Q128" s="127"/>
      <c r="R128" s="127"/>
      <c r="S128" s="114"/>
      <c r="T128" s="127"/>
    </row>
    <row r="129" spans="1:20" x14ac:dyDescent="0.2">
      <c r="A129" s="119"/>
      <c r="B129" s="105"/>
      <c r="C129" s="8"/>
      <c r="D129" s="127"/>
      <c r="E129" s="8"/>
      <c r="F129" s="8"/>
      <c r="G129" s="34"/>
      <c r="H129" s="236"/>
      <c r="I129" s="8"/>
      <c r="J129" s="8" t="s">
        <v>237</v>
      </c>
      <c r="K129" s="127">
        <f>K128</f>
        <v>59.279999999999994</v>
      </c>
      <c r="L129" s="127">
        <f>L127</f>
        <v>9.0450000000000088</v>
      </c>
      <c r="M129" s="127">
        <f>H79-D79</f>
        <v>4462.6750000000002</v>
      </c>
      <c r="N129" s="237"/>
      <c r="P129" s="8"/>
      <c r="Q129" s="127"/>
      <c r="R129" s="127"/>
      <c r="S129" s="127"/>
      <c r="T129" s="127"/>
    </row>
    <row r="130" spans="1:20" x14ac:dyDescent="0.2">
      <c r="A130" s="119"/>
      <c r="B130" s="8"/>
      <c r="C130" s="8"/>
      <c r="D130" s="114"/>
      <c r="E130" s="114"/>
      <c r="F130" s="8"/>
      <c r="H130" s="236"/>
      <c r="I130" s="8"/>
      <c r="J130" s="8" t="s">
        <v>238</v>
      </c>
      <c r="K130" s="127">
        <f>K129</f>
        <v>59.279999999999994</v>
      </c>
      <c r="L130" s="127">
        <f>L128</f>
        <v>37.441900965009218</v>
      </c>
      <c r="M130" s="127">
        <f>I79-E79</f>
        <v>3084.9780990349905</v>
      </c>
      <c r="N130" s="237"/>
      <c r="P130" s="8"/>
      <c r="Q130" s="127"/>
      <c r="R130" s="127"/>
      <c r="S130" s="127"/>
      <c r="T130" s="127"/>
    </row>
    <row r="131" spans="1:20" x14ac:dyDescent="0.2">
      <c r="A131" s="119"/>
      <c r="B131" s="105"/>
      <c r="C131" s="8"/>
      <c r="D131" s="127"/>
      <c r="E131" s="8"/>
      <c r="F131" s="8"/>
      <c r="H131" s="236"/>
      <c r="I131" s="105" t="s">
        <v>297</v>
      </c>
      <c r="J131" s="8" t="s">
        <v>263</v>
      </c>
      <c r="K131" s="127">
        <f>C80</f>
        <v>17.8</v>
      </c>
      <c r="L131" s="127">
        <f>D80-C80</f>
        <v>2.6750000000000007</v>
      </c>
      <c r="M131" s="127">
        <f>F80-D80</f>
        <v>0.75</v>
      </c>
      <c r="N131" s="237"/>
      <c r="P131" s="8"/>
      <c r="Q131" s="127"/>
      <c r="R131" s="127"/>
      <c r="S131" s="127"/>
      <c r="T131" s="127"/>
    </row>
    <row r="132" spans="1:20" x14ac:dyDescent="0.2">
      <c r="A132" s="119"/>
      <c r="B132" s="8"/>
      <c r="C132" s="8"/>
      <c r="D132" s="127"/>
      <c r="E132" s="8"/>
      <c r="F132" s="8"/>
      <c r="H132" s="236"/>
      <c r="I132" s="8"/>
      <c r="J132" s="8" t="s">
        <v>262</v>
      </c>
      <c r="K132" s="127">
        <f>K131</f>
        <v>17.8</v>
      </c>
      <c r="L132" s="127">
        <f>E80-C80</f>
        <v>7.4837527734428839</v>
      </c>
      <c r="M132" s="127">
        <v>0.7</v>
      </c>
      <c r="N132" s="237"/>
      <c r="P132" s="8"/>
      <c r="Q132" s="127"/>
      <c r="R132" s="127"/>
      <c r="S132" s="127"/>
      <c r="T132" s="127"/>
    </row>
    <row r="133" spans="1:20" x14ac:dyDescent="0.2">
      <c r="A133" s="119"/>
      <c r="B133" s="101"/>
      <c r="C133" s="8"/>
      <c r="D133" s="127"/>
      <c r="E133" s="8"/>
      <c r="F133" s="8"/>
      <c r="H133" s="236"/>
      <c r="I133" s="8"/>
      <c r="J133" s="8" t="s">
        <v>237</v>
      </c>
      <c r="K133" s="127">
        <f>K132</f>
        <v>17.8</v>
      </c>
      <c r="L133" s="127">
        <f>L131</f>
        <v>2.6750000000000007</v>
      </c>
      <c r="M133" s="127">
        <f>H80-D80</f>
        <v>365.05833333333328</v>
      </c>
      <c r="N133" s="237"/>
      <c r="P133" s="8"/>
      <c r="Q133" s="127"/>
      <c r="R133" s="127"/>
      <c r="S133" s="127"/>
      <c r="T133" s="127"/>
    </row>
    <row r="134" spans="1:20" x14ac:dyDescent="0.2">
      <c r="A134" s="119"/>
      <c r="B134" s="8"/>
      <c r="C134" s="8"/>
      <c r="D134" s="127"/>
      <c r="E134" s="8"/>
      <c r="F134" s="8"/>
      <c r="H134" s="236"/>
      <c r="I134" s="8"/>
      <c r="J134" s="8" t="s">
        <v>238</v>
      </c>
      <c r="K134" s="127">
        <f>K133</f>
        <v>17.8</v>
      </c>
      <c r="L134" s="127">
        <f>L132</f>
        <v>7.4837527734428839</v>
      </c>
      <c r="M134" s="127">
        <f>I80-E80</f>
        <v>148.71624722655713</v>
      </c>
      <c r="N134" s="237"/>
      <c r="P134" s="8"/>
      <c r="Q134" s="127"/>
      <c r="R134" s="127"/>
      <c r="S134" s="127"/>
      <c r="T134" s="127"/>
    </row>
    <row r="135" spans="1:20" x14ac:dyDescent="0.2">
      <c r="H135" s="236"/>
      <c r="I135" s="105" t="s">
        <v>298</v>
      </c>
      <c r="J135" s="8" t="s">
        <v>263</v>
      </c>
      <c r="K135" s="127">
        <f>C81</f>
        <v>62.519999999999996</v>
      </c>
      <c r="L135" s="127">
        <f>D81-C81</f>
        <v>7.605000000000004</v>
      </c>
      <c r="M135" s="127">
        <f>F81-D81</f>
        <v>2.4249999999999972</v>
      </c>
      <c r="N135" s="237"/>
      <c r="P135" s="8"/>
      <c r="Q135" s="127"/>
      <c r="R135" s="127"/>
      <c r="S135" s="127"/>
      <c r="T135" s="127"/>
    </row>
    <row r="136" spans="1:20" x14ac:dyDescent="0.2">
      <c r="H136" s="236"/>
      <c r="I136" s="8"/>
      <c r="J136" s="8" t="s">
        <v>262</v>
      </c>
      <c r="K136" s="127">
        <f>K135</f>
        <v>62.519999999999996</v>
      </c>
      <c r="L136" s="127">
        <f>E81-C81</f>
        <v>19.573494149464992</v>
      </c>
      <c r="M136" s="127">
        <v>2.4</v>
      </c>
      <c r="N136" s="237"/>
      <c r="P136" s="8"/>
      <c r="Q136" s="127"/>
      <c r="R136" s="127"/>
      <c r="S136" s="127"/>
      <c r="T136" s="127"/>
    </row>
    <row r="137" spans="1:20" x14ac:dyDescent="0.2">
      <c r="H137" s="236"/>
      <c r="I137" s="8"/>
      <c r="J137" s="8" t="s">
        <v>237</v>
      </c>
      <c r="K137" s="127">
        <f>K136</f>
        <v>62.519999999999996</v>
      </c>
      <c r="L137" s="127">
        <f>L135</f>
        <v>7.605000000000004</v>
      </c>
      <c r="M137" s="127">
        <f>H81-D81</f>
        <v>154.00833333333333</v>
      </c>
      <c r="N137" s="237"/>
      <c r="P137" s="8"/>
      <c r="Q137" s="127"/>
      <c r="R137" s="127"/>
      <c r="S137" s="127"/>
      <c r="T137" s="127"/>
    </row>
    <row r="138" spans="1:20" x14ac:dyDescent="0.2">
      <c r="H138" s="236"/>
      <c r="I138" s="8"/>
      <c r="J138" s="8" t="s">
        <v>238</v>
      </c>
      <c r="K138" s="127">
        <f>K137</f>
        <v>62.519999999999996</v>
      </c>
      <c r="L138" s="127">
        <f>L136</f>
        <v>19.573494149464992</v>
      </c>
      <c r="M138" s="127">
        <f>I81-E81</f>
        <v>46.256505850535035</v>
      </c>
      <c r="N138" s="237"/>
      <c r="O138" s="8"/>
      <c r="P138" s="8"/>
      <c r="Q138" s="127"/>
      <c r="R138" s="127"/>
      <c r="S138" s="127"/>
      <c r="T138" s="127"/>
    </row>
    <row r="139" spans="1:20" x14ac:dyDescent="0.2">
      <c r="H139" s="236"/>
      <c r="I139" s="103" t="s">
        <v>66</v>
      </c>
      <c r="J139" s="8" t="s">
        <v>263</v>
      </c>
      <c r="K139" s="127">
        <v>22.679583581508744</v>
      </c>
      <c r="L139" s="127">
        <v>2.3770527252564584</v>
      </c>
      <c r="M139" s="127">
        <v>0.48441841721726636</v>
      </c>
      <c r="N139" s="237"/>
      <c r="P139" s="8"/>
      <c r="Q139" s="127"/>
      <c r="R139" s="127"/>
      <c r="S139" s="127"/>
      <c r="T139" s="127"/>
    </row>
    <row r="140" spans="1:20" x14ac:dyDescent="0.2">
      <c r="H140" s="236"/>
      <c r="I140" s="8"/>
      <c r="J140" s="8" t="s">
        <v>262</v>
      </c>
      <c r="K140" s="127">
        <v>22.679583581508744</v>
      </c>
      <c r="L140" s="127">
        <v>6.7575789884760038</v>
      </c>
      <c r="M140" s="127">
        <v>0.34556102562843694</v>
      </c>
      <c r="N140" s="237"/>
      <c r="O140" s="8"/>
      <c r="P140" s="8"/>
      <c r="Q140" s="127"/>
      <c r="R140" s="127"/>
      <c r="S140" s="127"/>
      <c r="T140" s="127"/>
    </row>
    <row r="141" spans="1:20" x14ac:dyDescent="0.2">
      <c r="H141" s="236"/>
      <c r="I141" s="8"/>
      <c r="J141" s="8" t="s">
        <v>237</v>
      </c>
      <c r="K141" s="127">
        <v>22.679583581508744</v>
      </c>
      <c r="L141" s="127">
        <v>2.3770527252564584</v>
      </c>
      <c r="M141" s="127">
        <v>194.3991547576407</v>
      </c>
      <c r="N141" s="237"/>
      <c r="O141" s="8"/>
      <c r="P141" s="8"/>
      <c r="Q141" s="127"/>
      <c r="R141" s="127"/>
      <c r="S141" s="127"/>
      <c r="T141" s="127"/>
    </row>
    <row r="142" spans="1:20" x14ac:dyDescent="0.2">
      <c r="H142" s="236"/>
      <c r="I142" s="8"/>
      <c r="J142" s="8" t="s">
        <v>238</v>
      </c>
      <c r="K142" s="127">
        <v>22.679583581508744</v>
      </c>
      <c r="L142" s="127">
        <v>6.7575789884760038</v>
      </c>
      <c r="M142" s="127">
        <v>83.127289614571438</v>
      </c>
      <c r="N142" s="237"/>
      <c r="O142" s="8"/>
      <c r="P142" s="8"/>
      <c r="Q142" s="127"/>
      <c r="R142" s="127"/>
      <c r="S142" s="127"/>
      <c r="T142" s="127"/>
    </row>
    <row r="143" spans="1:20" x14ac:dyDescent="0.2">
      <c r="N143">
        <f>SUM(K138:M138)/SUM(K137:M137)</f>
        <v>0.57265020820939927</v>
      </c>
    </row>
    <row r="144" spans="1:20" x14ac:dyDescent="0.2">
      <c r="K144">
        <f>GEOMEAN(K87,K91,K95,K99,K103,K107,K111,K115,K119,K123,K127,K131,K135)</f>
        <v>22.679583581508744</v>
      </c>
      <c r="L144">
        <f>GEOMEAN(L87,L91,L95,L99,L103,L107,L111,L115,L119,L123,L127,L131,L135)</f>
        <v>2.3770527252564584</v>
      </c>
      <c r="M144">
        <f>GEOMEAN(M87,M91,M95,M99,M103,M107,M111,M115,M119,M123,M127,M131,M135)</f>
        <v>0.48441841721726636</v>
      </c>
      <c r="N144" s="247">
        <f>SUM(K141:M141)/SUM(K142:M142)</f>
        <v>1.949601200071537</v>
      </c>
    </row>
    <row r="145" spans="11:14" x14ac:dyDescent="0.2">
      <c r="K145">
        <f>GEOMEAN(K88,K92,K96,K100,K104,K108,K112,K116,K120,K124,K128,K132,K136)</f>
        <v>22.679583581508744</v>
      </c>
      <c r="L145">
        <f>GEOMEAN(L88,L92,L96,L100,L104,L108,L112,L116,L120,L124,L128,L132,L136)</f>
        <v>6.7575789884760038</v>
      </c>
      <c r="M145">
        <f t="shared" ref="M145:M148" si="31">GEOMEAN(M88,M92,M96,M100,M104,M108,M112,M116,M120,M124,M128,M132,M136)</f>
        <v>0.34556102562843694</v>
      </c>
    </row>
    <row r="146" spans="11:14" x14ac:dyDescent="0.2">
      <c r="K146">
        <f>GEOMEAN(K89,K93,K97,K101,K105,K109,K113,K117,K121,K125,K129,K133,K137)</f>
        <v>22.679583581508744</v>
      </c>
      <c r="L146">
        <f>GEOMEAN(L89,L93,L97,L101,L105,L109,L113,L117,L121,L125,L129,L133,L137)</f>
        <v>2.3770527252564584</v>
      </c>
      <c r="M146">
        <f t="shared" si="31"/>
        <v>194.3991547576407</v>
      </c>
      <c r="N146">
        <f>L140/L139</f>
        <v>2.8428393348939847</v>
      </c>
    </row>
    <row r="147" spans="11:14" x14ac:dyDescent="0.2">
      <c r="K147">
        <f>GEOMEAN(K90,K94,K98,K102,K106,K110,K114,K118,K122,K126,K130,K134,K138)</f>
        <v>22.679583581508744</v>
      </c>
      <c r="L147">
        <f>GEOMEAN(L90,L94,L98,L102,L106,L110,L114,L118,L122,L126,L130,L134,L138)</f>
        <v>6.7575789884760038</v>
      </c>
      <c r="M147">
        <f t="shared" si="31"/>
        <v>83.127289614571438</v>
      </c>
      <c r="N147">
        <f>L142/L141</f>
        <v>2.8428393348939847</v>
      </c>
    </row>
    <row r="167" spans="1:16" x14ac:dyDescent="0.2">
      <c r="A167" s="219" t="s">
        <v>274</v>
      </c>
      <c r="B167" s="220"/>
      <c r="C167" s="201" t="s">
        <v>22</v>
      </c>
      <c r="D167" s="201" t="s">
        <v>130</v>
      </c>
      <c r="E167" s="203" t="s">
        <v>269</v>
      </c>
      <c r="F167" s="203" t="s">
        <v>270</v>
      </c>
      <c r="G167" s="201" t="s">
        <v>342</v>
      </c>
      <c r="H167" s="234" t="s">
        <v>273</v>
      </c>
      <c r="I167" s="235"/>
      <c r="J167" s="203" t="s">
        <v>127</v>
      </c>
      <c r="K167" s="233" t="s">
        <v>276</v>
      </c>
      <c r="L167" s="233"/>
      <c r="M167" s="233"/>
      <c r="N167" s="96" t="s">
        <v>277</v>
      </c>
      <c r="O167" s="97"/>
    </row>
    <row r="168" spans="1:16" x14ac:dyDescent="0.2">
      <c r="A168" s="221"/>
      <c r="B168" s="222"/>
      <c r="C168" s="202"/>
      <c r="D168" s="202"/>
      <c r="E168" s="204"/>
      <c r="F168" s="204"/>
      <c r="G168" s="202"/>
      <c r="H168" s="93" t="s">
        <v>167</v>
      </c>
      <c r="I168" s="93" t="s">
        <v>275</v>
      </c>
      <c r="J168" s="204"/>
      <c r="K168" s="93" t="s">
        <v>167</v>
      </c>
      <c r="L168" s="93" t="s">
        <v>275</v>
      </c>
      <c r="M168" s="18" t="s">
        <v>299</v>
      </c>
      <c r="N168" s="93" t="s">
        <v>278</v>
      </c>
      <c r="O168" s="106" t="s">
        <v>279</v>
      </c>
    </row>
    <row r="169" spans="1:16" ht="18" x14ac:dyDescent="0.2">
      <c r="A169" s="207" t="s">
        <v>271</v>
      </c>
      <c r="B169" s="99" t="s">
        <v>116</v>
      </c>
      <c r="C169" s="100">
        <v>102</v>
      </c>
      <c r="D169" s="100">
        <v>2067</v>
      </c>
      <c r="E169" s="100">
        <v>1962</v>
      </c>
      <c r="F169" s="98">
        <f t="shared" ref="F169:F190" si="32" xml:space="preserve"> (E169/D169)</f>
        <v>0.94920174165457183</v>
      </c>
      <c r="G169" s="100">
        <v>66</v>
      </c>
      <c r="H169" s="100">
        <v>16077</v>
      </c>
      <c r="I169" s="100">
        <v>16077</v>
      </c>
      <c r="J169" s="98">
        <v>36</v>
      </c>
      <c r="K169" s="152">
        <v>569999428</v>
      </c>
      <c r="L169" s="3">
        <v>662301863</v>
      </c>
      <c r="M169" s="18">
        <f>L169/K169</f>
        <v>1.1619342589936774</v>
      </c>
      <c r="N169" s="100" t="s">
        <v>153</v>
      </c>
      <c r="O169" s="3">
        <v>662301863</v>
      </c>
      <c r="P169" s="84">
        <f>D169-E169</f>
        <v>105</v>
      </c>
    </row>
    <row r="170" spans="1:16" ht="18" x14ac:dyDescent="0.2">
      <c r="A170" s="208"/>
      <c r="B170" s="101" t="s">
        <v>117</v>
      </c>
      <c r="C170" s="100">
        <v>2226</v>
      </c>
      <c r="D170" s="100">
        <v>56033</v>
      </c>
      <c r="E170" s="100">
        <v>51337</v>
      </c>
      <c r="F170" s="98">
        <f t="shared" si="32"/>
        <v>0.91619224385629894</v>
      </c>
      <c r="G170" s="100">
        <v>6729</v>
      </c>
      <c r="H170" s="100">
        <v>65117646</v>
      </c>
      <c r="I170" s="100">
        <v>65117646</v>
      </c>
      <c r="J170" s="98">
        <v>179</v>
      </c>
      <c r="K170" s="152">
        <v>2580557468</v>
      </c>
      <c r="L170" s="3">
        <v>4555757974</v>
      </c>
      <c r="M170" s="18">
        <f t="shared" ref="M170:M190" si="33">L170/K170</f>
        <v>1.7654162057979017</v>
      </c>
      <c r="N170" s="100" t="s">
        <v>153</v>
      </c>
      <c r="O170" s="3">
        <v>4555757974</v>
      </c>
      <c r="P170" s="84">
        <f t="shared" ref="P170:P190" si="34">D170-E170</f>
        <v>4696</v>
      </c>
    </row>
    <row r="171" spans="1:16" ht="18" x14ac:dyDescent="0.2">
      <c r="A171" s="208"/>
      <c r="B171" s="101" t="s">
        <v>115</v>
      </c>
      <c r="C171" s="100">
        <v>25</v>
      </c>
      <c r="D171" s="100">
        <v>137</v>
      </c>
      <c r="E171" s="100">
        <v>113</v>
      </c>
      <c r="F171" s="98">
        <f t="shared" si="32"/>
        <v>0.82481751824817517</v>
      </c>
      <c r="G171" s="100">
        <v>48</v>
      </c>
      <c r="H171" s="100">
        <v>188</v>
      </c>
      <c r="I171" s="100">
        <v>188</v>
      </c>
      <c r="J171" s="98">
        <v>2.6</v>
      </c>
      <c r="K171" s="152">
        <v>313611480</v>
      </c>
      <c r="L171" s="3">
        <v>20604088422</v>
      </c>
      <c r="M171" s="18">
        <f t="shared" si="33"/>
        <v>65.69940750255698</v>
      </c>
      <c r="N171" s="100" t="s">
        <v>153</v>
      </c>
      <c r="O171" s="3">
        <v>20604088422</v>
      </c>
      <c r="P171" s="84">
        <f t="shared" si="34"/>
        <v>24</v>
      </c>
    </row>
    <row r="172" spans="1:16" ht="18" x14ac:dyDescent="0.2">
      <c r="A172" s="208"/>
      <c r="B172" s="101" t="s">
        <v>118</v>
      </c>
      <c r="C172" s="100">
        <v>19</v>
      </c>
      <c r="D172" s="100">
        <v>56</v>
      </c>
      <c r="E172" s="100">
        <v>38</v>
      </c>
      <c r="F172" s="98">
        <f t="shared" si="32"/>
        <v>0.6785714285714286</v>
      </c>
      <c r="G172" s="100">
        <v>0</v>
      </c>
      <c r="H172" s="100">
        <v>70</v>
      </c>
      <c r="I172" s="100">
        <v>70</v>
      </c>
      <c r="J172" s="98">
        <v>1.1000000000000001</v>
      </c>
      <c r="K172" s="152">
        <v>29461</v>
      </c>
      <c r="L172" s="3">
        <v>2651595</v>
      </c>
      <c r="M172" s="18">
        <f t="shared" si="33"/>
        <v>90.003564033807407</v>
      </c>
      <c r="N172" s="100" t="s">
        <v>153</v>
      </c>
      <c r="O172" s="3">
        <v>2651595</v>
      </c>
      <c r="P172" s="84">
        <f t="shared" si="34"/>
        <v>18</v>
      </c>
    </row>
    <row r="173" spans="1:16" ht="18" x14ac:dyDescent="0.2">
      <c r="A173" s="208"/>
      <c r="B173" s="101" t="s">
        <v>156</v>
      </c>
      <c r="C173" s="100">
        <v>4007</v>
      </c>
      <c r="D173" s="100">
        <v>170354</v>
      </c>
      <c r="E173" s="100">
        <v>24674</v>
      </c>
      <c r="F173" s="98">
        <f t="shared" si="32"/>
        <v>0.14483956936731746</v>
      </c>
      <c r="G173" s="100">
        <v>2977</v>
      </c>
      <c r="H173" s="100">
        <v>96429161011</v>
      </c>
      <c r="I173" s="100">
        <v>96429161011</v>
      </c>
      <c r="J173" s="98"/>
      <c r="K173" s="152">
        <f>L173*0.9</f>
        <v>22391652949.200001</v>
      </c>
      <c r="L173" s="5">
        <v>24879614388</v>
      </c>
      <c r="M173" s="18">
        <f t="shared" si="33"/>
        <v>1.1111111111111112</v>
      </c>
      <c r="N173" s="100" t="s">
        <v>153</v>
      </c>
      <c r="O173" s="5">
        <v>24879614388</v>
      </c>
      <c r="P173" s="84">
        <f t="shared" si="34"/>
        <v>145680</v>
      </c>
    </row>
    <row r="174" spans="1:16" ht="18" x14ac:dyDescent="0.2">
      <c r="A174" s="208"/>
      <c r="B174" s="101" t="s">
        <v>119</v>
      </c>
      <c r="C174" s="102" t="s">
        <v>159</v>
      </c>
      <c r="D174" s="100">
        <v>33617</v>
      </c>
      <c r="E174" s="100">
        <v>18885</v>
      </c>
      <c r="F174" s="98">
        <f t="shared" si="32"/>
        <v>0.56176934289198921</v>
      </c>
      <c r="G174" s="100">
        <v>60</v>
      </c>
      <c r="H174" s="100">
        <v>10316506067</v>
      </c>
      <c r="I174" s="100">
        <v>10316506067</v>
      </c>
      <c r="J174" s="98">
        <v>70</v>
      </c>
      <c r="K174" s="152">
        <v>1434068823</v>
      </c>
      <c r="L174" s="3">
        <v>9984356426</v>
      </c>
      <c r="M174" s="18">
        <f t="shared" si="33"/>
        <v>6.962257505266189</v>
      </c>
      <c r="N174" s="100" t="s">
        <v>153</v>
      </c>
      <c r="O174" s="3">
        <v>9984356426</v>
      </c>
      <c r="P174" s="84">
        <f t="shared" si="34"/>
        <v>14732</v>
      </c>
    </row>
    <row r="175" spans="1:16" ht="18" x14ac:dyDescent="0.2">
      <c r="A175" s="208"/>
      <c r="B175" s="101" t="s">
        <v>120</v>
      </c>
      <c r="C175" s="100">
        <v>398</v>
      </c>
      <c r="D175" s="100">
        <v>21323</v>
      </c>
      <c r="E175" s="100">
        <v>20926</v>
      </c>
      <c r="F175" s="98">
        <f t="shared" si="32"/>
        <v>0.98138160671575292</v>
      </c>
      <c r="G175" s="100">
        <v>17911</v>
      </c>
      <c r="H175" s="100">
        <v>18929528</v>
      </c>
      <c r="I175" s="100">
        <v>18929528</v>
      </c>
      <c r="J175" s="98">
        <v>310</v>
      </c>
      <c r="K175" s="152">
        <v>1384135655</v>
      </c>
      <c r="L175" s="3">
        <v>3265253366</v>
      </c>
      <c r="M175" s="18">
        <f t="shared" si="33"/>
        <v>2.3590558874809133</v>
      </c>
      <c r="N175" s="100" t="s">
        <v>153</v>
      </c>
      <c r="O175" s="3">
        <v>3265253366</v>
      </c>
      <c r="P175" s="84">
        <f t="shared" si="34"/>
        <v>397</v>
      </c>
    </row>
    <row r="176" spans="1:16" ht="18" x14ac:dyDescent="0.2">
      <c r="A176" s="208"/>
      <c r="B176" s="101" t="s">
        <v>121</v>
      </c>
      <c r="C176" s="100">
        <v>115</v>
      </c>
      <c r="D176" s="100">
        <v>802</v>
      </c>
      <c r="E176" s="100">
        <v>680</v>
      </c>
      <c r="F176" s="98">
        <f t="shared" si="32"/>
        <v>0.84788029925187036</v>
      </c>
      <c r="G176" s="100">
        <v>0</v>
      </c>
      <c r="H176" s="100">
        <v>4925</v>
      </c>
      <c r="I176" s="100">
        <v>4925</v>
      </c>
      <c r="J176" s="98">
        <v>11</v>
      </c>
      <c r="K176" s="152">
        <v>8958906192</v>
      </c>
      <c r="L176" s="3">
        <v>11536625846</v>
      </c>
      <c r="M176" s="18">
        <f t="shared" si="33"/>
        <v>1.2877270504631264</v>
      </c>
      <c r="N176" s="100" t="s">
        <v>153</v>
      </c>
      <c r="O176" s="3">
        <v>11536625846</v>
      </c>
      <c r="P176" s="84">
        <f t="shared" si="34"/>
        <v>122</v>
      </c>
    </row>
    <row r="177" spans="1:16" ht="18" x14ac:dyDescent="0.2">
      <c r="A177" s="227"/>
      <c r="B177" s="101" t="s">
        <v>122</v>
      </c>
      <c r="C177" s="100">
        <v>139</v>
      </c>
      <c r="D177" s="100">
        <v>1982</v>
      </c>
      <c r="E177" s="100">
        <v>1664</v>
      </c>
      <c r="F177" s="98">
        <f t="shared" si="32"/>
        <v>0.83955600403632691</v>
      </c>
      <c r="G177" s="100">
        <v>1651</v>
      </c>
      <c r="H177" s="100">
        <v>516678285489</v>
      </c>
      <c r="I177" s="100">
        <v>516678285489</v>
      </c>
      <c r="J177" s="98">
        <v>31</v>
      </c>
      <c r="K177" s="152">
        <v>9246369</v>
      </c>
      <c r="L177" s="3" t="s">
        <v>242</v>
      </c>
      <c r="M177" s="248">
        <f>4400000000/K177</f>
        <v>475.86247098726</v>
      </c>
      <c r="N177" s="100" t="s">
        <v>153</v>
      </c>
      <c r="O177" s="3" t="s">
        <v>242</v>
      </c>
      <c r="P177" s="84">
        <f t="shared" si="34"/>
        <v>318</v>
      </c>
    </row>
    <row r="178" spans="1:16" x14ac:dyDescent="0.2">
      <c r="A178" s="228" t="s">
        <v>272</v>
      </c>
      <c r="B178" s="103" t="s">
        <v>91</v>
      </c>
      <c r="C178" s="100">
        <v>73</v>
      </c>
      <c r="D178" s="100">
        <v>270</v>
      </c>
      <c r="E178" s="100">
        <v>198</v>
      </c>
      <c r="F178" s="98">
        <f t="shared" si="32"/>
        <v>0.73333333333333328</v>
      </c>
      <c r="G178" s="100">
        <v>0</v>
      </c>
      <c r="H178" s="100">
        <v>495</v>
      </c>
      <c r="I178" s="100">
        <v>495</v>
      </c>
      <c r="J178" s="98">
        <v>5.4</v>
      </c>
      <c r="K178" s="104">
        <v>9034225961</v>
      </c>
      <c r="L178" s="104">
        <v>12332233095</v>
      </c>
      <c r="M178" s="18">
        <f t="shared" si="33"/>
        <v>1.3650569676071</v>
      </c>
      <c r="N178" s="100">
        <v>2925361</v>
      </c>
      <c r="O178" s="105">
        <v>12332233095</v>
      </c>
      <c r="P178" s="84">
        <f t="shared" si="34"/>
        <v>72</v>
      </c>
    </row>
    <row r="179" spans="1:16" x14ac:dyDescent="0.2">
      <c r="A179" s="210"/>
      <c r="B179" s="103" t="s">
        <v>92</v>
      </c>
      <c r="C179" s="100">
        <v>155</v>
      </c>
      <c r="D179" s="100">
        <v>544</v>
      </c>
      <c r="E179" s="100">
        <v>390</v>
      </c>
      <c r="F179" s="98">
        <f t="shared" si="32"/>
        <v>0.71691176470588236</v>
      </c>
      <c r="G179" s="100">
        <v>0</v>
      </c>
      <c r="H179" s="100">
        <v>4835</v>
      </c>
      <c r="I179" s="100">
        <v>4835</v>
      </c>
      <c r="J179" s="98">
        <v>11</v>
      </c>
      <c r="K179" s="104">
        <v>1068591</v>
      </c>
      <c r="L179" s="104">
        <v>1627182</v>
      </c>
      <c r="M179" s="18">
        <f t="shared" si="33"/>
        <v>1.5227360140596355</v>
      </c>
      <c r="N179" s="100">
        <v>32</v>
      </c>
      <c r="O179" s="105">
        <v>1627182</v>
      </c>
      <c r="P179" s="84">
        <f t="shared" si="34"/>
        <v>154</v>
      </c>
    </row>
    <row r="180" spans="1:16" x14ac:dyDescent="0.2">
      <c r="A180" s="210"/>
      <c r="B180" s="103" t="s">
        <v>93</v>
      </c>
      <c r="C180" s="100">
        <v>39</v>
      </c>
      <c r="D180" s="100">
        <v>201</v>
      </c>
      <c r="E180" s="100">
        <v>163</v>
      </c>
      <c r="F180" s="98">
        <f t="shared" si="32"/>
        <v>0.81094527363184077</v>
      </c>
      <c r="G180" s="100">
        <v>0</v>
      </c>
      <c r="H180" s="100">
        <v>421</v>
      </c>
      <c r="I180" s="100">
        <v>421</v>
      </c>
      <c r="J180" s="98">
        <v>4.2</v>
      </c>
      <c r="K180" s="104">
        <v>536903807</v>
      </c>
      <c r="L180" s="104">
        <v>1610727582</v>
      </c>
      <c r="M180" s="18">
        <f t="shared" si="33"/>
        <v>3.000030100363956</v>
      </c>
      <c r="N180" s="100">
        <v>14</v>
      </c>
      <c r="O180" s="105">
        <v>1610727582</v>
      </c>
      <c r="P180" s="84">
        <f t="shared" si="34"/>
        <v>38</v>
      </c>
    </row>
    <row r="181" spans="1:16" x14ac:dyDescent="0.2">
      <c r="A181" s="210"/>
      <c r="B181" s="103" t="s">
        <v>94</v>
      </c>
      <c r="C181" s="100">
        <v>115</v>
      </c>
      <c r="D181" s="100">
        <v>562</v>
      </c>
      <c r="E181" s="100">
        <v>446</v>
      </c>
      <c r="F181" s="98">
        <f t="shared" si="32"/>
        <v>0.79359430604982206</v>
      </c>
      <c r="G181" s="100">
        <v>38</v>
      </c>
      <c r="H181" s="100">
        <v>14513</v>
      </c>
      <c r="I181" s="100">
        <v>14513</v>
      </c>
      <c r="J181" s="98">
        <v>12</v>
      </c>
      <c r="K181" s="104">
        <v>285789713</v>
      </c>
      <c r="L181" s="104">
        <v>494976927</v>
      </c>
      <c r="M181" s="18">
        <f t="shared" si="33"/>
        <v>1.731962014322048</v>
      </c>
      <c r="N181" s="100">
        <v>2781202</v>
      </c>
      <c r="O181" s="105">
        <v>494976927</v>
      </c>
      <c r="P181" s="84">
        <f t="shared" si="34"/>
        <v>116</v>
      </c>
    </row>
    <row r="182" spans="1:16" x14ac:dyDescent="0.2">
      <c r="A182" s="210"/>
      <c r="B182" s="103" t="s">
        <v>95</v>
      </c>
      <c r="C182" s="100">
        <v>39</v>
      </c>
      <c r="D182" s="100">
        <v>170</v>
      </c>
      <c r="E182" s="100">
        <v>132</v>
      </c>
      <c r="F182" s="98">
        <f t="shared" si="32"/>
        <v>0.77647058823529413</v>
      </c>
      <c r="G182" s="100">
        <v>0</v>
      </c>
      <c r="H182" s="100">
        <v>241</v>
      </c>
      <c r="I182" s="100">
        <v>241</v>
      </c>
      <c r="J182" s="98">
        <v>3.7</v>
      </c>
      <c r="K182" s="104">
        <v>1446937674</v>
      </c>
      <c r="L182" s="104">
        <v>1469503198</v>
      </c>
      <c r="M182" s="18">
        <f t="shared" si="33"/>
        <v>1.0155953669639539</v>
      </c>
      <c r="N182" s="100">
        <v>1030</v>
      </c>
      <c r="O182" s="105">
        <v>1469503198</v>
      </c>
      <c r="P182" s="84">
        <f t="shared" si="34"/>
        <v>38</v>
      </c>
    </row>
    <row r="183" spans="1:16" x14ac:dyDescent="0.2">
      <c r="A183" s="210"/>
      <c r="B183" s="103" t="s">
        <v>96</v>
      </c>
      <c r="C183" s="100">
        <v>36</v>
      </c>
      <c r="D183" s="100">
        <v>158</v>
      </c>
      <c r="E183" s="100">
        <v>123</v>
      </c>
      <c r="F183" s="98">
        <f t="shared" si="32"/>
        <v>0.77848101265822789</v>
      </c>
      <c r="G183" s="100">
        <v>0</v>
      </c>
      <c r="H183" s="100">
        <v>228</v>
      </c>
      <c r="I183" s="100">
        <v>228</v>
      </c>
      <c r="J183" s="98">
        <v>3.4</v>
      </c>
      <c r="K183" s="104">
        <v>1442920259</v>
      </c>
      <c r="L183" s="104">
        <v>1469372122</v>
      </c>
      <c r="M183" s="18">
        <f t="shared" si="33"/>
        <v>1.0183321724364256</v>
      </c>
      <c r="N183" s="100">
        <v>1030</v>
      </c>
      <c r="O183" s="105">
        <v>1469372122</v>
      </c>
      <c r="P183" s="84">
        <f t="shared" si="34"/>
        <v>35</v>
      </c>
    </row>
    <row r="184" spans="1:16" x14ac:dyDescent="0.2">
      <c r="A184" s="210"/>
      <c r="B184" s="103" t="s">
        <v>97</v>
      </c>
      <c r="C184" s="100">
        <v>43</v>
      </c>
      <c r="D184" s="100">
        <v>379</v>
      </c>
      <c r="E184" s="100">
        <v>337</v>
      </c>
      <c r="F184" s="98">
        <f t="shared" si="32"/>
        <v>0.8891820580474934</v>
      </c>
      <c r="G184" s="100">
        <v>0</v>
      </c>
      <c r="H184" s="100">
        <v>732</v>
      </c>
      <c r="I184" s="100">
        <v>732</v>
      </c>
      <c r="J184" s="98">
        <v>8.1</v>
      </c>
      <c r="K184" s="104">
        <v>16790686</v>
      </c>
      <c r="L184" s="104">
        <v>16792209</v>
      </c>
      <c r="M184" s="18">
        <f t="shared" si="33"/>
        <v>1.000090705049216</v>
      </c>
      <c r="N184" s="100">
        <v>1336</v>
      </c>
      <c r="O184" s="105">
        <v>16792209</v>
      </c>
      <c r="P184" s="84">
        <f t="shared" si="34"/>
        <v>42</v>
      </c>
    </row>
    <row r="185" spans="1:16" x14ac:dyDescent="0.2">
      <c r="A185" s="210"/>
      <c r="B185" s="103" t="s">
        <v>98</v>
      </c>
      <c r="C185" s="100">
        <v>35</v>
      </c>
      <c r="D185" s="100">
        <v>303</v>
      </c>
      <c r="E185" s="100">
        <v>269</v>
      </c>
      <c r="F185" s="98">
        <f t="shared" si="32"/>
        <v>0.88778877887788776</v>
      </c>
      <c r="G185" s="100">
        <v>0</v>
      </c>
      <c r="H185" s="100">
        <v>603</v>
      </c>
      <c r="I185" s="100">
        <v>603</v>
      </c>
      <c r="J185" s="98">
        <v>6.5</v>
      </c>
      <c r="K185" s="104">
        <v>23542</v>
      </c>
      <c r="L185" s="104">
        <v>24808</v>
      </c>
      <c r="M185" s="18">
        <f t="shared" si="33"/>
        <v>1.0537762297171014</v>
      </c>
      <c r="N185" s="100">
        <v>1300</v>
      </c>
      <c r="O185" s="105">
        <v>24808</v>
      </c>
      <c r="P185" s="84">
        <f t="shared" si="34"/>
        <v>34</v>
      </c>
    </row>
    <row r="186" spans="1:16" x14ac:dyDescent="0.2">
      <c r="A186" s="210"/>
      <c r="B186" s="103" t="s">
        <v>99</v>
      </c>
      <c r="C186" s="100">
        <v>205</v>
      </c>
      <c r="D186" s="100">
        <v>845</v>
      </c>
      <c r="E186" s="100">
        <v>534</v>
      </c>
      <c r="F186" s="98">
        <f t="shared" si="32"/>
        <v>0.63195266272189354</v>
      </c>
      <c r="G186" s="100">
        <v>16</v>
      </c>
      <c r="H186" s="100">
        <v>315116</v>
      </c>
      <c r="I186" s="100">
        <v>315116</v>
      </c>
      <c r="J186" s="98">
        <v>13</v>
      </c>
      <c r="K186" s="104">
        <v>4594588726</v>
      </c>
      <c r="L186" s="104">
        <v>6375383414</v>
      </c>
      <c r="M186" s="18">
        <f t="shared" si="33"/>
        <v>1.3875852212675281</v>
      </c>
      <c r="N186" s="100">
        <v>96</v>
      </c>
      <c r="O186" s="105">
        <v>6375383414</v>
      </c>
      <c r="P186" s="84">
        <f t="shared" si="34"/>
        <v>311</v>
      </c>
    </row>
    <row r="187" spans="1:16" x14ac:dyDescent="0.2">
      <c r="A187" s="210"/>
      <c r="B187" s="103" t="s">
        <v>100</v>
      </c>
      <c r="C187" s="100">
        <v>30</v>
      </c>
      <c r="D187" s="100">
        <v>170</v>
      </c>
      <c r="E187" s="100">
        <v>141</v>
      </c>
      <c r="F187" s="98">
        <f t="shared" si="32"/>
        <v>0.8294117647058824</v>
      </c>
      <c r="G187" s="100">
        <v>0</v>
      </c>
      <c r="H187" s="100">
        <v>239</v>
      </c>
      <c r="I187" s="100">
        <v>239</v>
      </c>
      <c r="J187" s="98">
        <v>3.7</v>
      </c>
      <c r="K187" s="104">
        <v>276145966</v>
      </c>
      <c r="L187" s="104">
        <v>368194592</v>
      </c>
      <c r="M187" s="18">
        <f t="shared" si="33"/>
        <v>1.3333332271093179</v>
      </c>
      <c r="N187" s="100">
        <v>30</v>
      </c>
      <c r="O187" s="105">
        <v>368194592</v>
      </c>
      <c r="P187" s="84">
        <f t="shared" si="34"/>
        <v>29</v>
      </c>
    </row>
    <row r="188" spans="1:16" x14ac:dyDescent="0.2">
      <c r="A188" s="210"/>
      <c r="B188" s="103" t="s">
        <v>158</v>
      </c>
      <c r="C188" s="100">
        <v>143</v>
      </c>
      <c r="D188" s="100">
        <v>659</v>
      </c>
      <c r="E188" s="100">
        <v>515</v>
      </c>
      <c r="F188" s="98">
        <f t="shared" si="32"/>
        <v>0.78148710166919577</v>
      </c>
      <c r="G188" s="100">
        <v>90</v>
      </c>
      <c r="H188" s="100">
        <v>2450</v>
      </c>
      <c r="I188" s="100">
        <v>2450</v>
      </c>
      <c r="J188" s="98"/>
      <c r="K188" s="104">
        <v>131735944</v>
      </c>
      <c r="L188" s="104">
        <v>280618455</v>
      </c>
      <c r="M188" s="18">
        <f t="shared" si="33"/>
        <v>2.1301586072818517</v>
      </c>
      <c r="N188" s="100">
        <v>2</v>
      </c>
      <c r="O188" s="105">
        <v>280618455</v>
      </c>
      <c r="P188" s="84">
        <f t="shared" si="34"/>
        <v>144</v>
      </c>
    </row>
    <row r="189" spans="1:16" x14ac:dyDescent="0.2">
      <c r="A189" s="210"/>
      <c r="B189" s="103" t="s">
        <v>101</v>
      </c>
      <c r="C189" s="100">
        <v>42</v>
      </c>
      <c r="D189" s="100">
        <v>239</v>
      </c>
      <c r="E189" s="100">
        <v>198</v>
      </c>
      <c r="F189" s="98">
        <f t="shared" si="32"/>
        <v>0.82845188284518834</v>
      </c>
      <c r="G189" s="100">
        <v>0</v>
      </c>
      <c r="H189" s="100">
        <v>434</v>
      </c>
      <c r="I189" s="100">
        <v>434</v>
      </c>
      <c r="J189" s="98">
        <v>4.8</v>
      </c>
      <c r="K189" s="104">
        <v>430138207</v>
      </c>
      <c r="L189" s="104">
        <v>591036261</v>
      </c>
      <c r="M189" s="18">
        <f t="shared" si="33"/>
        <v>1.3740612932810221</v>
      </c>
      <c r="N189" s="100">
        <v>50</v>
      </c>
      <c r="O189" s="105">
        <v>591036261</v>
      </c>
      <c r="P189" s="84">
        <f t="shared" si="34"/>
        <v>41</v>
      </c>
    </row>
    <row r="190" spans="1:16" x14ac:dyDescent="0.2">
      <c r="A190" s="205"/>
      <c r="B190" s="103" t="s">
        <v>102</v>
      </c>
      <c r="C190" s="100">
        <v>42</v>
      </c>
      <c r="D190" s="100">
        <v>252</v>
      </c>
      <c r="E190" s="100">
        <v>211</v>
      </c>
      <c r="F190" s="98">
        <f t="shared" si="32"/>
        <v>0.83730158730158732</v>
      </c>
      <c r="G190" s="100">
        <v>0</v>
      </c>
      <c r="H190" s="100">
        <v>437</v>
      </c>
      <c r="I190" s="100">
        <v>437</v>
      </c>
      <c r="J190" s="98">
        <v>5.0999999999999996</v>
      </c>
      <c r="K190" s="104">
        <v>145729493</v>
      </c>
      <c r="L190" s="104">
        <v>181140542</v>
      </c>
      <c r="M190" s="18">
        <f t="shared" si="33"/>
        <v>1.2429916434280053</v>
      </c>
      <c r="N190" s="100">
        <v>160</v>
      </c>
      <c r="O190" s="105">
        <v>181140542</v>
      </c>
      <c r="P190" s="84">
        <f t="shared" si="34"/>
        <v>41</v>
      </c>
    </row>
    <row r="191" spans="1:16" x14ac:dyDescent="0.2">
      <c r="L191">
        <f>L169/K169</f>
        <v>1.1619342589936774</v>
      </c>
      <c r="M191" s="249">
        <f>GEOMEAN(M169:M190)</f>
        <v>2.8573880292310894</v>
      </c>
    </row>
    <row r="192" spans="1:16" x14ac:dyDescent="0.2">
      <c r="L192">
        <f t="shared" ref="L192:L212" si="35">L170/K170</f>
        <v>1.7654162057979017</v>
      </c>
    </row>
    <row r="193" spans="2:12" x14ac:dyDescent="0.2">
      <c r="C193" s="201"/>
      <c r="D193" s="201" t="s">
        <v>130</v>
      </c>
      <c r="E193" s="203" t="s">
        <v>269</v>
      </c>
      <c r="F193" s="203" t="s">
        <v>270</v>
      </c>
      <c r="G193" s="201" t="s">
        <v>341</v>
      </c>
      <c r="L193">
        <f t="shared" si="35"/>
        <v>65.69940750255698</v>
      </c>
    </row>
    <row r="194" spans="2:12" x14ac:dyDescent="0.2">
      <c r="C194" s="202"/>
      <c r="D194" s="202"/>
      <c r="E194" s="204"/>
      <c r="F194" s="204"/>
      <c r="G194" s="202"/>
      <c r="L194">
        <f t="shared" si="35"/>
        <v>90.003564033807407</v>
      </c>
    </row>
    <row r="195" spans="2:12" x14ac:dyDescent="0.2">
      <c r="B195" s="101" t="s">
        <v>120</v>
      </c>
      <c r="C195" s="101" t="s">
        <v>120</v>
      </c>
      <c r="D195" s="100">
        <v>21323</v>
      </c>
      <c r="E195" s="100">
        <v>20926</v>
      </c>
      <c r="F195" s="98">
        <f t="shared" ref="F195" si="36" xml:space="preserve"> (E195/D195)</f>
        <v>0.98138160671575292</v>
      </c>
      <c r="G195" s="100">
        <v>17911</v>
      </c>
      <c r="L195">
        <f t="shared" si="35"/>
        <v>1.1111111111111112</v>
      </c>
    </row>
    <row r="196" spans="2:12" x14ac:dyDescent="0.2">
      <c r="L196">
        <f t="shared" si="35"/>
        <v>6.962257505266189</v>
      </c>
    </row>
    <row r="197" spans="2:12" x14ac:dyDescent="0.2">
      <c r="L197">
        <f t="shared" si="35"/>
        <v>2.3590558874809133</v>
      </c>
    </row>
    <row r="198" spans="2:12" x14ac:dyDescent="0.2">
      <c r="L198">
        <f t="shared" si="35"/>
        <v>1.2877270504631264</v>
      </c>
    </row>
    <row r="199" spans="2:12" x14ac:dyDescent="0.2">
      <c r="L199" s="87">
        <f>4400000000/K177</f>
        <v>475.86247098726</v>
      </c>
    </row>
    <row r="200" spans="2:12" x14ac:dyDescent="0.2">
      <c r="L200">
        <f t="shared" si="35"/>
        <v>1.3650569676071</v>
      </c>
    </row>
    <row r="201" spans="2:12" x14ac:dyDescent="0.2">
      <c r="L201">
        <f t="shared" si="35"/>
        <v>1.5227360140596355</v>
      </c>
    </row>
    <row r="202" spans="2:12" x14ac:dyDescent="0.2">
      <c r="B202" s="243" t="s">
        <v>39</v>
      </c>
      <c r="C202" s="243" t="s">
        <v>22</v>
      </c>
      <c r="D202" s="243" t="s">
        <v>358</v>
      </c>
      <c r="E202" s="243" t="s">
        <v>359</v>
      </c>
      <c r="F202" s="243" t="s">
        <v>360</v>
      </c>
      <c r="G202" s="243" t="s">
        <v>361</v>
      </c>
      <c r="H202" s="243" t="s">
        <v>330</v>
      </c>
      <c r="I202" s="243"/>
      <c r="J202" s="243" t="s">
        <v>332</v>
      </c>
      <c r="K202" s="243"/>
      <c r="L202">
        <f t="shared" si="35"/>
        <v>3.000030100363956</v>
      </c>
    </row>
    <row r="203" spans="2:12" x14ac:dyDescent="0.2">
      <c r="B203" s="243"/>
      <c r="C203" s="243"/>
      <c r="D203" s="243"/>
      <c r="E203" s="243"/>
      <c r="F203" s="243"/>
      <c r="G203" s="243"/>
      <c r="H203" s="8" t="s">
        <v>167</v>
      </c>
      <c r="I203" s="8" t="s">
        <v>161</v>
      </c>
      <c r="J203" s="8" t="s">
        <v>278</v>
      </c>
      <c r="K203" s="8" t="s">
        <v>362</v>
      </c>
      <c r="L203">
        <f t="shared" si="35"/>
        <v>1.731962014322048</v>
      </c>
    </row>
    <row r="204" spans="2:12" x14ac:dyDescent="0.2">
      <c r="L204">
        <f t="shared" si="35"/>
        <v>1.0155953669639539</v>
      </c>
    </row>
    <row r="205" spans="2:12" x14ac:dyDescent="0.2">
      <c r="L205">
        <f t="shared" si="35"/>
        <v>1.0183321724364256</v>
      </c>
    </row>
    <row r="206" spans="2:12" x14ac:dyDescent="0.2">
      <c r="L206">
        <f t="shared" si="35"/>
        <v>1.000090705049216</v>
      </c>
    </row>
    <row r="207" spans="2:12" x14ac:dyDescent="0.2">
      <c r="L207">
        <f t="shared" si="35"/>
        <v>1.0537762297171014</v>
      </c>
    </row>
    <row r="208" spans="2:12" x14ac:dyDescent="0.2">
      <c r="L208">
        <f t="shared" si="35"/>
        <v>1.3875852212675281</v>
      </c>
    </row>
    <row r="209" spans="12:12" x14ac:dyDescent="0.2">
      <c r="L209">
        <f t="shared" si="35"/>
        <v>1.3333332271093179</v>
      </c>
    </row>
    <row r="210" spans="12:12" x14ac:dyDescent="0.2">
      <c r="L210">
        <f t="shared" si="35"/>
        <v>2.1301586072818517</v>
      </c>
    </row>
    <row r="211" spans="12:12" x14ac:dyDescent="0.2">
      <c r="L211">
        <f t="shared" si="35"/>
        <v>1.3740612932810221</v>
      </c>
    </row>
    <row r="212" spans="12:12" x14ac:dyDescent="0.2">
      <c r="L212">
        <f t="shared" si="35"/>
        <v>1.2429916434280053</v>
      </c>
    </row>
    <row r="213" spans="12:12" x14ac:dyDescent="0.2">
      <c r="L213">
        <f>GEOMEAN(L191:L212)</f>
        <v>2.8573880292310894</v>
      </c>
    </row>
  </sheetData>
  <mergeCells count="54">
    <mergeCell ref="H202:I202"/>
    <mergeCell ref="J202:K202"/>
    <mergeCell ref="B202:B203"/>
    <mergeCell ref="C202:C203"/>
    <mergeCell ref="D202:D203"/>
    <mergeCell ref="E202:E203"/>
    <mergeCell ref="F202:F203"/>
    <mergeCell ref="G202:G203"/>
    <mergeCell ref="H167:I167"/>
    <mergeCell ref="J167:J168"/>
    <mergeCell ref="K167:M167"/>
    <mergeCell ref="A169:A177"/>
    <mergeCell ref="A178:A190"/>
    <mergeCell ref="C193:C194"/>
    <mergeCell ref="D193:D194"/>
    <mergeCell ref="E193:E194"/>
    <mergeCell ref="F193:F194"/>
    <mergeCell ref="G193:G194"/>
    <mergeCell ref="A167:B168"/>
    <mergeCell ref="C167:C168"/>
    <mergeCell ref="D167:D168"/>
    <mergeCell ref="E167:E168"/>
    <mergeCell ref="F167:F168"/>
    <mergeCell ref="G167:G168"/>
    <mergeCell ref="R68:R69"/>
    <mergeCell ref="A69:A84"/>
    <mergeCell ref="A87:A106"/>
    <mergeCell ref="H87:H142"/>
    <mergeCell ref="N87:N142"/>
    <mergeCell ref="A107:A125"/>
    <mergeCell ref="A31:A39"/>
    <mergeCell ref="A40:A52"/>
    <mergeCell ref="C54:I54"/>
    <mergeCell ref="J54:P54"/>
    <mergeCell ref="A56:A64"/>
    <mergeCell ref="R63:R64"/>
    <mergeCell ref="A4:A12"/>
    <mergeCell ref="A13:A25"/>
    <mergeCell ref="B28:AK28"/>
    <mergeCell ref="C29:G29"/>
    <mergeCell ref="H29:L29"/>
    <mergeCell ref="M29:Q29"/>
    <mergeCell ref="R29:V29"/>
    <mergeCell ref="W29:AA29"/>
    <mergeCell ref="AB29:AF29"/>
    <mergeCell ref="AG29:AK29"/>
    <mergeCell ref="B1:AK1"/>
    <mergeCell ref="C2:G2"/>
    <mergeCell ref="H2:L2"/>
    <mergeCell ref="M2:Q2"/>
    <mergeCell ref="R2:V2"/>
    <mergeCell ref="W2:AA2"/>
    <mergeCell ref="AB2:AF2"/>
    <mergeCell ref="AG2:AK2"/>
  </mergeCell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8EE8-7C90-5B4D-AE7C-8A3487EAA0C6}">
  <dimension ref="A1:BJ158"/>
  <sheetViews>
    <sheetView topLeftCell="B48" workbookViewId="0">
      <selection activeCell="C156" sqref="C156:E156"/>
    </sheetView>
  </sheetViews>
  <sheetFormatPr baseColWidth="10" defaultRowHeight="16" x14ac:dyDescent="0.2"/>
  <cols>
    <col min="1" max="1" width="18" bestFit="1" customWidth="1"/>
    <col min="2" max="2" width="18.33203125" bestFit="1" customWidth="1"/>
    <col min="3" max="3" width="19.5" bestFit="1" customWidth="1"/>
    <col min="4" max="4" width="30.1640625" bestFit="1" customWidth="1"/>
    <col min="5" max="6" width="27.6640625" bestFit="1" customWidth="1"/>
    <col min="7" max="7" width="27" bestFit="1" customWidth="1"/>
    <col min="8" max="8" width="27.5" bestFit="1" customWidth="1"/>
    <col min="9" max="9" width="27.6640625" bestFit="1" customWidth="1"/>
    <col min="10" max="10" width="19.5" bestFit="1" customWidth="1"/>
    <col min="11" max="11" width="27" bestFit="1" customWidth="1"/>
    <col min="12" max="14" width="11" bestFit="1" customWidth="1"/>
  </cols>
  <sheetData>
    <row r="1" spans="1:14" x14ac:dyDescent="0.2">
      <c r="A1" s="114"/>
      <c r="B1" s="114" t="s">
        <v>322</v>
      </c>
      <c r="C1" s="114" t="s">
        <v>321</v>
      </c>
      <c r="D1" s="114" t="s">
        <v>325</v>
      </c>
      <c r="E1" s="114" t="s">
        <v>323</v>
      </c>
      <c r="F1" s="114" t="s">
        <v>323</v>
      </c>
      <c r="G1" s="242" t="s">
        <v>326</v>
      </c>
      <c r="H1" s="242"/>
      <c r="I1" s="242"/>
      <c r="J1" s="242"/>
      <c r="K1" s="242" t="s">
        <v>327</v>
      </c>
      <c r="L1" s="242"/>
      <c r="M1" s="242"/>
      <c r="N1" s="242"/>
    </row>
    <row r="2" spans="1:14" x14ac:dyDescent="0.2">
      <c r="A2" s="114"/>
      <c r="B2" s="114" t="s">
        <v>322</v>
      </c>
      <c r="C2" s="114" t="s">
        <v>321</v>
      </c>
      <c r="D2" s="114" t="s">
        <v>325</v>
      </c>
      <c r="E2" s="114" t="s">
        <v>324</v>
      </c>
      <c r="F2" s="114" t="s">
        <v>279</v>
      </c>
      <c r="G2" s="114" t="s">
        <v>263</v>
      </c>
      <c r="H2" s="114" t="s">
        <v>262</v>
      </c>
      <c r="I2" s="114" t="s">
        <v>237</v>
      </c>
      <c r="J2" s="114" t="s">
        <v>238</v>
      </c>
      <c r="K2" s="114" t="s">
        <v>263</v>
      </c>
      <c r="L2" s="114" t="s">
        <v>262</v>
      </c>
      <c r="M2" s="114" t="s">
        <v>237</v>
      </c>
      <c r="N2" s="114" t="s">
        <v>238</v>
      </c>
    </row>
    <row r="3" spans="1:14" x14ac:dyDescent="0.2">
      <c r="A3" s="103" t="s">
        <v>91</v>
      </c>
      <c r="B3" s="99">
        <v>9034225961</v>
      </c>
      <c r="C3" s="99">
        <v>12332233095</v>
      </c>
      <c r="D3" s="114">
        <f>C3/B3</f>
        <v>1.3650569676071</v>
      </c>
      <c r="E3" s="98">
        <v>2925361</v>
      </c>
      <c r="F3" s="99">
        <v>12332233095</v>
      </c>
      <c r="G3" s="114">
        <v>20.045000000000002</v>
      </c>
      <c r="H3" s="114">
        <v>28.620000000000019</v>
      </c>
      <c r="I3" s="114">
        <v>20.045000000000002</v>
      </c>
      <c r="J3" s="114">
        <v>28.620000000000019</v>
      </c>
      <c r="K3" s="114">
        <v>3.9250000000000114</v>
      </c>
      <c r="L3" s="114">
        <v>0.52499999999999147</v>
      </c>
      <c r="M3" s="114">
        <v>13840.775</v>
      </c>
      <c r="N3" s="114">
        <v>13832.2</v>
      </c>
    </row>
    <row r="4" spans="1:14" x14ac:dyDescent="0.2">
      <c r="A4" s="103" t="s">
        <v>92</v>
      </c>
      <c r="B4" s="99">
        <v>1068591</v>
      </c>
      <c r="C4" s="99">
        <v>1627182</v>
      </c>
      <c r="D4" s="114">
        <f t="shared" ref="D4:D15" si="0">C4/B4</f>
        <v>1.5227360140596355</v>
      </c>
      <c r="E4" s="98">
        <v>32</v>
      </c>
      <c r="F4" s="99">
        <v>1627182</v>
      </c>
      <c r="G4" s="114">
        <v>0</v>
      </c>
      <c r="H4" s="114">
        <v>0</v>
      </c>
      <c r="I4" s="114">
        <v>0</v>
      </c>
      <c r="J4" s="114">
        <v>0</v>
      </c>
      <c r="K4" s="114">
        <v>0</v>
      </c>
      <c r="L4" s="114">
        <v>2.5000000000000022E-2</v>
      </c>
      <c r="M4" s="114">
        <v>0.52499999999999991</v>
      </c>
      <c r="N4" s="114">
        <v>0.10000000000000003</v>
      </c>
    </row>
    <row r="5" spans="1:14" x14ac:dyDescent="0.2">
      <c r="A5" s="103" t="s">
        <v>93</v>
      </c>
      <c r="B5" s="99">
        <v>536903807</v>
      </c>
      <c r="C5" s="99">
        <v>1610727582</v>
      </c>
      <c r="D5" s="114">
        <f t="shared" si="0"/>
        <v>3.000030100363956</v>
      </c>
      <c r="E5" s="98">
        <v>14</v>
      </c>
      <c r="F5" s="99">
        <v>1610727582</v>
      </c>
      <c r="G5" s="114">
        <v>3.5700000000000074</v>
      </c>
      <c r="H5" s="114">
        <v>9.1950000000000074</v>
      </c>
      <c r="I5" s="114">
        <v>3.5700000000000074</v>
      </c>
      <c r="J5" s="114">
        <v>9.1950000000000074</v>
      </c>
      <c r="K5" s="114">
        <v>0.125</v>
      </c>
      <c r="L5" s="114">
        <v>0.65000000000000568</v>
      </c>
      <c r="M5" s="114">
        <v>325.67500000000001</v>
      </c>
      <c r="N5" s="114">
        <v>163.125</v>
      </c>
    </row>
    <row r="6" spans="1:14" x14ac:dyDescent="0.2">
      <c r="A6" s="103" t="s">
        <v>94</v>
      </c>
      <c r="B6" s="99">
        <v>285789713</v>
      </c>
      <c r="C6" s="99">
        <v>494976927</v>
      </c>
      <c r="D6" s="114">
        <f t="shared" si="0"/>
        <v>1.731962014322048</v>
      </c>
      <c r="E6" s="98">
        <v>2781202</v>
      </c>
      <c r="F6" s="99">
        <v>494976927</v>
      </c>
      <c r="G6" s="114">
        <v>0.89999999999999858</v>
      </c>
      <c r="H6" s="114">
        <v>1.5</v>
      </c>
      <c r="I6" s="114">
        <v>0.89999999999999858</v>
      </c>
      <c r="J6" s="114">
        <v>1.5</v>
      </c>
      <c r="K6" s="114">
        <v>1.5249999999999986</v>
      </c>
      <c r="L6" s="114">
        <v>0.29999999999999716</v>
      </c>
      <c r="M6" s="114">
        <v>265.52499999999998</v>
      </c>
      <c r="N6" s="114">
        <v>91.9</v>
      </c>
    </row>
    <row r="7" spans="1:14" x14ac:dyDescent="0.2">
      <c r="A7" s="103" t="s">
        <v>95</v>
      </c>
      <c r="B7" s="99">
        <v>1446937674</v>
      </c>
      <c r="C7" s="99">
        <v>1469503198</v>
      </c>
      <c r="D7" s="114">
        <f t="shared" si="0"/>
        <v>1.0155953669639539</v>
      </c>
      <c r="E7" s="98">
        <v>1030</v>
      </c>
      <c r="F7" s="99">
        <v>1469503198</v>
      </c>
      <c r="G7" s="114">
        <v>6.8699999999999974</v>
      </c>
      <c r="H7" s="114">
        <v>6.519999999999996</v>
      </c>
      <c r="I7" s="114">
        <v>6.8699999999999974</v>
      </c>
      <c r="J7" s="114">
        <v>6.519999999999996</v>
      </c>
      <c r="K7" s="114">
        <v>0.79999999999999716</v>
      </c>
      <c r="L7" s="114">
        <v>0.14999999999999858</v>
      </c>
      <c r="M7" s="114">
        <v>908.32499999999993</v>
      </c>
      <c r="N7" s="114">
        <v>557</v>
      </c>
    </row>
    <row r="8" spans="1:14" x14ac:dyDescent="0.2">
      <c r="A8" s="103" t="s">
        <v>96</v>
      </c>
      <c r="B8" s="99">
        <v>1442920259</v>
      </c>
      <c r="C8" s="99">
        <v>1469372122</v>
      </c>
      <c r="D8" s="114">
        <f t="shared" si="0"/>
        <v>1.0183321724364256</v>
      </c>
      <c r="E8" s="98">
        <v>1030</v>
      </c>
      <c r="F8" s="99">
        <v>1469372122</v>
      </c>
      <c r="G8" s="114">
        <v>10.714999999999996</v>
      </c>
      <c r="H8" s="114">
        <v>8.115000000000002</v>
      </c>
      <c r="I8" s="114">
        <v>10.714999999999996</v>
      </c>
      <c r="J8" s="114">
        <v>8.115000000000002</v>
      </c>
      <c r="K8" s="114">
        <v>1.6499999999999986</v>
      </c>
      <c r="L8" s="114">
        <v>0.69999999999999574</v>
      </c>
      <c r="M8" s="114">
        <v>969.7</v>
      </c>
      <c r="N8" s="114">
        <v>499.22500000000002</v>
      </c>
    </row>
    <row r="9" spans="1:14" x14ac:dyDescent="0.2">
      <c r="A9" s="103" t="s">
        <v>97</v>
      </c>
      <c r="B9" s="99">
        <v>16790686</v>
      </c>
      <c r="C9" s="99">
        <v>16792209</v>
      </c>
      <c r="D9" s="114">
        <f t="shared" si="0"/>
        <v>1.000090705049216</v>
      </c>
      <c r="E9" s="98">
        <v>1336</v>
      </c>
      <c r="F9" s="99">
        <v>16792209</v>
      </c>
      <c r="G9" s="114">
        <v>2.1400000000000077</v>
      </c>
      <c r="H9" s="114">
        <v>2.615000000000002</v>
      </c>
      <c r="I9" s="114">
        <v>2.1400000000000077</v>
      </c>
      <c r="J9" s="114">
        <v>2.615000000000002</v>
      </c>
      <c r="K9" s="114">
        <v>1.5999999999999943</v>
      </c>
      <c r="L9" s="114">
        <v>0.55000000000001137</v>
      </c>
      <c r="M9" s="114">
        <v>0.22499999999999432</v>
      </c>
      <c r="N9" s="114">
        <v>1.2250000000000014</v>
      </c>
    </row>
    <row r="10" spans="1:14" x14ac:dyDescent="0.2">
      <c r="A10" s="103" t="s">
        <v>98</v>
      </c>
      <c r="B10" s="99">
        <v>23542</v>
      </c>
      <c r="C10" s="99">
        <v>24808</v>
      </c>
      <c r="D10" s="114">
        <f t="shared" si="0"/>
        <v>1.0537762297171014</v>
      </c>
      <c r="E10" s="98">
        <v>1300</v>
      </c>
      <c r="F10" s="99">
        <v>24808</v>
      </c>
      <c r="G10" s="114">
        <v>0.84999999999999432</v>
      </c>
      <c r="H10" s="114">
        <v>0.54999999999999716</v>
      </c>
      <c r="I10" s="114">
        <v>0.84999999999999432</v>
      </c>
      <c r="J10" s="114">
        <v>0.54999999999999716</v>
      </c>
      <c r="K10" s="114">
        <v>0.47500000000000142</v>
      </c>
      <c r="L10" s="114">
        <v>2.4999999999998579E-2</v>
      </c>
      <c r="M10" s="114">
        <v>7.6000000000000085</v>
      </c>
      <c r="N10" s="114">
        <v>3.0499999999999972</v>
      </c>
    </row>
    <row r="11" spans="1:14" x14ac:dyDescent="0.2">
      <c r="A11" s="103" t="s">
        <v>99</v>
      </c>
      <c r="B11" s="99">
        <v>4594588726</v>
      </c>
      <c r="C11" s="99">
        <v>6375383414</v>
      </c>
      <c r="D11" s="114">
        <f t="shared" si="0"/>
        <v>1.3875852212675281</v>
      </c>
      <c r="E11" s="98">
        <v>96</v>
      </c>
      <c r="F11" s="99">
        <v>6375383414</v>
      </c>
      <c r="G11" s="114">
        <v>13</v>
      </c>
      <c r="H11" s="114">
        <v>17.925000000000004</v>
      </c>
      <c r="I11" s="114">
        <v>13</v>
      </c>
      <c r="J11" s="114">
        <v>17.925000000000004</v>
      </c>
      <c r="K11" s="114">
        <v>0.14999999999999858</v>
      </c>
      <c r="L11" s="114">
        <v>0.54999999999999716</v>
      </c>
      <c r="M11" s="114">
        <v>10047.35</v>
      </c>
      <c r="N11" s="114">
        <v>3006.0750000000003</v>
      </c>
    </row>
    <row r="12" spans="1:14" x14ac:dyDescent="0.2">
      <c r="A12" s="103" t="s">
        <v>100</v>
      </c>
      <c r="B12" s="99">
        <v>276145966</v>
      </c>
      <c r="C12" s="99">
        <v>368194592</v>
      </c>
      <c r="D12" s="114">
        <f t="shared" si="0"/>
        <v>1.3333332271093179</v>
      </c>
      <c r="E12" s="98">
        <v>30</v>
      </c>
      <c r="F12" s="99">
        <v>368194592</v>
      </c>
      <c r="G12" s="114">
        <v>0.37500000000000178</v>
      </c>
      <c r="H12" s="114">
        <v>0.80000000000000071</v>
      </c>
      <c r="I12" s="114">
        <v>0.37500000000000178</v>
      </c>
      <c r="J12" s="114">
        <v>0.80000000000000071</v>
      </c>
      <c r="K12" s="114">
        <v>0</v>
      </c>
      <c r="L12" s="114">
        <v>2.5000000000000355E-2</v>
      </c>
      <c r="M12" s="114">
        <v>237.35</v>
      </c>
      <c r="N12" s="114">
        <v>108.1</v>
      </c>
    </row>
    <row r="13" spans="1:14" x14ac:dyDescent="0.2">
      <c r="A13" s="103" t="s">
        <v>158</v>
      </c>
      <c r="B13" s="99">
        <v>131735944</v>
      </c>
      <c r="C13" s="99">
        <v>280618455</v>
      </c>
      <c r="D13" s="114">
        <f t="shared" si="0"/>
        <v>2.1301586072818517</v>
      </c>
      <c r="E13" s="98">
        <v>2</v>
      </c>
      <c r="F13" s="99">
        <v>280618455</v>
      </c>
      <c r="G13" s="114">
        <v>9.0450000000000088</v>
      </c>
      <c r="H13" s="114">
        <v>2.6950000000000003</v>
      </c>
      <c r="I13" s="114">
        <v>9.0450000000000088</v>
      </c>
      <c r="J13" s="114">
        <v>2.6950000000000003</v>
      </c>
      <c r="K13" s="114">
        <v>3.9500000000000028</v>
      </c>
      <c r="L13" s="114">
        <v>0.57500000000000995</v>
      </c>
      <c r="M13" s="114">
        <v>4462.6750000000002</v>
      </c>
      <c r="N13" s="114">
        <v>3119.7249999999999</v>
      </c>
    </row>
    <row r="14" spans="1:14" x14ac:dyDescent="0.2">
      <c r="A14" s="103" t="s">
        <v>101</v>
      </c>
      <c r="B14" s="99">
        <v>430138207</v>
      </c>
      <c r="C14" s="99">
        <v>591036261</v>
      </c>
      <c r="D14" s="114">
        <f t="shared" si="0"/>
        <v>1.3740612932810221</v>
      </c>
      <c r="E14" s="98">
        <v>50</v>
      </c>
      <c r="F14" s="99">
        <v>591036261</v>
      </c>
      <c r="G14" s="114">
        <v>2.6750000000000007</v>
      </c>
      <c r="H14" s="114">
        <v>3.5749999999999993</v>
      </c>
      <c r="I14" s="114">
        <v>2.6750000000000007</v>
      </c>
      <c r="J14" s="114">
        <v>3.5749999999999993</v>
      </c>
      <c r="K14" s="114">
        <v>0.75</v>
      </c>
      <c r="L14" s="114">
        <v>0.67499999999999716</v>
      </c>
      <c r="M14" s="114">
        <v>365.05833333333328</v>
      </c>
      <c r="N14" s="114">
        <v>152.625</v>
      </c>
    </row>
    <row r="15" spans="1:14" ht="16" customHeight="1" x14ac:dyDescent="0.2">
      <c r="A15" s="103" t="s">
        <v>102</v>
      </c>
      <c r="B15" s="99">
        <v>145729493</v>
      </c>
      <c r="C15" s="99">
        <v>181140542</v>
      </c>
      <c r="D15" s="114">
        <f t="shared" si="0"/>
        <v>1.2429916434280053</v>
      </c>
      <c r="E15" s="98">
        <v>160</v>
      </c>
      <c r="F15" s="99">
        <v>181140542</v>
      </c>
      <c r="G15" s="114">
        <v>7.605000000000004</v>
      </c>
      <c r="H15" s="114">
        <v>10.305000000000007</v>
      </c>
      <c r="I15" s="114">
        <v>7.605000000000004</v>
      </c>
      <c r="J15" s="114">
        <v>10.305000000000007</v>
      </c>
      <c r="K15" s="114">
        <v>2.4249999999999972</v>
      </c>
      <c r="L15" s="114">
        <v>0.39999999999999147</v>
      </c>
      <c r="M15" s="114">
        <v>154.00833333333333</v>
      </c>
      <c r="N15" s="114">
        <v>55.52500000000002</v>
      </c>
    </row>
    <row r="16" spans="1:14" x14ac:dyDescent="0.2">
      <c r="A16" s="244" t="s">
        <v>336</v>
      </c>
      <c r="B16" s="244"/>
      <c r="C16" s="245"/>
      <c r="D16" s="188">
        <f>GEOMEAN(D3:D15)</f>
        <v>1.399815892582094</v>
      </c>
      <c r="G16">
        <v>3.0918311802778646</v>
      </c>
      <c r="H16">
        <v>3.5599912757871834</v>
      </c>
      <c r="I16">
        <v>3.0918311802778646</v>
      </c>
      <c r="J16">
        <v>3.5599912757871834</v>
      </c>
      <c r="K16">
        <v>0.61714888158230963</v>
      </c>
      <c r="L16">
        <v>0.42687830410255501</v>
      </c>
      <c r="M16">
        <v>253.32693445451108</v>
      </c>
      <c r="N16">
        <v>131.01894703609085</v>
      </c>
    </row>
    <row r="17" spans="1:14" x14ac:dyDescent="0.2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</row>
    <row r="18" spans="1:14" x14ac:dyDescent="0.2">
      <c r="I18" s="85"/>
    </row>
    <row r="19" spans="1:14" x14ac:dyDescent="0.2">
      <c r="A19" s="8" t="s">
        <v>331</v>
      </c>
      <c r="B19" s="243" t="s">
        <v>330</v>
      </c>
      <c r="C19" s="243"/>
      <c r="D19" s="243"/>
      <c r="E19" s="243"/>
      <c r="F19" s="243" t="s">
        <v>332</v>
      </c>
      <c r="G19" s="243"/>
      <c r="H19" s="243"/>
      <c r="I19" s="243"/>
    </row>
    <row r="20" spans="1:14" x14ac:dyDescent="0.2">
      <c r="A20" s="8"/>
      <c r="B20" s="114" t="s">
        <v>263</v>
      </c>
      <c r="C20" s="114" t="s">
        <v>262</v>
      </c>
      <c r="D20" s="114" t="s">
        <v>237</v>
      </c>
      <c r="E20" s="114" t="s">
        <v>238</v>
      </c>
      <c r="F20" s="114" t="s">
        <v>263</v>
      </c>
      <c r="G20" s="114" t="s">
        <v>262</v>
      </c>
      <c r="H20" s="114" t="s">
        <v>237</v>
      </c>
      <c r="I20" s="114" t="s">
        <v>238</v>
      </c>
    </row>
    <row r="21" spans="1:14" ht="16" customHeight="1" x14ac:dyDescent="0.2">
      <c r="A21" s="8" t="s">
        <v>329</v>
      </c>
      <c r="B21" s="114">
        <v>3.0918311802778646</v>
      </c>
      <c r="C21" s="114">
        <v>3.5599912757871834</v>
      </c>
      <c r="D21" s="114">
        <v>3.0918311802778646</v>
      </c>
      <c r="E21" s="114">
        <v>3.5599912757871834</v>
      </c>
      <c r="F21" s="114">
        <v>0.61714888158230963</v>
      </c>
      <c r="G21" s="114">
        <v>0.42687830410255501</v>
      </c>
      <c r="H21" s="114">
        <v>253.32693445451108</v>
      </c>
      <c r="I21" s="114">
        <v>131.01894703609085</v>
      </c>
      <c r="J21" s="34"/>
      <c r="K21" s="34"/>
      <c r="L21" s="34"/>
    </row>
    <row r="22" spans="1:14" x14ac:dyDescent="0.2">
      <c r="I22" s="34"/>
      <c r="J22" s="34"/>
      <c r="K22" s="34"/>
      <c r="L22" s="34"/>
    </row>
    <row r="23" spans="1:14" x14ac:dyDescent="0.2">
      <c r="A23" t="s">
        <v>278</v>
      </c>
      <c r="B23" t="s">
        <v>337</v>
      </c>
      <c r="C23" t="s">
        <v>338</v>
      </c>
      <c r="D23" t="s">
        <v>339</v>
      </c>
      <c r="E23" t="s">
        <v>340</v>
      </c>
      <c r="F23" t="s">
        <v>279</v>
      </c>
      <c r="G23" t="s">
        <v>337</v>
      </c>
      <c r="H23" t="s">
        <v>338</v>
      </c>
      <c r="I23" t="s">
        <v>339</v>
      </c>
      <c r="J23" t="s">
        <v>340</v>
      </c>
      <c r="K23" s="34"/>
      <c r="L23" s="34"/>
    </row>
    <row r="24" spans="1:14" x14ac:dyDescent="0.2">
      <c r="A24" s="8" t="s">
        <v>329</v>
      </c>
      <c r="B24" s="114">
        <v>3.0918311802778646</v>
      </c>
      <c r="C24" s="114">
        <v>3.5599912757871834</v>
      </c>
      <c r="D24" s="114">
        <v>0.61714888158230963</v>
      </c>
      <c r="E24" s="114">
        <v>0.42687830410255501</v>
      </c>
      <c r="F24" s="8" t="s">
        <v>329</v>
      </c>
      <c r="G24" s="114">
        <v>3.11</v>
      </c>
      <c r="H24" s="114">
        <v>3.7</v>
      </c>
      <c r="I24" s="114">
        <v>253.32693445451108</v>
      </c>
      <c r="J24" s="114">
        <v>131.01894703609085</v>
      </c>
      <c r="K24" s="34"/>
      <c r="L24" s="34"/>
    </row>
    <row r="25" spans="1:14" x14ac:dyDescent="0.2">
      <c r="F25" s="87"/>
      <c r="I25" s="34"/>
      <c r="J25" s="34"/>
      <c r="K25" s="34"/>
      <c r="L25" s="34"/>
    </row>
    <row r="26" spans="1:14" ht="18" x14ac:dyDescent="0.2">
      <c r="A26" s="61" t="s">
        <v>26</v>
      </c>
      <c r="F26" s="87"/>
      <c r="I26" s="34"/>
      <c r="J26" s="34"/>
      <c r="K26" s="34"/>
      <c r="L26" s="34"/>
    </row>
    <row r="27" spans="1:14" ht="18" x14ac:dyDescent="0.2">
      <c r="A27" s="62" t="s">
        <v>8</v>
      </c>
      <c r="F27" s="87"/>
      <c r="I27" s="34"/>
      <c r="J27" s="34"/>
      <c r="K27" s="34"/>
      <c r="L27" s="34"/>
    </row>
    <row r="28" spans="1:14" ht="18" x14ac:dyDescent="0.2">
      <c r="A28" s="55" t="s">
        <v>35</v>
      </c>
      <c r="F28" s="87"/>
      <c r="I28" s="34"/>
      <c r="J28" s="34"/>
      <c r="K28" s="34"/>
      <c r="L28" s="34"/>
    </row>
    <row r="29" spans="1:14" ht="18" x14ac:dyDescent="0.2">
      <c r="A29" s="63"/>
      <c r="F29" s="87"/>
      <c r="I29" s="34"/>
      <c r="J29" s="34"/>
      <c r="K29" s="34"/>
      <c r="L29" s="34"/>
    </row>
    <row r="30" spans="1:14" ht="18" x14ac:dyDescent="0.2">
      <c r="A30" s="63"/>
      <c r="F30" s="87"/>
      <c r="I30" s="34"/>
      <c r="J30" s="34"/>
      <c r="K30" s="34"/>
      <c r="L30" s="34"/>
    </row>
    <row r="31" spans="1:14" x14ac:dyDescent="0.2">
      <c r="F31" s="87"/>
      <c r="I31" s="34"/>
      <c r="J31" s="34"/>
      <c r="K31" s="34"/>
      <c r="L31" s="34"/>
    </row>
    <row r="32" spans="1:14" x14ac:dyDescent="0.2">
      <c r="F32" s="87"/>
      <c r="I32" s="34"/>
      <c r="J32" s="34"/>
      <c r="K32" s="34"/>
      <c r="L32" s="34"/>
    </row>
    <row r="33" spans="1:12" x14ac:dyDescent="0.2">
      <c r="F33" s="87"/>
      <c r="I33" s="34"/>
      <c r="J33" s="34"/>
      <c r="K33" s="34"/>
      <c r="L33" s="34"/>
    </row>
    <row r="34" spans="1:12" ht="18" x14ac:dyDescent="0.2">
      <c r="A34" s="60" t="s">
        <v>27</v>
      </c>
      <c r="B34" t="s">
        <v>333</v>
      </c>
      <c r="F34" s="87"/>
      <c r="I34" s="34"/>
      <c r="J34" s="34"/>
      <c r="K34" s="34"/>
      <c r="L34" s="34"/>
    </row>
    <row r="35" spans="1:12" ht="18" x14ac:dyDescent="0.2">
      <c r="A35" s="60" t="s">
        <v>38</v>
      </c>
      <c r="B35" t="s">
        <v>333</v>
      </c>
      <c r="F35" s="87"/>
      <c r="I35" s="34"/>
      <c r="J35" s="34"/>
      <c r="K35" s="34"/>
      <c r="L35" s="34"/>
    </row>
    <row r="36" spans="1:12" ht="18" x14ac:dyDescent="0.2">
      <c r="A36" s="57" t="s">
        <v>20</v>
      </c>
      <c r="B36" t="s">
        <v>334</v>
      </c>
      <c r="F36" s="87"/>
      <c r="I36" s="34"/>
      <c r="J36" s="34"/>
      <c r="K36" s="34"/>
      <c r="L36" s="34"/>
    </row>
    <row r="37" spans="1:12" ht="18" x14ac:dyDescent="0.2">
      <c r="A37" s="58" t="s">
        <v>154</v>
      </c>
      <c r="B37" t="s">
        <v>335</v>
      </c>
      <c r="F37" s="87"/>
      <c r="I37" s="34"/>
      <c r="J37" s="34"/>
      <c r="K37" s="34"/>
      <c r="L37" s="34"/>
    </row>
    <row r="38" spans="1:12" x14ac:dyDescent="0.2">
      <c r="F38" s="87"/>
      <c r="I38" s="34"/>
      <c r="J38" s="34"/>
      <c r="K38" s="34"/>
      <c r="L38" s="34"/>
    </row>
    <row r="39" spans="1:12" x14ac:dyDescent="0.2">
      <c r="F39" s="87"/>
      <c r="I39" s="34"/>
      <c r="J39" s="34"/>
      <c r="K39" s="34"/>
      <c r="L39" s="34"/>
    </row>
    <row r="40" spans="1:12" x14ac:dyDescent="0.2">
      <c r="I40" s="34"/>
      <c r="J40" s="34"/>
      <c r="K40" s="34"/>
      <c r="L40" s="34"/>
    </row>
    <row r="41" spans="1:12" x14ac:dyDescent="0.2">
      <c r="I41" s="34"/>
      <c r="J41" s="34"/>
      <c r="K41" s="34"/>
      <c r="L41" s="34"/>
    </row>
    <row r="42" spans="1:12" x14ac:dyDescent="0.2">
      <c r="A42" t="s">
        <v>343</v>
      </c>
      <c r="E42" s="34"/>
      <c r="I42" s="34"/>
      <c r="J42" s="34"/>
      <c r="K42" s="34"/>
      <c r="L42" s="34"/>
    </row>
    <row r="43" spans="1:12" x14ac:dyDescent="0.2">
      <c r="A43" t="s">
        <v>328</v>
      </c>
      <c r="B43" t="s">
        <v>344</v>
      </c>
      <c r="C43" t="s">
        <v>349</v>
      </c>
      <c r="E43" s="34"/>
      <c r="I43" s="34"/>
      <c r="J43" s="34"/>
      <c r="K43" s="34"/>
      <c r="L43" s="34"/>
    </row>
    <row r="44" spans="1:12" x14ac:dyDescent="0.2">
      <c r="A44" t="s">
        <v>329</v>
      </c>
      <c r="B44" t="s">
        <v>344</v>
      </c>
      <c r="C44" t="s">
        <v>348</v>
      </c>
      <c r="E44" s="34"/>
      <c r="I44" s="34"/>
      <c r="J44" s="34"/>
      <c r="K44" s="34"/>
      <c r="L44" s="34"/>
    </row>
    <row r="45" spans="1:12" x14ac:dyDescent="0.2">
      <c r="B45" t="s">
        <v>345</v>
      </c>
      <c r="C45" t="s">
        <v>350</v>
      </c>
      <c r="E45" s="34"/>
      <c r="I45" s="34"/>
      <c r="J45" s="34"/>
      <c r="K45" s="34"/>
      <c r="L45" s="34"/>
    </row>
    <row r="46" spans="1:12" x14ac:dyDescent="0.2">
      <c r="A46" t="s">
        <v>346</v>
      </c>
      <c r="E46" s="34"/>
      <c r="I46" s="34"/>
      <c r="J46" s="34"/>
      <c r="K46" s="34"/>
      <c r="L46" s="34"/>
    </row>
    <row r="47" spans="1:12" x14ac:dyDescent="0.2">
      <c r="A47" t="s">
        <v>328</v>
      </c>
      <c r="B47" t="s">
        <v>347</v>
      </c>
      <c r="C47" t="s">
        <v>351</v>
      </c>
      <c r="E47" s="34"/>
      <c r="G47" s="189"/>
      <c r="I47" s="34"/>
      <c r="J47" s="34"/>
      <c r="K47" s="34"/>
      <c r="L47" s="34"/>
    </row>
    <row r="48" spans="1:12" x14ac:dyDescent="0.2">
      <c r="A48" t="s">
        <v>329</v>
      </c>
      <c r="B48" t="s">
        <v>347</v>
      </c>
      <c r="C48" t="s">
        <v>352</v>
      </c>
      <c r="E48" s="34"/>
      <c r="I48" s="34"/>
      <c r="J48" s="34"/>
      <c r="K48" s="34"/>
      <c r="L48" s="34"/>
    </row>
    <row r="49" spans="1:12" x14ac:dyDescent="0.2">
      <c r="E49" s="34"/>
      <c r="I49" s="34"/>
      <c r="J49" s="34"/>
      <c r="K49" s="34"/>
      <c r="L49" s="34"/>
    </row>
    <row r="50" spans="1:12" x14ac:dyDescent="0.2">
      <c r="E50" s="34"/>
      <c r="I50" s="34"/>
      <c r="J50" s="34"/>
      <c r="K50" s="34"/>
      <c r="L50" s="34"/>
    </row>
    <row r="51" spans="1:12" x14ac:dyDescent="0.2">
      <c r="I51" s="34"/>
      <c r="J51" s="34"/>
      <c r="K51" s="34"/>
      <c r="L51" s="34"/>
    </row>
    <row r="52" spans="1:12" x14ac:dyDescent="0.2">
      <c r="I52" s="34"/>
      <c r="J52" s="34"/>
      <c r="K52" s="34"/>
      <c r="L52" s="34"/>
    </row>
    <row r="53" spans="1:12" x14ac:dyDescent="0.2">
      <c r="I53" s="34"/>
      <c r="J53" s="34"/>
      <c r="K53" s="34"/>
      <c r="L53" s="34"/>
    </row>
    <row r="54" spans="1:12" x14ac:dyDescent="0.2">
      <c r="A54" t="s">
        <v>353</v>
      </c>
      <c r="B54" t="s">
        <v>357</v>
      </c>
      <c r="I54" s="34"/>
      <c r="J54" s="34"/>
      <c r="K54" s="34"/>
      <c r="L54" s="34"/>
    </row>
    <row r="55" spans="1:12" x14ac:dyDescent="0.2">
      <c r="A55" t="s">
        <v>354</v>
      </c>
      <c r="B55">
        <v>3495.4320805072698</v>
      </c>
      <c r="C55">
        <f>B55/60</f>
        <v>58.257201341787827</v>
      </c>
      <c r="I55" s="34"/>
      <c r="J55" s="34"/>
      <c r="K55" s="34"/>
      <c r="L55" s="34"/>
    </row>
    <row r="56" spans="1:12" x14ac:dyDescent="0.2">
      <c r="A56" t="s">
        <v>355</v>
      </c>
      <c r="B56">
        <v>27.723089456558199</v>
      </c>
      <c r="I56" s="34"/>
      <c r="J56" s="34"/>
      <c r="K56" s="34"/>
      <c r="L56" s="34"/>
    </row>
    <row r="57" spans="1:12" x14ac:dyDescent="0.2">
      <c r="A57" t="s">
        <v>356</v>
      </c>
      <c r="I57" s="34"/>
      <c r="J57" s="34"/>
      <c r="K57" s="34"/>
      <c r="L57" s="34"/>
    </row>
    <row r="58" spans="1:12" x14ac:dyDescent="0.2">
      <c r="I58" s="34"/>
      <c r="J58" s="34"/>
      <c r="K58" s="34"/>
      <c r="L58" s="34"/>
    </row>
    <row r="59" spans="1:12" x14ac:dyDescent="0.2">
      <c r="I59" s="34"/>
      <c r="J59" s="34"/>
      <c r="K59" s="34"/>
      <c r="L59" s="34"/>
    </row>
    <row r="60" spans="1:12" x14ac:dyDescent="0.2">
      <c r="I60" s="34"/>
      <c r="J60" s="34"/>
      <c r="K60" s="34"/>
      <c r="L60" s="34"/>
    </row>
    <row r="61" spans="1:12" x14ac:dyDescent="0.2">
      <c r="I61" s="34"/>
      <c r="J61" s="34"/>
      <c r="K61" s="34"/>
      <c r="L61" s="34"/>
    </row>
    <row r="62" spans="1:12" x14ac:dyDescent="0.2">
      <c r="I62" s="34"/>
      <c r="J62" s="34"/>
      <c r="K62" s="34"/>
      <c r="L62" s="34"/>
    </row>
    <row r="63" spans="1:12" x14ac:dyDescent="0.2">
      <c r="I63" s="34"/>
      <c r="J63" s="34"/>
      <c r="K63" s="34"/>
      <c r="L63" s="34"/>
    </row>
    <row r="64" spans="1:12" x14ac:dyDescent="0.2">
      <c r="I64" s="34"/>
      <c r="J64" s="34"/>
      <c r="K64" s="34"/>
      <c r="L64" s="34"/>
    </row>
    <row r="65" spans="1:26" x14ac:dyDescent="0.2">
      <c r="I65" s="34"/>
      <c r="J65" s="34"/>
      <c r="K65" s="34"/>
      <c r="L65" s="34"/>
    </row>
    <row r="66" spans="1:26" x14ac:dyDescent="0.2">
      <c r="I66" s="34"/>
      <c r="J66" s="34"/>
      <c r="K66" s="34"/>
      <c r="L66" s="34"/>
    </row>
    <row r="67" spans="1:26" x14ac:dyDescent="0.2">
      <c r="I67" s="34"/>
      <c r="J67" s="34"/>
      <c r="K67" s="34"/>
      <c r="L67" s="34"/>
    </row>
    <row r="68" spans="1:26" x14ac:dyDescent="0.2">
      <c r="I68" s="34"/>
      <c r="J68" s="34"/>
      <c r="K68" s="34"/>
      <c r="L68" s="34"/>
    </row>
    <row r="69" spans="1:26" x14ac:dyDescent="0.2">
      <c r="I69" s="34"/>
      <c r="J69" s="34"/>
      <c r="K69" s="34"/>
      <c r="L69" s="34"/>
    </row>
    <row r="70" spans="1:26" x14ac:dyDescent="0.2">
      <c r="I70" s="34"/>
      <c r="J70" s="34"/>
      <c r="K70" s="34"/>
      <c r="L70" s="34"/>
    </row>
    <row r="71" spans="1:26" x14ac:dyDescent="0.2">
      <c r="I71" s="34"/>
      <c r="J71" s="34"/>
      <c r="K71" s="34"/>
      <c r="L71" s="34"/>
    </row>
    <row r="72" spans="1:26" x14ac:dyDescent="0.2">
      <c r="I72" s="34"/>
      <c r="J72" s="34"/>
      <c r="K72" s="34"/>
      <c r="L72" s="34"/>
    </row>
    <row r="73" spans="1:26" x14ac:dyDescent="0.2">
      <c r="I73" s="34"/>
      <c r="J73" s="34"/>
      <c r="K73" s="34"/>
      <c r="L73" s="34"/>
    </row>
    <row r="77" spans="1:26" x14ac:dyDescent="0.2">
      <c r="I77" s="34"/>
    </row>
    <row r="79" spans="1:26" x14ac:dyDescent="0.2">
      <c r="A79" t="s">
        <v>271</v>
      </c>
      <c r="C79" t="s">
        <v>86</v>
      </c>
      <c r="D79" t="s">
        <v>303</v>
      </c>
      <c r="E79" t="s">
        <v>304</v>
      </c>
    </row>
    <row r="80" spans="1:26" x14ac:dyDescent="0.2">
      <c r="A80" t="s">
        <v>116</v>
      </c>
      <c r="B80" t="s">
        <v>237</v>
      </c>
      <c r="C80">
        <v>25.97</v>
      </c>
      <c r="D80">
        <v>19.835999999999999</v>
      </c>
      <c r="E80">
        <v>11.904000000000003</v>
      </c>
      <c r="G80" cm="1">
        <f t="array" ref="G80:Z80">TRANSPOSE(C80:C99)</f>
        <v>25.97</v>
      </c>
      <c r="H80">
        <v>25.97</v>
      </c>
      <c r="I80">
        <v>39.798000000000002</v>
      </c>
      <c r="J80">
        <v>39.798000000000002</v>
      </c>
      <c r="K80">
        <v>66.450999999999993</v>
      </c>
      <c r="L80">
        <v>66.450999999999993</v>
      </c>
      <c r="M80">
        <v>116.294</v>
      </c>
      <c r="N80">
        <v>116.294</v>
      </c>
      <c r="O80">
        <v>38.444000000000003</v>
      </c>
      <c r="P80">
        <v>38.444000000000003</v>
      </c>
      <c r="Q80">
        <v>29.341000000000001</v>
      </c>
      <c r="R80">
        <v>29.341000000000001</v>
      </c>
      <c r="S80">
        <v>11.135999999999999</v>
      </c>
      <c r="T80">
        <v>11.135999999999999</v>
      </c>
      <c r="U80">
        <v>38.180999999999997</v>
      </c>
      <c r="V80">
        <v>38.180999999999997</v>
      </c>
      <c r="W80">
        <v>31.297999999999998</v>
      </c>
      <c r="X80">
        <v>31.297999999999998</v>
      </c>
      <c r="Y80">
        <v>36.669910164318871</v>
      </c>
      <c r="Z80">
        <v>36.669910164318871</v>
      </c>
    </row>
    <row r="81" spans="1:26" x14ac:dyDescent="0.2">
      <c r="B81" t="s">
        <v>238</v>
      </c>
      <c r="C81">
        <v>25.97</v>
      </c>
      <c r="D81">
        <v>23.26156694580402</v>
      </c>
      <c r="E81">
        <v>5.5394330541959818</v>
      </c>
      <c r="G81" cm="1">
        <f t="array" ref="G81:Z81">TRANSPOSE(D80:D99)</f>
        <v>19.835999999999999</v>
      </c>
      <c r="H81">
        <v>23.26156694580402</v>
      </c>
      <c r="I81">
        <v>69.194000000000003</v>
      </c>
      <c r="J81">
        <v>74.447499999999991</v>
      </c>
      <c r="K81">
        <v>64.835000000000008</v>
      </c>
      <c r="L81">
        <v>88.83250000000001</v>
      </c>
      <c r="M81">
        <v>7.2160000000000082</v>
      </c>
      <c r="N81">
        <v>10.421000000000006</v>
      </c>
      <c r="O81">
        <v>15.221999999999994</v>
      </c>
      <c r="P81">
        <v>17.358999999999995</v>
      </c>
      <c r="Q81">
        <v>24.116</v>
      </c>
      <c r="R81">
        <v>27.035499999999999</v>
      </c>
      <c r="S81">
        <v>10.276</v>
      </c>
      <c r="T81">
        <v>11.6465</v>
      </c>
      <c r="U81">
        <v>30.888999999999996</v>
      </c>
      <c r="V81">
        <v>39.359500000000011</v>
      </c>
      <c r="W81">
        <v>15</v>
      </c>
      <c r="X81">
        <v>100</v>
      </c>
      <c r="Y81">
        <v>21.82241208386262</v>
      </c>
      <c r="Z81">
        <v>31.929054128455601</v>
      </c>
    </row>
    <row r="82" spans="1:26" x14ac:dyDescent="0.2">
      <c r="A82" t="s">
        <v>117</v>
      </c>
      <c r="B82" t="s">
        <v>237</v>
      </c>
      <c r="C82">
        <v>39.798000000000002</v>
      </c>
      <c r="D82">
        <v>69.194000000000003</v>
      </c>
      <c r="E82">
        <v>63.552999999999983</v>
      </c>
      <c r="G82" cm="1">
        <f t="array" ref="G82:Z82">TRANSPOSE(E80:E99)</f>
        <v>11.904000000000003</v>
      </c>
      <c r="H82">
        <v>5.5394330541959818</v>
      </c>
      <c r="I82">
        <v>63.552999999999983</v>
      </c>
      <c r="J82">
        <v>28.216499999999996</v>
      </c>
      <c r="K82">
        <v>690.21399999999994</v>
      </c>
      <c r="L82">
        <v>90.259500000000003</v>
      </c>
      <c r="M82">
        <v>8.326999999999984</v>
      </c>
      <c r="N82">
        <v>21.340000000000003</v>
      </c>
      <c r="O82">
        <v>373.73399999999998</v>
      </c>
      <c r="P82">
        <v>47.040000000000006</v>
      </c>
      <c r="Q82">
        <v>204.90899999999999</v>
      </c>
      <c r="R82">
        <v>24.232499999999995</v>
      </c>
      <c r="S82">
        <v>63.246000000000002</v>
      </c>
      <c r="T82">
        <v>6.8934999999999995</v>
      </c>
      <c r="U82">
        <v>215.46100000000001</v>
      </c>
      <c r="V82">
        <v>21.341499999999996</v>
      </c>
      <c r="W82">
        <v>202.48799999999997</v>
      </c>
      <c r="X82">
        <v>25.406000000000006</v>
      </c>
      <c r="Y82">
        <v>99.063575030639612</v>
      </c>
      <c r="Z82">
        <v>22.148633028799303</v>
      </c>
    </row>
    <row r="83" spans="1:26" x14ac:dyDescent="0.2">
      <c r="B83" t="s">
        <v>238</v>
      </c>
      <c r="C83">
        <v>39.798000000000002</v>
      </c>
      <c r="D83">
        <v>74.447499999999991</v>
      </c>
      <c r="E83">
        <v>28.216499999999996</v>
      </c>
    </row>
    <row r="84" spans="1:26" x14ac:dyDescent="0.2">
      <c r="A84" t="s">
        <v>115</v>
      </c>
      <c r="B84" t="s">
        <v>237</v>
      </c>
      <c r="C84">
        <v>66.450999999999993</v>
      </c>
      <c r="D84">
        <v>64.835000000000008</v>
      </c>
      <c r="E84">
        <v>690.21399999999994</v>
      </c>
    </row>
    <row r="85" spans="1:26" x14ac:dyDescent="0.2">
      <c r="B85" t="s">
        <v>238</v>
      </c>
      <c r="C85">
        <v>66.450999999999993</v>
      </c>
      <c r="D85">
        <v>88.83250000000001</v>
      </c>
      <c r="E85">
        <v>90.259500000000003</v>
      </c>
    </row>
    <row r="86" spans="1:26" x14ac:dyDescent="0.2">
      <c r="A86" t="s">
        <v>118</v>
      </c>
      <c r="B86" t="s">
        <v>237</v>
      </c>
      <c r="C86">
        <v>116.294</v>
      </c>
      <c r="D86">
        <v>7.2160000000000082</v>
      </c>
      <c r="E86">
        <v>8.326999999999984</v>
      </c>
    </row>
    <row r="87" spans="1:26" x14ac:dyDescent="0.2">
      <c r="B87" t="s">
        <v>238</v>
      </c>
      <c r="C87">
        <v>116.294</v>
      </c>
      <c r="D87">
        <v>10.421000000000006</v>
      </c>
      <c r="E87">
        <v>21.340000000000003</v>
      </c>
    </row>
    <row r="88" spans="1:26" x14ac:dyDescent="0.2">
      <c r="A88" t="s">
        <v>156</v>
      </c>
      <c r="B88" t="s">
        <v>237</v>
      </c>
      <c r="C88">
        <v>38.444000000000003</v>
      </c>
      <c r="D88">
        <v>15.221999999999994</v>
      </c>
      <c r="E88">
        <v>373.73399999999998</v>
      </c>
    </row>
    <row r="89" spans="1:26" x14ac:dyDescent="0.2">
      <c r="B89" t="s">
        <v>238</v>
      </c>
      <c r="C89">
        <v>38.444000000000003</v>
      </c>
      <c r="D89">
        <v>17.358999999999995</v>
      </c>
      <c r="E89">
        <v>47.040000000000006</v>
      </c>
    </row>
    <row r="90" spans="1:26" x14ac:dyDescent="0.2">
      <c r="A90" t="s">
        <v>119</v>
      </c>
      <c r="B90" t="s">
        <v>237</v>
      </c>
      <c r="C90">
        <v>29.341000000000001</v>
      </c>
      <c r="D90">
        <v>24.116</v>
      </c>
      <c r="E90">
        <v>204.90899999999999</v>
      </c>
    </row>
    <row r="91" spans="1:26" x14ac:dyDescent="0.2">
      <c r="B91" t="s">
        <v>238</v>
      </c>
      <c r="C91">
        <v>29.341000000000001</v>
      </c>
      <c r="D91">
        <v>27.035499999999999</v>
      </c>
      <c r="E91">
        <v>24.232499999999995</v>
      </c>
    </row>
    <row r="92" spans="1:26" x14ac:dyDescent="0.2">
      <c r="A92" t="s">
        <v>120</v>
      </c>
      <c r="B92" t="s">
        <v>237</v>
      </c>
      <c r="C92">
        <v>11.135999999999999</v>
      </c>
      <c r="D92">
        <v>10.276</v>
      </c>
      <c r="E92">
        <v>63.246000000000002</v>
      </c>
    </row>
    <row r="93" spans="1:26" x14ac:dyDescent="0.2">
      <c r="B93" t="s">
        <v>238</v>
      </c>
      <c r="C93">
        <v>11.135999999999999</v>
      </c>
      <c r="D93">
        <v>11.6465</v>
      </c>
      <c r="E93">
        <v>6.8934999999999995</v>
      </c>
    </row>
    <row r="94" spans="1:26" x14ac:dyDescent="0.2">
      <c r="A94" t="s">
        <v>121</v>
      </c>
      <c r="B94" t="s">
        <v>237</v>
      </c>
      <c r="C94">
        <v>38.180999999999997</v>
      </c>
      <c r="D94">
        <v>30.888999999999996</v>
      </c>
      <c r="E94">
        <v>215.46100000000001</v>
      </c>
    </row>
    <row r="95" spans="1:26" x14ac:dyDescent="0.2">
      <c r="B95" t="s">
        <v>238</v>
      </c>
      <c r="C95">
        <v>38.180999999999997</v>
      </c>
      <c r="D95">
        <v>39.359500000000011</v>
      </c>
      <c r="E95">
        <v>21.341499999999996</v>
      </c>
    </row>
    <row r="96" spans="1:26" x14ac:dyDescent="0.2">
      <c r="A96" t="s">
        <v>122</v>
      </c>
      <c r="B96" t="s">
        <v>237</v>
      </c>
      <c r="C96">
        <v>31.297999999999998</v>
      </c>
      <c r="D96">
        <v>15</v>
      </c>
      <c r="E96">
        <v>202.48799999999997</v>
      </c>
    </row>
    <row r="97" spans="1:62" x14ac:dyDescent="0.2">
      <c r="B97" t="s">
        <v>238</v>
      </c>
      <c r="C97">
        <v>31.297999999999998</v>
      </c>
      <c r="D97">
        <v>100</v>
      </c>
      <c r="E97">
        <v>25.406000000000006</v>
      </c>
    </row>
    <row r="98" spans="1:62" x14ac:dyDescent="0.2">
      <c r="A98" t="s">
        <v>66</v>
      </c>
      <c r="B98" t="s">
        <v>237</v>
      </c>
      <c r="C98">
        <v>36.669910164318871</v>
      </c>
      <c r="D98">
        <v>21.82241208386262</v>
      </c>
      <c r="E98">
        <v>99.063575030639612</v>
      </c>
    </row>
    <row r="99" spans="1:62" x14ac:dyDescent="0.2">
      <c r="B99" t="s">
        <v>238</v>
      </c>
      <c r="C99">
        <v>36.669910164318871</v>
      </c>
      <c r="D99">
        <v>31.929054128455601</v>
      </c>
      <c r="E99">
        <v>22.148633028799303</v>
      </c>
    </row>
    <row r="102" spans="1:62" x14ac:dyDescent="0.2">
      <c r="C102" t="s">
        <v>86</v>
      </c>
      <c r="D102" t="s">
        <v>303</v>
      </c>
      <c r="E102" t="s">
        <v>304</v>
      </c>
    </row>
    <row r="103" spans="1:62" x14ac:dyDescent="0.2">
      <c r="C103">
        <v>35.679999999999993</v>
      </c>
      <c r="D103">
        <v>20.045000000000002</v>
      </c>
      <c r="E103">
        <v>3.9250000000000114</v>
      </c>
      <c r="G103" cm="1">
        <f t="array" ref="G103:BJ103">TRANSPOSE(C103:C158)</f>
        <v>35.679999999999993</v>
      </c>
      <c r="H103">
        <v>35.679999999999993</v>
      </c>
      <c r="I103">
        <v>35.679999999999993</v>
      </c>
      <c r="J103">
        <v>35.679999999999993</v>
      </c>
      <c r="K103">
        <v>0.3</v>
      </c>
      <c r="L103">
        <v>0.3</v>
      </c>
      <c r="M103">
        <v>0.3</v>
      </c>
      <c r="N103">
        <v>0.3</v>
      </c>
      <c r="O103">
        <v>56.679999999999993</v>
      </c>
      <c r="P103">
        <v>56.679999999999993</v>
      </c>
      <c r="Q103">
        <v>56.679999999999993</v>
      </c>
      <c r="R103">
        <v>56.679999999999993</v>
      </c>
      <c r="S103">
        <v>28.1</v>
      </c>
      <c r="T103">
        <v>28.1</v>
      </c>
      <c r="U103">
        <v>28.1</v>
      </c>
      <c r="V103">
        <v>28.1</v>
      </c>
      <c r="W103">
        <v>29.880000000000003</v>
      </c>
      <c r="X103">
        <v>29.880000000000003</v>
      </c>
      <c r="Y103">
        <v>29.880000000000003</v>
      </c>
      <c r="Z103">
        <v>29.880000000000003</v>
      </c>
      <c r="AA103">
        <v>29.880000000000003</v>
      </c>
      <c r="AB103">
        <v>29.880000000000003</v>
      </c>
      <c r="AC103">
        <v>29.880000000000003</v>
      </c>
      <c r="AD103">
        <v>29.880000000000003</v>
      </c>
      <c r="AE103">
        <v>35.559999999999995</v>
      </c>
      <c r="AF103">
        <v>35.559999999999995</v>
      </c>
      <c r="AG103">
        <v>35.559999999999995</v>
      </c>
      <c r="AH103">
        <v>35.559999999999995</v>
      </c>
      <c r="AI103">
        <v>57.2</v>
      </c>
      <c r="AJ103">
        <v>57.2</v>
      </c>
      <c r="AK103">
        <v>57.2</v>
      </c>
      <c r="AL103">
        <v>57.2</v>
      </c>
      <c r="AM103">
        <v>19.399999999999999</v>
      </c>
      <c r="AN103">
        <v>19.399999999999999</v>
      </c>
      <c r="AO103">
        <v>19.399999999999999</v>
      </c>
      <c r="AP103">
        <v>19.399999999999999</v>
      </c>
      <c r="AQ103">
        <v>10.6</v>
      </c>
      <c r="AR103">
        <v>10.6</v>
      </c>
      <c r="AS103">
        <v>10.6</v>
      </c>
      <c r="AT103">
        <v>10.6</v>
      </c>
      <c r="AU103">
        <v>59.279999999999994</v>
      </c>
      <c r="AV103">
        <v>59.279999999999994</v>
      </c>
      <c r="AW103">
        <v>59.279999999999994</v>
      </c>
      <c r="AX103">
        <v>59.279999999999994</v>
      </c>
      <c r="AY103">
        <v>17.8</v>
      </c>
      <c r="AZ103">
        <v>17.8</v>
      </c>
      <c r="BA103">
        <v>17.8</v>
      </c>
      <c r="BB103">
        <v>17.8</v>
      </c>
      <c r="BC103">
        <v>62.519999999999996</v>
      </c>
      <c r="BD103">
        <v>62.519999999999996</v>
      </c>
      <c r="BE103">
        <v>62.519999999999996</v>
      </c>
      <c r="BF103">
        <v>62.519999999999996</v>
      </c>
      <c r="BG103">
        <v>22.679583581508744</v>
      </c>
      <c r="BH103">
        <v>22.679583581508744</v>
      </c>
      <c r="BI103">
        <v>22.679583581508744</v>
      </c>
      <c r="BJ103">
        <v>22.679583581508744</v>
      </c>
    </row>
    <row r="104" spans="1:62" x14ac:dyDescent="0.2">
      <c r="C104">
        <v>35.679999999999993</v>
      </c>
      <c r="D104">
        <v>40.356581508568269</v>
      </c>
      <c r="E104">
        <v>3.5</v>
      </c>
      <c r="G104" cm="1">
        <f t="array" ref="G104:BJ104">TRANSPOSE(D103:D158)</f>
        <v>20.045000000000002</v>
      </c>
      <c r="H104">
        <v>40.356581508568269</v>
      </c>
      <c r="I104">
        <v>20.045000000000002</v>
      </c>
      <c r="J104">
        <v>40.356581508568269</v>
      </c>
      <c r="K104">
        <v>0.01</v>
      </c>
      <c r="L104">
        <v>2.4999999999999967E-2</v>
      </c>
      <c r="M104">
        <v>0.01</v>
      </c>
      <c r="N104">
        <v>2.4999999999999967E-2</v>
      </c>
      <c r="O104">
        <v>3.5700000000000074</v>
      </c>
      <c r="P104">
        <v>74.720988796955979</v>
      </c>
      <c r="Q104">
        <v>3.5700000000000074</v>
      </c>
      <c r="R104">
        <v>74.720988796955979</v>
      </c>
      <c r="S104">
        <v>0.89999999999999858</v>
      </c>
      <c r="T104">
        <v>12.333037811966314</v>
      </c>
      <c r="U104">
        <v>0.89999999999999858</v>
      </c>
      <c r="V104">
        <v>12.333037811966314</v>
      </c>
      <c r="W104">
        <v>6.8699999999999974</v>
      </c>
      <c r="X104">
        <v>6.7030559103957543</v>
      </c>
      <c r="Y104">
        <v>6.8699999999999974</v>
      </c>
      <c r="Z104">
        <v>6.7030559103957543</v>
      </c>
      <c r="AA104">
        <v>10.714999999999996</v>
      </c>
      <c r="AB104">
        <v>8.6882216160705994</v>
      </c>
      <c r="AC104">
        <v>10.714999999999996</v>
      </c>
      <c r="AD104">
        <v>8.6882216160705994</v>
      </c>
      <c r="AE104">
        <v>2.1400000000000077</v>
      </c>
      <c r="AF104">
        <v>4.1418004952269456</v>
      </c>
      <c r="AG104">
        <v>2.1400000000000077</v>
      </c>
      <c r="AH104">
        <v>4.1418004952269456</v>
      </c>
      <c r="AI104">
        <v>0.84999999999999432</v>
      </c>
      <c r="AJ104">
        <v>0.64999999999999858</v>
      </c>
      <c r="AK104">
        <v>0.84999999999999432</v>
      </c>
      <c r="AL104">
        <v>0.64999999999999858</v>
      </c>
      <c r="AM104">
        <v>13</v>
      </c>
      <c r="AN104">
        <v>25.128464376639393</v>
      </c>
      <c r="AO104">
        <v>13</v>
      </c>
      <c r="AP104">
        <v>25.128464376639393</v>
      </c>
      <c r="AQ104">
        <v>0.37500000000000178</v>
      </c>
      <c r="AR104">
        <v>3.0499993785895096</v>
      </c>
      <c r="AS104">
        <v>0.37500000000000178</v>
      </c>
      <c r="AT104">
        <v>3.0499993785895096</v>
      </c>
      <c r="AU104">
        <v>9.0450000000000088</v>
      </c>
      <c r="AV104">
        <v>37.441900965009218</v>
      </c>
      <c r="AW104">
        <v>9.0450000000000088</v>
      </c>
      <c r="AX104">
        <v>37.441900965009218</v>
      </c>
      <c r="AY104">
        <v>2.6750000000000007</v>
      </c>
      <c r="AZ104">
        <v>7.4837527734428839</v>
      </c>
      <c r="BA104">
        <v>2.6750000000000007</v>
      </c>
      <c r="BB104">
        <v>7.4837527734428839</v>
      </c>
      <c r="BC104">
        <v>7.605000000000004</v>
      </c>
      <c r="BD104">
        <v>19.573494149464992</v>
      </c>
      <c r="BE104">
        <v>7.605000000000004</v>
      </c>
      <c r="BF104">
        <v>19.573494149464992</v>
      </c>
      <c r="BG104">
        <v>2.3770527252564584</v>
      </c>
      <c r="BH104">
        <v>6.7575789884760038</v>
      </c>
      <c r="BI104">
        <v>2.3770527252564584</v>
      </c>
      <c r="BJ104">
        <v>6.7575789884760038</v>
      </c>
    </row>
    <row r="105" spans="1:62" x14ac:dyDescent="0.2">
      <c r="C105">
        <v>35.679999999999993</v>
      </c>
      <c r="D105">
        <v>20.045000000000002</v>
      </c>
      <c r="E105">
        <v>13840.775</v>
      </c>
      <c r="G105" cm="1">
        <f t="array" ref="G105:BJ105">TRANSPOSE(E103:E158)</f>
        <v>3.9250000000000114</v>
      </c>
      <c r="H105">
        <v>3.5</v>
      </c>
      <c r="I105">
        <v>13840.775</v>
      </c>
      <c r="J105">
        <v>13820.463418491432</v>
      </c>
      <c r="K105">
        <v>0.01</v>
      </c>
      <c r="L105">
        <v>0.01</v>
      </c>
      <c r="M105">
        <v>0.52499999999999991</v>
      </c>
      <c r="N105">
        <v>7.5000000000000067E-2</v>
      </c>
      <c r="O105">
        <v>0.125</v>
      </c>
      <c r="P105">
        <v>0.1</v>
      </c>
      <c r="Q105">
        <v>325.67500000000001</v>
      </c>
      <c r="R105">
        <v>97.599011203044029</v>
      </c>
      <c r="S105">
        <v>1.5249999999999986</v>
      </c>
      <c r="T105">
        <v>1</v>
      </c>
      <c r="U105">
        <v>265.52499999999998</v>
      </c>
      <c r="V105">
        <v>81.066962188033685</v>
      </c>
      <c r="W105">
        <v>0.79999999999999716</v>
      </c>
      <c r="X105">
        <v>0.8</v>
      </c>
      <c r="Y105">
        <v>908.32499999999993</v>
      </c>
      <c r="Z105">
        <v>556.81694408960425</v>
      </c>
      <c r="AA105">
        <v>1.6499999999999986</v>
      </c>
      <c r="AB105">
        <v>0.12677838392939833</v>
      </c>
      <c r="AC105">
        <v>969.7</v>
      </c>
      <c r="AD105">
        <v>498.65177838392941</v>
      </c>
      <c r="AE105">
        <v>1.5999999999999943</v>
      </c>
      <c r="AF105">
        <v>1</v>
      </c>
      <c r="AG105">
        <v>0.22499999999999432</v>
      </c>
      <c r="AH105">
        <v>0.2</v>
      </c>
      <c r="AI105">
        <v>0.47500000000000142</v>
      </c>
      <c r="AJ105">
        <v>0.4</v>
      </c>
      <c r="AK105">
        <v>7.6000000000000085</v>
      </c>
      <c r="AL105">
        <v>2.9499999999999957</v>
      </c>
      <c r="AM105">
        <v>0.14999999999999858</v>
      </c>
      <c r="AN105">
        <v>0.14000000000000001</v>
      </c>
      <c r="AO105">
        <v>10047.35</v>
      </c>
      <c r="AP105">
        <v>2998.8715356233606</v>
      </c>
      <c r="AQ105">
        <v>0.01</v>
      </c>
      <c r="AR105">
        <v>0.01</v>
      </c>
      <c r="AS105">
        <v>237.35</v>
      </c>
      <c r="AT105">
        <v>105.85000062141049</v>
      </c>
      <c r="AU105">
        <v>3.9500000000000028</v>
      </c>
      <c r="AV105">
        <v>3</v>
      </c>
      <c r="AW105">
        <v>4462.6750000000002</v>
      </c>
      <c r="AX105">
        <v>3084.9780990349905</v>
      </c>
      <c r="AY105">
        <v>0.75</v>
      </c>
      <c r="AZ105">
        <v>0.7</v>
      </c>
      <c r="BA105">
        <v>365.05833333333328</v>
      </c>
      <c r="BB105">
        <v>148.71624722655713</v>
      </c>
      <c r="BC105">
        <v>2.4249999999999972</v>
      </c>
      <c r="BD105">
        <v>2.4</v>
      </c>
      <c r="BE105">
        <v>154.00833333333333</v>
      </c>
      <c r="BF105">
        <v>46.256505850535035</v>
      </c>
      <c r="BG105">
        <v>0.48441841721726636</v>
      </c>
      <c r="BH105">
        <v>0.34556102562843694</v>
      </c>
      <c r="BI105">
        <v>194.3991547576407</v>
      </c>
      <c r="BJ105">
        <v>83.127289614571438</v>
      </c>
    </row>
    <row r="106" spans="1:62" x14ac:dyDescent="0.2">
      <c r="C106">
        <v>35.679999999999993</v>
      </c>
      <c r="D106">
        <v>40.356581508568269</v>
      </c>
      <c r="E106">
        <v>13820.463418491432</v>
      </c>
    </row>
    <row r="107" spans="1:62" x14ac:dyDescent="0.2">
      <c r="C107">
        <v>0.3</v>
      </c>
      <c r="D107">
        <v>0.01</v>
      </c>
      <c r="E107">
        <v>0.01</v>
      </c>
    </row>
    <row r="108" spans="1:62" x14ac:dyDescent="0.2">
      <c r="C108">
        <v>0.3</v>
      </c>
      <c r="D108">
        <v>2.4999999999999967E-2</v>
      </c>
      <c r="E108">
        <v>0.01</v>
      </c>
    </row>
    <row r="109" spans="1:62" x14ac:dyDescent="0.2">
      <c r="C109">
        <v>0.3</v>
      </c>
      <c r="D109">
        <v>0.01</v>
      </c>
      <c r="E109">
        <v>0.52499999999999991</v>
      </c>
    </row>
    <row r="110" spans="1:62" x14ac:dyDescent="0.2">
      <c r="C110">
        <v>0.3</v>
      </c>
      <c r="D110">
        <v>2.4999999999999967E-2</v>
      </c>
      <c r="E110">
        <v>7.5000000000000067E-2</v>
      </c>
    </row>
    <row r="111" spans="1:62" x14ac:dyDescent="0.2">
      <c r="C111">
        <v>56.679999999999993</v>
      </c>
      <c r="D111">
        <v>3.5700000000000074</v>
      </c>
      <c r="E111">
        <v>0.125</v>
      </c>
    </row>
    <row r="112" spans="1:62" x14ac:dyDescent="0.2">
      <c r="C112">
        <v>56.679999999999993</v>
      </c>
      <c r="D112">
        <v>74.720988796955979</v>
      </c>
      <c r="E112">
        <v>0.1</v>
      </c>
    </row>
    <row r="113" spans="3:5" x14ac:dyDescent="0.2">
      <c r="C113">
        <v>56.679999999999993</v>
      </c>
      <c r="D113">
        <v>3.5700000000000074</v>
      </c>
      <c r="E113">
        <v>325.67500000000001</v>
      </c>
    </row>
    <row r="114" spans="3:5" x14ac:dyDescent="0.2">
      <c r="C114">
        <v>56.679999999999993</v>
      </c>
      <c r="D114">
        <v>74.720988796955979</v>
      </c>
      <c r="E114">
        <v>97.599011203044029</v>
      </c>
    </row>
    <row r="115" spans="3:5" x14ac:dyDescent="0.2">
      <c r="C115">
        <v>28.1</v>
      </c>
      <c r="D115">
        <v>0.89999999999999858</v>
      </c>
      <c r="E115">
        <v>1.5249999999999986</v>
      </c>
    </row>
    <row r="116" spans="3:5" x14ac:dyDescent="0.2">
      <c r="C116">
        <v>28.1</v>
      </c>
      <c r="D116">
        <v>12.333037811966314</v>
      </c>
      <c r="E116">
        <v>1</v>
      </c>
    </row>
    <row r="117" spans="3:5" x14ac:dyDescent="0.2">
      <c r="C117">
        <v>28.1</v>
      </c>
      <c r="D117">
        <v>0.89999999999999858</v>
      </c>
      <c r="E117">
        <v>265.52499999999998</v>
      </c>
    </row>
    <row r="118" spans="3:5" x14ac:dyDescent="0.2">
      <c r="C118">
        <v>28.1</v>
      </c>
      <c r="D118">
        <v>12.333037811966314</v>
      </c>
      <c r="E118">
        <v>81.066962188033685</v>
      </c>
    </row>
    <row r="119" spans="3:5" x14ac:dyDescent="0.2">
      <c r="C119">
        <v>29.880000000000003</v>
      </c>
      <c r="D119">
        <v>6.8699999999999974</v>
      </c>
      <c r="E119">
        <v>0.79999999999999716</v>
      </c>
    </row>
    <row r="120" spans="3:5" x14ac:dyDescent="0.2">
      <c r="C120">
        <v>29.880000000000003</v>
      </c>
      <c r="D120">
        <v>6.7030559103957543</v>
      </c>
      <c r="E120">
        <v>0.8</v>
      </c>
    </row>
    <row r="121" spans="3:5" x14ac:dyDescent="0.2">
      <c r="C121">
        <v>29.880000000000003</v>
      </c>
      <c r="D121">
        <v>6.8699999999999974</v>
      </c>
      <c r="E121">
        <v>908.32499999999993</v>
      </c>
    </row>
    <row r="122" spans="3:5" x14ac:dyDescent="0.2">
      <c r="C122">
        <v>29.880000000000003</v>
      </c>
      <c r="D122">
        <v>6.7030559103957543</v>
      </c>
      <c r="E122">
        <v>556.81694408960425</v>
      </c>
    </row>
    <row r="123" spans="3:5" x14ac:dyDescent="0.2">
      <c r="C123">
        <v>29.880000000000003</v>
      </c>
      <c r="D123">
        <v>10.714999999999996</v>
      </c>
      <c r="E123">
        <v>1.6499999999999986</v>
      </c>
    </row>
    <row r="124" spans="3:5" x14ac:dyDescent="0.2">
      <c r="C124">
        <v>29.880000000000003</v>
      </c>
      <c r="D124">
        <v>8.6882216160705994</v>
      </c>
      <c r="E124">
        <v>0.12677838392939833</v>
      </c>
    </row>
    <row r="125" spans="3:5" x14ac:dyDescent="0.2">
      <c r="C125">
        <v>29.880000000000003</v>
      </c>
      <c r="D125">
        <v>10.714999999999996</v>
      </c>
      <c r="E125">
        <v>969.7</v>
      </c>
    </row>
    <row r="126" spans="3:5" x14ac:dyDescent="0.2">
      <c r="C126">
        <v>29.880000000000003</v>
      </c>
      <c r="D126">
        <v>8.6882216160705994</v>
      </c>
      <c r="E126">
        <v>498.65177838392941</v>
      </c>
    </row>
    <row r="127" spans="3:5" x14ac:dyDescent="0.2">
      <c r="C127">
        <v>35.559999999999995</v>
      </c>
      <c r="D127">
        <v>2.1400000000000077</v>
      </c>
      <c r="E127">
        <v>1.5999999999999943</v>
      </c>
    </row>
    <row r="128" spans="3:5" x14ac:dyDescent="0.2">
      <c r="C128">
        <v>35.559999999999995</v>
      </c>
      <c r="D128">
        <v>4.1418004952269456</v>
      </c>
      <c r="E128">
        <v>1</v>
      </c>
    </row>
    <row r="129" spans="3:5" x14ac:dyDescent="0.2">
      <c r="C129">
        <v>35.559999999999995</v>
      </c>
      <c r="D129">
        <v>2.1400000000000077</v>
      </c>
      <c r="E129">
        <v>0.22499999999999432</v>
      </c>
    </row>
    <row r="130" spans="3:5" x14ac:dyDescent="0.2">
      <c r="C130">
        <v>35.559999999999995</v>
      </c>
      <c r="D130">
        <v>4.1418004952269456</v>
      </c>
      <c r="E130">
        <v>0.2</v>
      </c>
    </row>
    <row r="131" spans="3:5" x14ac:dyDescent="0.2">
      <c r="C131">
        <v>57.2</v>
      </c>
      <c r="D131">
        <v>0.84999999999999432</v>
      </c>
      <c r="E131">
        <v>0.47500000000000142</v>
      </c>
    </row>
    <row r="132" spans="3:5" x14ac:dyDescent="0.2">
      <c r="C132">
        <v>57.2</v>
      </c>
      <c r="D132">
        <v>0.64999999999999858</v>
      </c>
      <c r="E132">
        <v>0.4</v>
      </c>
    </row>
    <row r="133" spans="3:5" x14ac:dyDescent="0.2">
      <c r="C133">
        <v>57.2</v>
      </c>
      <c r="D133">
        <v>0.84999999999999432</v>
      </c>
      <c r="E133">
        <v>7.6000000000000085</v>
      </c>
    </row>
    <row r="134" spans="3:5" x14ac:dyDescent="0.2">
      <c r="C134">
        <v>57.2</v>
      </c>
      <c r="D134">
        <v>0.64999999999999858</v>
      </c>
      <c r="E134">
        <v>2.9499999999999957</v>
      </c>
    </row>
    <row r="135" spans="3:5" x14ac:dyDescent="0.2">
      <c r="C135">
        <v>19.399999999999999</v>
      </c>
      <c r="D135">
        <v>13</v>
      </c>
      <c r="E135">
        <v>0.14999999999999858</v>
      </c>
    </row>
    <row r="136" spans="3:5" x14ac:dyDescent="0.2">
      <c r="C136">
        <v>19.399999999999999</v>
      </c>
      <c r="D136">
        <v>25.128464376639393</v>
      </c>
      <c r="E136">
        <v>0.14000000000000001</v>
      </c>
    </row>
    <row r="137" spans="3:5" x14ac:dyDescent="0.2">
      <c r="C137">
        <v>19.399999999999999</v>
      </c>
      <c r="D137">
        <v>13</v>
      </c>
      <c r="E137">
        <v>10047.35</v>
      </c>
    </row>
    <row r="138" spans="3:5" x14ac:dyDescent="0.2">
      <c r="C138">
        <v>19.399999999999999</v>
      </c>
      <c r="D138">
        <v>25.128464376639393</v>
      </c>
      <c r="E138">
        <v>2998.8715356233606</v>
      </c>
    </row>
    <row r="139" spans="3:5" x14ac:dyDescent="0.2">
      <c r="C139">
        <v>10.6</v>
      </c>
      <c r="D139">
        <v>0.37500000000000178</v>
      </c>
      <c r="E139">
        <v>0.01</v>
      </c>
    </row>
    <row r="140" spans="3:5" x14ac:dyDescent="0.2">
      <c r="C140">
        <v>10.6</v>
      </c>
      <c r="D140">
        <v>3.0499993785895096</v>
      </c>
      <c r="E140">
        <v>0.01</v>
      </c>
    </row>
    <row r="141" spans="3:5" x14ac:dyDescent="0.2">
      <c r="C141">
        <v>10.6</v>
      </c>
      <c r="D141">
        <v>0.37500000000000178</v>
      </c>
      <c r="E141">
        <v>237.35</v>
      </c>
    </row>
    <row r="142" spans="3:5" x14ac:dyDescent="0.2">
      <c r="C142">
        <v>10.6</v>
      </c>
      <c r="D142">
        <v>3.0499993785895096</v>
      </c>
      <c r="E142">
        <v>105.85000062141049</v>
      </c>
    </row>
    <row r="143" spans="3:5" x14ac:dyDescent="0.2">
      <c r="C143">
        <v>59.279999999999994</v>
      </c>
      <c r="D143">
        <v>9.0450000000000088</v>
      </c>
      <c r="E143">
        <v>3.9500000000000028</v>
      </c>
    </row>
    <row r="144" spans="3:5" x14ac:dyDescent="0.2">
      <c r="C144">
        <v>59.279999999999994</v>
      </c>
      <c r="D144">
        <v>37.441900965009218</v>
      </c>
      <c r="E144">
        <v>3</v>
      </c>
    </row>
    <row r="145" spans="3:5" x14ac:dyDescent="0.2">
      <c r="C145">
        <v>59.279999999999994</v>
      </c>
      <c r="D145">
        <v>9.0450000000000088</v>
      </c>
      <c r="E145">
        <v>4462.6750000000002</v>
      </c>
    </row>
    <row r="146" spans="3:5" x14ac:dyDescent="0.2">
      <c r="C146">
        <v>59.279999999999994</v>
      </c>
      <c r="D146">
        <v>37.441900965009218</v>
      </c>
      <c r="E146">
        <v>3084.9780990349905</v>
      </c>
    </row>
    <row r="147" spans="3:5" x14ac:dyDescent="0.2">
      <c r="C147">
        <v>17.8</v>
      </c>
      <c r="D147">
        <v>2.6750000000000007</v>
      </c>
      <c r="E147">
        <v>0.75</v>
      </c>
    </row>
    <row r="148" spans="3:5" x14ac:dyDescent="0.2">
      <c r="C148">
        <v>17.8</v>
      </c>
      <c r="D148">
        <v>7.4837527734428839</v>
      </c>
      <c r="E148">
        <v>0.7</v>
      </c>
    </row>
    <row r="149" spans="3:5" x14ac:dyDescent="0.2">
      <c r="C149">
        <v>17.8</v>
      </c>
      <c r="D149">
        <v>2.6750000000000007</v>
      </c>
      <c r="E149">
        <v>365.05833333333328</v>
      </c>
    </row>
    <row r="150" spans="3:5" x14ac:dyDescent="0.2">
      <c r="C150">
        <v>17.8</v>
      </c>
      <c r="D150">
        <v>7.4837527734428839</v>
      </c>
      <c r="E150">
        <v>148.71624722655713</v>
      </c>
    </row>
    <row r="151" spans="3:5" x14ac:dyDescent="0.2">
      <c r="C151">
        <v>62.519999999999996</v>
      </c>
      <c r="D151">
        <v>7.605000000000004</v>
      </c>
      <c r="E151">
        <v>2.4249999999999972</v>
      </c>
    </row>
    <row r="152" spans="3:5" x14ac:dyDescent="0.2">
      <c r="C152">
        <v>62.519999999999996</v>
      </c>
      <c r="D152">
        <v>19.573494149464992</v>
      </c>
      <c r="E152">
        <v>2.4</v>
      </c>
    </row>
    <row r="153" spans="3:5" x14ac:dyDescent="0.2">
      <c r="C153">
        <v>62.519999999999996</v>
      </c>
      <c r="D153">
        <v>7.605000000000004</v>
      </c>
      <c r="E153">
        <v>154.00833333333333</v>
      </c>
    </row>
    <row r="154" spans="3:5" x14ac:dyDescent="0.2">
      <c r="C154">
        <v>62.519999999999996</v>
      </c>
      <c r="D154">
        <v>19.573494149464992</v>
      </c>
      <c r="E154">
        <v>46.256505850535035</v>
      </c>
    </row>
    <row r="155" spans="3:5" x14ac:dyDescent="0.2">
      <c r="C155">
        <v>22.679583581508744</v>
      </c>
      <c r="D155">
        <v>2.3770527252564584</v>
      </c>
      <c r="E155">
        <v>0.48441841721726636</v>
      </c>
    </row>
    <row r="156" spans="3:5" x14ac:dyDescent="0.2">
      <c r="C156">
        <v>22.679583581508744</v>
      </c>
      <c r="D156">
        <v>6.7575789884760038</v>
      </c>
      <c r="E156">
        <v>0.34556102562843694</v>
      </c>
    </row>
    <row r="157" spans="3:5" x14ac:dyDescent="0.2">
      <c r="C157">
        <v>22.679583581508744</v>
      </c>
      <c r="D157">
        <v>2.3770527252564584</v>
      </c>
      <c r="E157">
        <v>194.3991547576407</v>
      </c>
    </row>
    <row r="158" spans="3:5" x14ac:dyDescent="0.2">
      <c r="C158">
        <v>22.679583581508744</v>
      </c>
      <c r="D158">
        <v>6.7575789884760038</v>
      </c>
      <c r="E158">
        <v>83.127289614571438</v>
      </c>
    </row>
  </sheetData>
  <mergeCells count="5">
    <mergeCell ref="K1:N1"/>
    <mergeCell ref="G1:J1"/>
    <mergeCell ref="B19:E19"/>
    <mergeCell ref="F19:I19"/>
    <mergeCell ref="A16:C1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Bench status</vt:lpstr>
      <vt:lpstr>Static Dynamic Characteristics</vt:lpstr>
      <vt:lpstr>Static_Overhead_SPEC2017</vt:lpstr>
      <vt:lpstr>Static_Overhead_Splash3</vt:lpstr>
      <vt:lpstr>Dyn_Overhead_SPEC2017</vt:lpstr>
      <vt:lpstr>Dyn_Overhead_Splash3</vt:lpstr>
      <vt:lpstr>Sheet1</vt:lpstr>
      <vt:lpstr>Dyn_Overhead_Splash3-analysis</vt:lpstr>
      <vt:lpstr>Sheet3</vt:lpstr>
      <vt:lpstr>barrier-elision</vt:lpstr>
      <vt:lpstr>ase-submission</vt:lpstr>
      <vt:lpstr>cgo-submission</vt:lpstr>
      <vt:lpstr>issta-submission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Sungkeun</dc:creator>
  <cp:keywords/>
  <dc:description/>
  <cp:lastModifiedBy>Kim, Sungkeun</cp:lastModifiedBy>
  <cp:revision/>
  <dcterms:created xsi:type="dcterms:W3CDTF">2022-06-02T21:10:16Z</dcterms:created>
  <dcterms:modified xsi:type="dcterms:W3CDTF">2023-11-18T13:39:02Z</dcterms:modified>
  <cp:category/>
  <cp:contentStatus/>
</cp:coreProperties>
</file>